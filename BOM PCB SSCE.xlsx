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" sheetId="1" r:id="rId5"/>
    <sheet state="visible" name="MainBoard_MU" sheetId="2" r:id="rId6"/>
    <sheet state="visible" name="MainBoard_SM" sheetId="3" r:id="rId7"/>
    <sheet state="visible" name="Display_MU" sheetId="4" r:id="rId8"/>
    <sheet state="visible" name="Display_SM" sheetId="5" r:id="rId9"/>
    <sheet state="visible" name="AudioBoard4" sheetId="6" r:id="rId10"/>
    <sheet state="visible" name="AudioBoard2" sheetId="7" r:id="rId11"/>
    <sheet state="visible" name="PowerSupply_MU" sheetId="8" r:id="rId12"/>
    <sheet state="visible" name="PowerSupply_SM" sheetId="9" r:id="rId13"/>
    <sheet state="visible" name="POE_Board" sheetId="10" r:id="rId14"/>
    <sheet state="visible" name="Btn_Panel" sheetId="11" r:id="rId15"/>
    <sheet state="visible" name="Combined" sheetId="12" r:id="rId16"/>
    <sheet state="visible" name="temp combined" sheetId="13" r:id="rId17"/>
  </sheets>
  <definedNames>
    <definedName hidden="1" localSheetId="0" name="_xlnm._FilterDatabase">draft!$A$1:$Z$2</definedName>
    <definedName hidden="1" localSheetId="1" name="_xlnm._FilterDatabase">MainBoard_MU!$A$1:$Z$43</definedName>
    <definedName hidden="1" localSheetId="2" name="_xlnm._FilterDatabase">MainBoard_SM!$A$1:$Z$33</definedName>
    <definedName hidden="1" localSheetId="3" name="_xlnm._FilterDatabase">Display_MU!$A$1:$Z$51</definedName>
    <definedName hidden="1" localSheetId="4" name="_xlnm._FilterDatabase">Display_SM!$A$1:$Z$47</definedName>
    <definedName hidden="1" localSheetId="5" name="_xlnm._FilterDatabase">AudioBoard4!$A$1:$Z$40</definedName>
    <definedName hidden="1" localSheetId="6" name="_xlnm._FilterDatabase">AudioBoard2!$A$1:$Z$24</definedName>
    <definedName hidden="1" localSheetId="7" name="_xlnm._FilterDatabase">PowerSupply_MU!$A$1:$Z$26</definedName>
    <definedName hidden="1" localSheetId="8" name="_xlnm._FilterDatabase">PowerSupply_SM!$A$1:$Z$21</definedName>
    <definedName hidden="1" localSheetId="9" name="_xlnm._FilterDatabase">POE_Board!$A$1:$Z$4</definedName>
    <definedName hidden="1" localSheetId="10" name="_xlnm._FilterDatabase">Btn_Panel!$A$1:$Z$4</definedName>
    <definedName hidden="1" localSheetId="11" name="_xlnm._FilterDatabase">Combined!$A$1:$AC$2180</definedName>
    <definedName hidden="1" localSheetId="12" name="_xlnm._FilterDatabase">'temp combined'!$A$1:$AE$143</definedName>
  </definedNames>
  <calcPr/>
</workbook>
</file>

<file path=xl/sharedStrings.xml><?xml version="1.0" encoding="utf-8"?>
<sst xmlns="http://schemas.openxmlformats.org/spreadsheetml/2006/main" count="2716" uniqueCount="637">
  <si>
    <t>S NO</t>
  </si>
  <si>
    <t>Production Level</t>
  </si>
  <si>
    <t>Type</t>
  </si>
  <si>
    <t>Name</t>
  </si>
  <si>
    <t>Part Number</t>
  </si>
  <si>
    <t>Designator</t>
  </si>
  <si>
    <t>Solder Type</t>
  </si>
  <si>
    <t>Footprint</t>
  </si>
  <si>
    <t>Quantity</t>
  </si>
  <si>
    <t>Manufacturer</t>
  </si>
  <si>
    <t>Supplier</t>
  </si>
  <si>
    <t>Capacitor</t>
  </si>
  <si>
    <t>1000pF/1nf</t>
  </si>
  <si>
    <t>C13</t>
  </si>
  <si>
    <t>SMD</t>
  </si>
  <si>
    <t>C0603</t>
  </si>
  <si>
    <t>0.1uF/100nF</t>
  </si>
  <si>
    <t>C3,C8,C10,C12,C14,C15,C27,C28,C35,C20,C21,C22,C23,C24</t>
  </si>
  <si>
    <t>10pF</t>
  </si>
  <si>
    <t>C1,C2,C16,C17,C18,C19</t>
  </si>
  <si>
    <t>1uF</t>
  </si>
  <si>
    <t>C36</t>
  </si>
  <si>
    <t>DIP</t>
  </si>
  <si>
    <t>2P_1.5mm pitch</t>
  </si>
  <si>
    <t>22uF/16V</t>
  </si>
  <si>
    <t>C11</t>
  </si>
  <si>
    <t>100UFX16V CAPACITOR D5.0XF11.0</t>
  </si>
  <si>
    <t>27pF</t>
  </si>
  <si>
    <t>C25,C26</t>
  </si>
  <si>
    <t>470uF/16V</t>
  </si>
  <si>
    <t>C6,C9</t>
  </si>
  <si>
    <t>CAP-TH_BD10.0-P5.00-D1.0-FD</t>
  </si>
  <si>
    <t>Resistance</t>
  </si>
  <si>
    <t>0E</t>
  </si>
  <si>
    <t>Res2_0603</t>
  </si>
  <si>
    <t>R21,R45,R46,R50</t>
  </si>
  <si>
    <t>R0603</t>
  </si>
  <si>
    <t>10K</t>
  </si>
  <si>
    <t>R1,R2,R34,R20,R22,R23,R24,R27</t>
  </si>
  <si>
    <t>15K</t>
  </si>
  <si>
    <t>R10,R11,R12,R13</t>
  </si>
  <si>
    <t>1K</t>
  </si>
  <si>
    <t>R3,R14,R15,R17,R25,R28,R43</t>
  </si>
  <si>
    <t>2.2K</t>
  </si>
  <si>
    <t>R4,R5,R19,R35,R36,R37,R38,R39,R40,R41,R42</t>
  </si>
  <si>
    <t>22E</t>
  </si>
  <si>
    <t>R6,R7,R8,R9</t>
  </si>
  <si>
    <t>4.7K</t>
  </si>
  <si>
    <t>R26</t>
  </si>
  <si>
    <t>51E</t>
  </si>
  <si>
    <t>R31,R32,R33,R18</t>
  </si>
  <si>
    <t>75E</t>
  </si>
  <si>
    <t>R29,R30</t>
  </si>
  <si>
    <t>Connector</t>
  </si>
  <si>
    <t>CON2-1.25*2P-SMD</t>
  </si>
  <si>
    <t>J5</t>
  </si>
  <si>
    <t>Würth Elektronik</t>
  </si>
  <si>
    <t>CON4-2.54*4P-TH</t>
  </si>
  <si>
    <t>B4B-XH-A</t>
  </si>
  <si>
    <t>ETH1,ETH3,ETH4</t>
  </si>
  <si>
    <t>HDR-TH_4P-P2.54-V-M-1</t>
  </si>
  <si>
    <t>JST Sales America Inc.</t>
  </si>
  <si>
    <t>CON5-2.54*5P-TH</t>
  </si>
  <si>
    <t>J1</t>
  </si>
  <si>
    <t>CONN-TH_5P-P2.54-V</t>
  </si>
  <si>
    <t>Header 8 Pin</t>
  </si>
  <si>
    <t>B8B-PH-K-S</t>
  </si>
  <si>
    <t>J7,J10</t>
  </si>
  <si>
    <t>HDR-TH_8P_1x8P-P2.0-V-M-1</t>
  </si>
  <si>
    <t>DB9 (RS232)</t>
  </si>
  <si>
    <t>J6</t>
  </si>
  <si>
    <t>DB9-TH_DB9F</t>
  </si>
  <si>
    <t>Ethernet Dual</t>
  </si>
  <si>
    <t>ETH2</t>
  </si>
  <si>
    <t>RJ45-TH_HC-RJ45-5JA-2-6-S</t>
  </si>
  <si>
    <t>Header 2 Pin (Power)</t>
  </si>
  <si>
    <t>B2P-VH</t>
  </si>
  <si>
    <t>J4</t>
  </si>
  <si>
    <t>CONN-TH_2P-P4.00_VH2-HEADER2</t>
  </si>
  <si>
    <t>JST/local</t>
  </si>
  <si>
    <t>HDR_2P_2.50P</t>
  </si>
  <si>
    <t>Jumper</t>
  </si>
  <si>
    <t>J2,J3, GND</t>
  </si>
  <si>
    <t>HDR-TH_2P-P2.54-V-M-1</t>
  </si>
  <si>
    <t>reset button</t>
  </si>
  <si>
    <t>reset_sw</t>
  </si>
  <si>
    <t>HDR 20x2PIN 2.00P TH</t>
  </si>
  <si>
    <t>J8</t>
  </si>
  <si>
    <t>CONN-TH_A2006WV-2X20P</t>
  </si>
  <si>
    <t>USB TYPE A (TH) - STORAGE</t>
  </si>
  <si>
    <t>USB1, USB2</t>
  </si>
  <si>
    <t>USB-A-TH_USB-302-T</t>
  </si>
  <si>
    <t>Crystal</t>
  </si>
  <si>
    <t>12 MHz ±30ppm Crystal 30pF 40 Ohms HC-49/US</t>
  </si>
  <si>
    <t>X1</t>
  </si>
  <si>
    <t>HC-49S_L11.4-W4.8</t>
  </si>
  <si>
    <t>25 MHz ±20ppm Crystal 20pF 40 Ohms HC-49/US</t>
  </si>
  <si>
    <t>X2</t>
  </si>
  <si>
    <t>Diode</t>
  </si>
  <si>
    <t>1N4007-DIODE</t>
  </si>
  <si>
    <t>1N4007</t>
  </si>
  <si>
    <t>D1,D7</t>
  </si>
  <si>
    <t>DO-41_BD2.4-L4.7-P8.70-D0.8-FD</t>
  </si>
  <si>
    <t>1N5817</t>
  </si>
  <si>
    <t>D3</t>
  </si>
  <si>
    <t>SOD-123_L2.8-W1.8-LS3.7-RD</t>
  </si>
  <si>
    <t>Ferrite Beed</t>
  </si>
  <si>
    <t>Ferrite Beed 120ohm 3A 30mOhm</t>
  </si>
  <si>
    <t>L1</t>
  </si>
  <si>
    <t>R0805</t>
  </si>
  <si>
    <t>IC</t>
  </si>
  <si>
    <t>TRANSFORMER LAN 10/100 SMD</t>
  </si>
  <si>
    <t>7490100110A</t>
  </si>
  <si>
    <t>U10</t>
  </si>
  <si>
    <t>XFMR-SMD_HY601745E</t>
  </si>
  <si>
    <t>DS3231SN#</t>
  </si>
  <si>
    <t>U16</t>
  </si>
  <si>
    <t>SOIC-16_L10.3-W7.5-P1.27-LS10.3-BL</t>
  </si>
  <si>
    <t>Analog Devices Inc./Maxim Integrated</t>
  </si>
  <si>
    <t>ESD Protection IC</t>
  </si>
  <si>
    <t>ESDALC6V1W5</t>
  </si>
  <si>
    <t>U3</t>
  </si>
  <si>
    <t>SOT-323-5_L2.0-W1.3-LS2.1-BL</t>
  </si>
  <si>
    <t>STMicroelectronics</t>
  </si>
  <si>
    <t>IC TRANSCEIVER FULL 1/1 16TSSOP</t>
  </si>
  <si>
    <t>ICL3221ECVZ</t>
  </si>
  <si>
    <t>U12</t>
  </si>
  <si>
    <t>TSSOP-16_L5.0-W4.4-P0.65-LS6.4-BL</t>
  </si>
  <si>
    <t>Renesas Electronics Corporation</t>
  </si>
  <si>
    <t>IC REG LINEAR 3.3V 800MA SOT-223</t>
  </si>
  <si>
    <t>LM1117</t>
  </si>
  <si>
    <t>U5</t>
  </si>
  <si>
    <t>TO-252-2_L6.6-W6.1-P4.57-LS10.1-BR</t>
  </si>
  <si>
    <t>ARM7® LPC2400 Microcontroller IC 16/32-Bit 72MHz 512KB (512K x 8) FLASH 208-LQFP (28x28)</t>
  </si>
  <si>
    <t>LPC2468FBD208,551</t>
  </si>
  <si>
    <t>U1</t>
  </si>
  <si>
    <t>LQFP-208_L28.0-W28.0-P0.50-LS30.0-BL</t>
  </si>
  <si>
    <t>NXP USA Inc.</t>
  </si>
  <si>
    <t>RTL8201CP-VD-LF</t>
  </si>
  <si>
    <t>U2</t>
  </si>
  <si>
    <t>LQFP-48_L7.0-W7.0-P0.50-LS9.0-BL</t>
  </si>
  <si>
    <t>Realtek</t>
  </si>
  <si>
    <t>IC PWR SWITCH N-CHAN 1:1 SOT23-5</t>
  </si>
  <si>
    <t>STMPS2141STR</t>
  </si>
  <si>
    <t>U6,U8</t>
  </si>
  <si>
    <t>SOT-23-5_L3.0-W1.7-P0.95-LS2.8-BR</t>
  </si>
  <si>
    <t>TVS DIODE 5.25VWM 17VC SOT23-6</t>
  </si>
  <si>
    <t>USBLC6-4SC6</t>
  </si>
  <si>
    <t>U7,U9</t>
  </si>
  <si>
    <t>SOT-23-6_L2.9-W1.6-P0.95-LS2.8-BL</t>
  </si>
  <si>
    <t>LED</t>
  </si>
  <si>
    <t>LED_Red_SMD_0603</t>
  </si>
  <si>
    <t>150060RS55040</t>
  </si>
  <si>
    <t>LED5,LED6,LED2,LED8</t>
  </si>
  <si>
    <t>C8,C12,C14,C15,C27,C28,C20,C21,C22,C23,C24</t>
  </si>
  <si>
    <t>R1,R2,R18,R20,R22,R23,R24,R27</t>
  </si>
  <si>
    <t>R25,R28,R43</t>
  </si>
  <si>
    <t>R19,R35,R36,R37,R38,R39,R40,R41,R42</t>
  </si>
  <si>
    <t>R31,R32,R33,R34</t>
  </si>
  <si>
    <t>ETH1</t>
  </si>
  <si>
    <t>LED2,LED8</t>
  </si>
  <si>
    <t>C7, C8, C9, C10,C26, C27, C28,C32, C33,C37,C51, C75, C76, C77, C78, C13, C16, C17, C18, C19</t>
  </si>
  <si>
    <t>100uF/25V</t>
  </si>
  <si>
    <t>C11, C38, C53</t>
  </si>
  <si>
    <t>DIP 2.50P</t>
  </si>
  <si>
    <t>C36, C42, C44, C50, C54</t>
  </si>
  <si>
    <t>C1, C25, C31,C45, C46, C49, C12, C14, C15</t>
  </si>
  <si>
    <t>470nF</t>
  </si>
  <si>
    <t>C39, C47</t>
  </si>
  <si>
    <t>Component</t>
  </si>
  <si>
    <t>Buzzer</t>
  </si>
  <si>
    <t>CMI1295IC0585T</t>
  </si>
  <si>
    <t>LS1</t>
  </si>
  <si>
    <t>DIP 7.60P 12.00Dia</t>
  </si>
  <si>
    <t>Same Sky (Formerly CUI Devices)</t>
  </si>
  <si>
    <t>Audio Jack</t>
  </si>
  <si>
    <t>SJ3-35083B-TR</t>
  </si>
  <si>
    <t>J25, J29, J30, J31</t>
  </si>
  <si>
    <t>AUDIO-TH_SJ3-35083B-TR</t>
  </si>
  <si>
    <t>Header 10 Pin</t>
  </si>
  <si>
    <t>J18</t>
  </si>
  <si>
    <t>HDR_10P_TH_1x10_2.54P_V-M</t>
  </si>
  <si>
    <t>Header 2 Pin</t>
  </si>
  <si>
    <t>B2B-PH-K-S</t>
  </si>
  <si>
    <t>J24</t>
  </si>
  <si>
    <t>HDR-TH_2P-P2.0-V-M-1</t>
  </si>
  <si>
    <t>P2</t>
  </si>
  <si>
    <t>J20</t>
  </si>
  <si>
    <t>Header 6 Pin</t>
  </si>
  <si>
    <t>B6B-PH-K-S</t>
  </si>
  <si>
    <t>J23</t>
  </si>
  <si>
    <t>HDR-TH_6P_1x6P-P2.0-V-M-1</t>
  </si>
  <si>
    <t>B8B-XH-A</t>
  </si>
  <si>
    <t>J19</t>
  </si>
  <si>
    <t>8 PIN IST XH 2.5MM TOP EN</t>
  </si>
  <si>
    <t>J21, J28, J32,</t>
  </si>
  <si>
    <t>Schottly Diode 30V 3A</t>
  </si>
  <si>
    <t>RSX301L-30DDTE25</t>
  </si>
  <si>
    <t>DO-214AC-2</t>
  </si>
  <si>
    <t>Rohm Semiconductor</t>
  </si>
  <si>
    <t>TVS Diode 3.3V 600W</t>
  </si>
  <si>
    <t>SMLVT3V3</t>
  </si>
  <si>
    <t>D2, D6</t>
  </si>
  <si>
    <t>DO-214AA-2</t>
  </si>
  <si>
    <t>Ferrite Beed 100ohm 4A 20mOhm</t>
  </si>
  <si>
    <t>MPZ2012S101AT000</t>
  </si>
  <si>
    <t>L9, L10</t>
  </si>
  <si>
    <t>TDK</t>
  </si>
  <si>
    <t>L1, L2, L3</t>
  </si>
  <si>
    <t>IC14</t>
  </si>
  <si>
    <t>ESDA6V1-4BC6</t>
  </si>
  <si>
    <t>IC20, IC21</t>
  </si>
  <si>
    <t>SOT95P280X145-6N</t>
  </si>
  <si>
    <t>ARM® Cortex®-M4 STM32F4 Microcontroller IC 32-Bit 100MHz 1MB (1M x 8) FLASH 64-LQFP (10x10)</t>
  </si>
  <si>
    <t>STM32F412RGT6</t>
  </si>
  <si>
    <t>U7</t>
  </si>
  <si>
    <t>QFP-64</t>
  </si>
  <si>
    <t>REG 3.3V 800mA</t>
  </si>
  <si>
    <t>LM1117I DPAK</t>
  </si>
  <si>
    <t>TO-252-3, DPACK</t>
  </si>
  <si>
    <t>Amplifier IC 2-Channel (Stereo) Class D 28-HTSSOP</t>
  </si>
  <si>
    <t>TPA3144D2PWP</t>
  </si>
  <si>
    <t>IC17</t>
  </si>
  <si>
    <t>28-HTSSOP</t>
  </si>
  <si>
    <t>Texas Instruments</t>
  </si>
  <si>
    <t>FLASH - NOR Memory IC 64Mbit SPI - Quad I/O 133 MHz 8-SOIC</t>
  </si>
  <si>
    <t>W25Q64JVSSIQ</t>
  </si>
  <si>
    <t>IC16</t>
  </si>
  <si>
    <t>8-SOIC (0.209", 5.30mm Width)</t>
  </si>
  <si>
    <t>Winbond Electronics</t>
  </si>
  <si>
    <t>Transistor 45V 0.5A</t>
  </si>
  <si>
    <t>BC817-25,215</t>
  </si>
  <si>
    <t>Q2, Q3, Q4, Q5, Q10</t>
  </si>
  <si>
    <t>SOT-23-3</t>
  </si>
  <si>
    <t>Nexperia USA Inc.</t>
  </si>
  <si>
    <t>LED RED</t>
  </si>
  <si>
    <t>D7, D8, D12, D13</t>
  </si>
  <si>
    <t>LED_3MM TH</t>
  </si>
  <si>
    <t>LED1, LED4, LED2</t>
  </si>
  <si>
    <t>R70, R73, R74, R75, R77, R79, R80, R81, R82, R83, R84, R87, R88, R89, R90, R91, R92, R93, R94, R95, R96, R98, R111, R112, R113, R114, R115, R192,R151, R156, R157, R162 , R17, R6, R78, R196, R105, R106, R107, R109, R197</t>
  </si>
  <si>
    <t>100E</t>
  </si>
  <si>
    <t>R71</t>
  </si>
  <si>
    <t>10E</t>
  </si>
  <si>
    <t>R135</t>
  </si>
  <si>
    <t>R119, R124, R146,R199</t>
  </si>
  <si>
    <t>R110, R152, R153, R154, R155, R172, R173, R174, R175, R176, R177, R193, R145, R121, R20, R195</t>
  </si>
  <si>
    <t>220E</t>
  </si>
  <si>
    <t>R63, R158, R159, R160, R161</t>
  </si>
  <si>
    <t>33K</t>
  </si>
  <si>
    <t>R126, R129</t>
  </si>
  <si>
    <t>39K</t>
  </si>
  <si>
    <t>R128</t>
  </si>
  <si>
    <t>R64, R194</t>
  </si>
  <si>
    <t>510E</t>
  </si>
  <si>
    <t>R120</t>
  </si>
  <si>
    <t>56K</t>
  </si>
  <si>
    <t>R125</t>
  </si>
  <si>
    <t>- RF Receiver BeiDou, Galileo, GLONASS, GNSS, GPS -163dBm Not Included 32-QFN Module (11x11)</t>
  </si>
  <si>
    <t>SE868K5-SF</t>
  </si>
  <si>
    <t>32-QFN Module (11x11)</t>
  </si>
  <si>
    <t>Telit Cinterion</t>
  </si>
  <si>
    <t>Voltage Level Translator Bidirectional 1 Circuit 8 Channel 100Mbps 20-TSSOP</t>
  </si>
  <si>
    <t xml:space="preserve">TXB0108PWRG4
</t>
  </si>
  <si>
    <t>IC24</t>
  </si>
  <si>
    <t>20-TSSOP (0.173", 4.40mm Width)</t>
  </si>
  <si>
    <t>Linear Voltage Regulator IC Positive Fixed 1 Output 150mA SOT-23-THIN</t>
  </si>
  <si>
    <t>TPS78318DDCT</t>
  </si>
  <si>
    <t xml:space="preserve"> IC22</t>
  </si>
  <si>
    <t>SOT-23-5 Thin, TSOT-23-5</t>
  </si>
  <si>
    <t>Mosfet</t>
  </si>
  <si>
    <t>P-Channel 30 V 4.3A (Ta) 1.4W (Ta) Surface Mount SOT-23-3</t>
  </si>
  <si>
    <t>AO3407A</t>
  </si>
  <si>
    <t>Q7</t>
  </si>
  <si>
    <t>Alpha &amp; Omega Semiconductor Inc.</t>
  </si>
  <si>
    <t>SMA Connector Jack, Female Socket 50 Ohms Through Hole,Straight Jack</t>
  </si>
  <si>
    <t>WR-SMA PCB THT/THR/SMT</t>
  </si>
  <si>
    <t>Bipolar (BJT) Transistor NPN 40 V 200 mA 300MHz 350 mW Surface Mount SOT-23-3 (TO-236)</t>
  </si>
  <si>
    <t>MMBT3904</t>
  </si>
  <si>
    <t>IC5</t>
  </si>
  <si>
    <t>TO-236-3, SC-59, SOT-23-3</t>
  </si>
  <si>
    <t>Diotec Semiconductor</t>
  </si>
  <si>
    <t>3.30K</t>
  </si>
  <si>
    <t>R15</t>
  </si>
  <si>
    <t xml:space="preserve">4.12K
</t>
  </si>
  <si>
    <t>R16</t>
  </si>
  <si>
    <t>600 Ohms @ 100 MHz 1 Power Line Ferrite Bead 0603 (1608 Metric) 860mA 150mOhm</t>
  </si>
  <si>
    <t>BLM18KN601EH1D</t>
  </si>
  <si>
    <t>FB2</t>
  </si>
  <si>
    <t>Murata Electronics</t>
  </si>
  <si>
    <t>Inductor</t>
  </si>
  <si>
    <t>35.5 nH Unshielded Wirewound Inductor 4 A 6.8mOhm Max Nonstandard</t>
  </si>
  <si>
    <t>L4</t>
  </si>
  <si>
    <t>0.270" L x 0.120" W (6.86mm x 3.05mm)</t>
  </si>
  <si>
    <t>C20, C82, C83</t>
  </si>
  <si>
    <t>1MOhm</t>
  </si>
  <si>
    <t>R7, R14</t>
  </si>
  <si>
    <t>C2,C4, C6, C7, C8, C9, C10, C27, C28, C29, C30, C32, C33, C37, C51, C56, C70, C75, C76, C77, C78, C43, C60, C62</t>
  </si>
  <si>
    <t>100pF</t>
  </si>
  <si>
    <t>C52, C71</t>
  </si>
  <si>
    <t>C11, C38, C53, C57, C72</t>
  </si>
  <si>
    <t>DIP 2P</t>
  </si>
  <si>
    <t>10nF</t>
  </si>
  <si>
    <t>C48, C67</t>
  </si>
  <si>
    <t>C36, C42, C44, C50, C54, C55, C61, C63, C69, C73, R132</t>
  </si>
  <si>
    <t>C1, C3, C5, C31,C45, C46, C49, C59, C64, C65, C68, C74</t>
  </si>
  <si>
    <t>10uF</t>
  </si>
  <si>
    <t>Tantalum</t>
  </si>
  <si>
    <t>C89, C90</t>
  </si>
  <si>
    <t>C1206</t>
  </si>
  <si>
    <t>C39, C47, C58, C66</t>
  </si>
  <si>
    <t>P1</t>
  </si>
  <si>
    <t>Header 3 Pin</t>
  </si>
  <si>
    <t>B3B-XH-A</t>
  </si>
  <si>
    <t>J33</t>
  </si>
  <si>
    <t>HDR-TH_3P-P2.5-V-M-1</t>
  </si>
  <si>
    <t>J23, J27</t>
  </si>
  <si>
    <t>J21,J28, J32</t>
  </si>
  <si>
    <t>D1, D2, D6</t>
  </si>
  <si>
    <t>TVS Diode 3V</t>
  </si>
  <si>
    <t>TPD1E05U06DYAR</t>
  </si>
  <si>
    <t>D10, D9</t>
  </si>
  <si>
    <t>SC-79, SOD-523</t>
  </si>
  <si>
    <t>L1, L2, L11, L12</t>
  </si>
  <si>
    <t>IC1, IC2, IC3, IC4, IC14</t>
  </si>
  <si>
    <t>I/O Expander 16 I2C 1.7 MHz 28-SSOP</t>
  </si>
  <si>
    <t>MCP23017-E/SS</t>
  </si>
  <si>
    <t>U1, U2</t>
  </si>
  <si>
    <t>SOT-23-6</t>
  </si>
  <si>
    <t>Microchip Technology</t>
  </si>
  <si>
    <t>Amplifier IC 1-Channel (Mono) Class AB SOT-23-5</t>
  </si>
  <si>
    <t>MAX4465EUK+T</t>
  </si>
  <si>
    <t>IC18, IC13</t>
  </si>
  <si>
    <t>SOT-23-5</t>
  </si>
  <si>
    <t>IC17, IC19</t>
  </si>
  <si>
    <t>Q6, Q9</t>
  </si>
  <si>
    <t>LED1,  LED4, LED5</t>
  </si>
  <si>
    <t>N-Channel 30 V 5.8A (Ta) 1.4W (Ta) Surface Mount SOT-23-3</t>
  </si>
  <si>
    <t>AO3400</t>
  </si>
  <si>
    <t>Q11</t>
  </si>
  <si>
    <t>R1, R93, R94, R95, R96, R97, R98, R99, R101, R102, R103, R104, R105, R106, R111, R112, R113, R114, R115, R196, R197, R9, R10, R11, R33, R34, R202, C86, R204, R131</t>
  </si>
  <si>
    <t>R71, R200, R201,R205</t>
  </si>
  <si>
    <t>100K</t>
  </si>
  <si>
    <t>R134, R169</t>
  </si>
  <si>
    <t>R135, R150</t>
  </si>
  <si>
    <t>R119, R124, R133, R146, R139, R168, R199, C41</t>
  </si>
  <si>
    <t xml:space="preserve"> R20, R21, R22, R26, R27, R28, R29, R30, R31, R37, R38, R39, R40, R41, R42, R43, R44, R45, R46, R47, R48, R49, R50, R51, R52, R142, R172, R173, R174, R175, R176, R177, R193, R121, R145, R136, R165</t>
  </si>
  <si>
    <t>R130, R137, R163, R170</t>
  </si>
  <si>
    <t>R63</t>
  </si>
  <si>
    <t>2K</t>
  </si>
  <si>
    <t xml:space="preserve"> R147, R164</t>
  </si>
  <si>
    <t>R126, R129, R141, R144, R148</t>
  </si>
  <si>
    <t>R128, R143</t>
  </si>
  <si>
    <t>R5, R8, R32, R3, R4, R178, R179, R180, R181, R182, R183, R184, R185, R186, R187, R188, R189, R190, R191</t>
  </si>
  <si>
    <t>R123, R125, R140</t>
  </si>
  <si>
    <t>0.22uF/250V</t>
  </si>
  <si>
    <t>C4,C6,C20,C23,C27,C30</t>
  </si>
  <si>
    <t>C1,C7,C8,C9,C10,C11,C12,C13,C14,C15,C16,C17,C18,C19,C21,C22,C25,C26,C28,C29,C32,C33,C36,C37,C38,C39,C40,C41,C42</t>
  </si>
  <si>
    <t>C5,C24,C31,C34,C35</t>
  </si>
  <si>
    <t>C2</t>
  </si>
  <si>
    <t>47uF/63V</t>
  </si>
  <si>
    <t>C3</t>
  </si>
  <si>
    <t>CAP-TH_BD6.3-P2.50-D0.5-FD</t>
  </si>
  <si>
    <t>DSUB_15F_3ROW</t>
  </si>
  <si>
    <t>DB15-TH_ICD15S13E6GV00LF</t>
  </si>
  <si>
    <t>J2</t>
  </si>
  <si>
    <t>J3</t>
  </si>
  <si>
    <t>J9,J10,J11,J12,J13</t>
  </si>
  <si>
    <t>RJ11_DUAL</t>
  </si>
  <si>
    <t>E5564-80A012-L</t>
  </si>
  <si>
    <t>J4,J7,J6</t>
  </si>
  <si>
    <t>CONN-TH_RJ11PHONE2</t>
  </si>
  <si>
    <t>Pulse Electronics</t>
  </si>
  <si>
    <t>Digikey</t>
  </si>
  <si>
    <t>3.579545 MHz ±30ppm Crystal 16pF 300 Ohms HC-49/US</t>
  </si>
  <si>
    <t>X1,X3,X4,X5</t>
  </si>
  <si>
    <t>4148 ( 5P1 )</t>
  </si>
  <si>
    <t>D3,D8,D11</t>
  </si>
  <si>
    <t>SMD_Zener_R1206</t>
  </si>
  <si>
    <t>D4</t>
  </si>
  <si>
    <t>Zener Diode 5.1 V 3 W ±5% Surface Mount SMB</t>
  </si>
  <si>
    <t>1SMB5918BT3G</t>
  </si>
  <si>
    <t>D1,D2,D9,D10,D12,D13</t>
  </si>
  <si>
    <t>onsemi</t>
  </si>
  <si>
    <t>74HC164</t>
  </si>
  <si>
    <t>SOP-14_L8.6-W3.9-P1.27-LS6.0-BL</t>
  </si>
  <si>
    <t>74HC74</t>
  </si>
  <si>
    <t>DB107</t>
  </si>
  <si>
    <t>U9,U15,U20</t>
  </si>
  <si>
    <t>DB-TH-4P_L8.5-W6.5-P5.08-BL</t>
  </si>
  <si>
    <t>U26,U27</t>
  </si>
  <si>
    <t>H11A1</t>
  </si>
  <si>
    <t>U8,U12,U13,U17,U22</t>
  </si>
  <si>
    <t>DIP-6_L9.6-W6.4-P2.54-LS7.6-BL</t>
  </si>
  <si>
    <t>H11A1/MCT2E</t>
  </si>
  <si>
    <t>MCT2E</t>
  </si>
  <si>
    <t>U7,U18,U23</t>
  </si>
  <si>
    <t>HT9170D</t>
  </si>
  <si>
    <t>U6,U14,U19,U24</t>
  </si>
  <si>
    <t>SOIC-18_L11.6-W7.5-P1.27-LS10.3-BL</t>
  </si>
  <si>
    <t>LM324DR</t>
  </si>
  <si>
    <t>U10,U25</t>
  </si>
  <si>
    <t>SOIC-14_L8.7-W3.9-P1.27-LS6.0-BL</t>
  </si>
  <si>
    <t>LMC7660IN</t>
  </si>
  <si>
    <t>U4</t>
  </si>
  <si>
    <t>PDIP-8_L9.6-W6.4-P2.54-LS7.6-BL</t>
  </si>
  <si>
    <t>S44233</t>
  </si>
  <si>
    <t>U5,U11,U16,U21</t>
  </si>
  <si>
    <t>DIP-16</t>
  </si>
  <si>
    <t>SN7406DR</t>
  </si>
  <si>
    <t>Mov</t>
  </si>
  <si>
    <t>MOV</t>
  </si>
  <si>
    <t>14N151K</t>
  </si>
  <si>
    <t>MOV1,MOV3,MOV2</t>
  </si>
  <si>
    <t>S14K460</t>
  </si>
  <si>
    <t>R20</t>
  </si>
  <si>
    <t>R5,R6,R15,R16,R32,R35,R44,R47,R61</t>
  </si>
  <si>
    <t>100k</t>
  </si>
  <si>
    <t>R17</t>
  </si>
  <si>
    <t>RES-ADJ-TH_P160KN2-0QC20B100K (Trimport)</t>
  </si>
  <si>
    <t>R1,R9,R10,R11,R14,R18,R19,R21,R22,R23,R28,R29,R30,R40,R41,R42,R51,R55,R56,R57,R63,R64,R65</t>
  </si>
  <si>
    <t>R4,R7,R12,R13,R26,R27,R33,R34,R38,R39,R45,R46,R52,R53,R58,R60,R66,R67,R68</t>
  </si>
  <si>
    <t>22K/3W</t>
  </si>
  <si>
    <t>R2,R3,R37,R49,R36,R48</t>
  </si>
  <si>
    <t>R2512</t>
  </si>
  <si>
    <t>300K</t>
  </si>
  <si>
    <t>R8,R31,R43,R62</t>
  </si>
  <si>
    <t>470K</t>
  </si>
  <si>
    <t>R59</t>
  </si>
  <si>
    <t>47K</t>
  </si>
  <si>
    <t>R24,R25,R50</t>
  </si>
  <si>
    <t>R54</t>
  </si>
  <si>
    <t>Transformer</t>
  </si>
  <si>
    <t>P4501-0055</t>
  </si>
  <si>
    <t>XMR1,XMR3,XMR4</t>
  </si>
  <si>
    <t>XFMR-TH</t>
  </si>
  <si>
    <t>C1,C4,C5,C6,C8,C11,C12,C32,C36</t>
  </si>
  <si>
    <t>C7,C9,C34,C35</t>
  </si>
  <si>
    <t>J7</t>
  </si>
  <si>
    <t>J4,J5,J6,J8,J10</t>
  </si>
  <si>
    <t>U25</t>
  </si>
  <si>
    <t>U5,U6</t>
  </si>
  <si>
    <t>R1,R7,R8,R11,R12,R13,R14,R19,R20,R63,R64,R65</t>
  </si>
  <si>
    <t>R9,R10,R18,R60,R66,R67</t>
  </si>
  <si>
    <t>R56</t>
  </si>
  <si>
    <t>R2,R3,R4,R5</t>
  </si>
  <si>
    <t>C5,C17</t>
  </si>
  <si>
    <t>C1, C15, C16</t>
  </si>
  <si>
    <t>10nF/50V</t>
  </si>
  <si>
    <t>C6</t>
  </si>
  <si>
    <t>10uF/50V</t>
  </si>
  <si>
    <t>C3, C4,C8, C11</t>
  </si>
  <si>
    <t>C9, C14</t>
  </si>
  <si>
    <t>2.2uF/50V</t>
  </si>
  <si>
    <t>C0805</t>
  </si>
  <si>
    <t>22Uf/25V</t>
  </si>
  <si>
    <t>C10, C13</t>
  </si>
  <si>
    <t>C1210</t>
  </si>
  <si>
    <t>39pF/50V</t>
  </si>
  <si>
    <t>C7, C12</t>
  </si>
  <si>
    <t>Choke Coil</t>
  </si>
  <si>
    <t>13uH 6A 14mOhm</t>
  </si>
  <si>
    <t>2 Position Wire to Board Terminal Block Horizontal with Board 0.200" (5.08mm) Through Hole</t>
  </si>
  <si>
    <t>J1, J2</t>
  </si>
  <si>
    <t>Green Header 2-pin 4.5mm pitch</t>
  </si>
  <si>
    <t>Wurth</t>
  </si>
  <si>
    <t>J3, J4, J5, J6, J7</t>
  </si>
  <si>
    <t>J9, J10</t>
  </si>
  <si>
    <t>Diode 60 V 5A Surface Mount DO-214AA (SMB)</t>
  </si>
  <si>
    <t>SL56B-TP</t>
  </si>
  <si>
    <t>D1, D2</t>
  </si>
  <si>
    <t>DIOM5026X220N</t>
  </si>
  <si>
    <t>MCC (Micro Commercial Components)</t>
  </si>
  <si>
    <t>Bead 100MHz 5mOhm 6000mA</t>
  </si>
  <si>
    <t>L2</t>
  </si>
  <si>
    <t>R1206</t>
  </si>
  <si>
    <t>OR Controller Source Selector Switch P-Channel 2:1 TSOT-23-6</t>
  </si>
  <si>
    <t>LTC4412ES6#TR</t>
  </si>
  <si>
    <t>IC1</t>
  </si>
  <si>
    <t>SOT95P280X100-6N</t>
  </si>
  <si>
    <t>Analog Devices Inc.</t>
  </si>
  <si>
    <t>Non-Isolated PoL Module DC DC Converter 1 Output 0.8 ~ 5.2V 3A 3V - 18V Input</t>
  </si>
  <si>
    <t>RPL-3.0-CT</t>
  </si>
  <si>
    <t>PS1, PS2</t>
  </si>
  <si>
    <t>LGA_SMD_10</t>
  </si>
  <si>
    <t>Recom Power</t>
  </si>
  <si>
    <t>LED1, LED2</t>
  </si>
  <si>
    <t>Mosfet Array 30V 60A 46W Surface Mount PowerPAK® SO-8 Dual</t>
  </si>
  <si>
    <t>SI7997DP-T1-GE3</t>
  </si>
  <si>
    <t>TR1</t>
  </si>
  <si>
    <t>Vishay Siliconix</t>
  </si>
  <si>
    <t>240pF 100A 65VDC</t>
  </si>
  <si>
    <t>MV1, MV2, MV3</t>
  </si>
  <si>
    <t>R12</t>
  </si>
  <si>
    <t>R2, R8, R4, R5, R11, R13</t>
  </si>
  <si>
    <t>R1, R7</t>
  </si>
  <si>
    <t>R3, R9</t>
  </si>
  <si>
    <t>680K</t>
  </si>
  <si>
    <t>R10</t>
  </si>
  <si>
    <t>8.87K_1%</t>
  </si>
  <si>
    <t>R6, R14</t>
  </si>
  <si>
    <t>C5</t>
  </si>
  <si>
    <t>D1</t>
  </si>
  <si>
    <t>J3, J4, J5, J6</t>
  </si>
  <si>
    <t>MV1, MV2</t>
  </si>
  <si>
    <t>JST</t>
  </si>
  <si>
    <t>Amar Radio</t>
  </si>
  <si>
    <t>DCIN1</t>
  </si>
  <si>
    <t>CONN-TH_2P-P5.08_Horizontal</t>
  </si>
  <si>
    <t>RJ45 Single Without Transformer</t>
  </si>
  <si>
    <t>Connector Header Through Hole 4 position 0.079" (2.00mm)</t>
  </si>
  <si>
    <t>B4B-PH-K-S</t>
  </si>
  <si>
    <t>J4, J5, J2, J6, J7, J8, J9, J10, J11, J12, J13, J14</t>
  </si>
  <si>
    <t>HDR-TH_4P-P2.00-V-M</t>
  </si>
  <si>
    <t>JST Sales America Inc./ Digikey</t>
  </si>
  <si>
    <t>B2B-XH-A</t>
  </si>
  <si>
    <t>SPQ (per reel/Tube )</t>
  </si>
  <si>
    <t>PAckage Type</t>
  </si>
  <si>
    <t>Unit Price</t>
  </si>
  <si>
    <t>Total Price</t>
  </si>
  <si>
    <t>Available Qty</t>
  </si>
  <si>
    <t>Receive Qty</t>
  </si>
  <si>
    <t>Total Available Qty</t>
  </si>
  <si>
    <t>Required Qty</t>
  </si>
  <si>
    <t>Difference Qty</t>
  </si>
  <si>
    <t>Local</t>
  </si>
  <si>
    <t>Jst</t>
  </si>
  <si>
    <t>LOCAL</t>
  </si>
  <si>
    <t>1000pcs</t>
  </si>
  <si>
    <t>Tape &amp; Reel</t>
  </si>
  <si>
    <t>100/500/1000pcs</t>
  </si>
  <si>
    <t>Cut Tape (CT) &amp; Digi-Reel</t>
  </si>
  <si>
    <t>1500pcs</t>
  </si>
  <si>
    <t>500/1000pcs</t>
  </si>
  <si>
    <t>100/250/500pcs</t>
  </si>
  <si>
    <t>Cut Tape</t>
  </si>
  <si>
    <t>4000pcs</t>
  </si>
  <si>
    <t>100pcs</t>
  </si>
  <si>
    <t>TRAY</t>
  </si>
  <si>
    <t>2500pcs</t>
  </si>
  <si>
    <t>100/500pcs</t>
  </si>
  <si>
    <t>50pcs</t>
  </si>
  <si>
    <t>Tube</t>
  </si>
  <si>
    <t>100/250/960pcs</t>
  </si>
  <si>
    <t>36pcs</t>
  </si>
  <si>
    <t>1000pcs in reel &amp; 47 pcs in tube</t>
  </si>
  <si>
    <t>Tape &amp; Reel
Tube</t>
  </si>
  <si>
    <t>3000pcs</t>
  </si>
  <si>
    <t>95pcs</t>
  </si>
  <si>
    <t>40pcs</t>
  </si>
  <si>
    <t>250/500pcs</t>
  </si>
  <si>
    <t>Bag</t>
  </si>
  <si>
    <t>500pcs</t>
  </si>
  <si>
    <t>250pcs</t>
  </si>
  <si>
    <t>25pcs</t>
  </si>
  <si>
    <t>600pcs</t>
  </si>
  <si>
    <t>100/250pcs</t>
  </si>
  <si>
    <t>local</t>
  </si>
  <si>
    <t>Pulse Magnetic</t>
  </si>
  <si>
    <t>Qty</t>
  </si>
  <si>
    <t>MOQ</t>
  </si>
  <si>
    <t>0.1uF/50V</t>
  </si>
  <si>
    <t>Cap</t>
  </si>
  <si>
    <t>0.22/250V</t>
  </si>
  <si>
    <t>1000pF/ 2KV/1nf</t>
  </si>
  <si>
    <t>100nF</t>
  </si>
  <si>
    <t>100uF/16V</t>
  </si>
  <si>
    <t>100uF/40V</t>
  </si>
  <si>
    <t>Electrolytic DIP</t>
  </si>
  <si>
    <t>1nF</t>
  </si>
  <si>
    <t>CAP TH</t>
  </si>
  <si>
    <t>22uF</t>
  </si>
  <si>
    <t>CL32B226K250NRL</t>
  </si>
  <si>
    <t>6.8pF</t>
  </si>
  <si>
    <t xml:space="preserve"> 13uH 6A 14mOhm</t>
  </si>
  <si>
    <t>HDR-TH_2P-P2.00-V-M-1</t>
  </si>
  <si>
    <t>CON8-TH-2.00P-1x8P</t>
  </si>
  <si>
    <t>CONN HEADER VERT 2POS 3.96MM</t>
  </si>
  <si>
    <t>455-1639-ND</t>
  </si>
  <si>
    <t>CONN HEADER VERT 4POS 2.5MM</t>
  </si>
  <si>
    <t>DF1B-4P-2.5DSA</t>
  </si>
  <si>
    <t>HDR-TH_2P-P4.0-V-M-1</t>
  </si>
  <si>
    <t>HDR 2Pin 4.00P</t>
  </si>
  <si>
    <t>HDR 8P 2.00P TH</t>
  </si>
  <si>
    <t>HDR-TH_8P-P2.00-V-F-1</t>
  </si>
  <si>
    <t>HDR_2P_2.54P</t>
  </si>
  <si>
    <t>455-B2B-XH-A-ND</t>
  </si>
  <si>
    <t>CONN-TH_2P-P3.96_HT396V-3.96-2P</t>
  </si>
  <si>
    <t>2 PIN IST XH 2.5MM TOP EN</t>
  </si>
  <si>
    <t>MP008493</t>
  </si>
  <si>
    <t>Jack Modular Connector 8p8c (RJ45, Ethernet) 90° Angle (Right) Shielded Cat3</t>
  </si>
  <si>
    <t>JUMPER 2.54 TH</t>
  </si>
  <si>
    <t>TO AUDIO BOARD</t>
  </si>
  <si>
    <t>12Mhz</t>
  </si>
  <si>
    <t>25Mhz</t>
  </si>
  <si>
    <t>3.579545MHz</t>
  </si>
  <si>
    <t>UMV</t>
  </si>
  <si>
    <t>Onsemi</t>
  </si>
  <si>
    <t>RSX301L-30DD</t>
  </si>
  <si>
    <t>ROHM</t>
  </si>
  <si>
    <t>SMLT3V3</t>
  </si>
  <si>
    <t>TPD1E05U06DYAR (SIZE 0201)</t>
  </si>
  <si>
    <t>TI</t>
  </si>
  <si>
    <t>JMD</t>
  </si>
  <si>
    <t>Ethernet Transformer</t>
  </si>
  <si>
    <t>NEXPERIA</t>
  </si>
  <si>
    <t>SEP</t>
  </si>
  <si>
    <t>RTC IC</t>
  </si>
  <si>
    <t>Analog Devices/ maxim</t>
  </si>
  <si>
    <t>SOT-323-5</t>
  </si>
  <si>
    <t>GPIO Expander</t>
  </si>
  <si>
    <t>MCP23017-E_SS</t>
  </si>
  <si>
    <t>Microchip</t>
  </si>
  <si>
    <t>Opto Coupler</t>
  </si>
  <si>
    <t>DTMF Decoder</t>
  </si>
  <si>
    <t>Holtek</t>
  </si>
  <si>
    <t>Serial Port IC</t>
  </si>
  <si>
    <t>Renesas</t>
  </si>
  <si>
    <t>Regulator</t>
  </si>
  <si>
    <t>LM1117-3.3V/TO252</t>
  </si>
  <si>
    <t>NXP</t>
  </si>
  <si>
    <t>Analog Devices / Linear Technology</t>
  </si>
  <si>
    <t>Controller STM32F4</t>
  </si>
  <si>
    <t>Microphone PA</t>
  </si>
  <si>
    <t>E-Tech</t>
  </si>
  <si>
    <t>Omniscient</t>
  </si>
  <si>
    <t>Speaker PA 6W Class D</t>
  </si>
  <si>
    <t>FLASH - NOR Memory IC 64Mbit SPI - Quad I/O 133 MHz 6 ns</t>
  </si>
  <si>
    <t>Winbond</t>
  </si>
  <si>
    <t>LED RED SMD</t>
  </si>
  <si>
    <t>LED_SMD_0603</t>
  </si>
  <si>
    <t>RED _0603</t>
  </si>
  <si>
    <t>Dual-Channel 60 V 40A</t>
  </si>
  <si>
    <t>S17997DPT1</t>
  </si>
  <si>
    <t>SI7997DPT1</t>
  </si>
  <si>
    <t>MOSFET</t>
  </si>
  <si>
    <t>A03400</t>
  </si>
  <si>
    <t>100kΩ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</si>
</sst>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sz val="11.0"/>
      <color theme="1"/>
      <name val="Calibri"/>
    </font>
    <font>
      <sz val="11.0"/>
      <color rgb="FFFFFFFF"/>
      <name val="Calibri"/>
    </font>
    <font>
      <color rgb="FF000000"/>
      <name val="Arial"/>
    </font>
    <font>
      <sz val="11.0"/>
      <color rgb="FF000000"/>
      <name val="Calibri"/>
    </font>
    <font>
      <sz val="11.0"/>
      <color theme="1"/>
      <name val="Arial"/>
    </font>
    <font>
      <sz val="12.0"/>
      <color theme="1"/>
      <name val="Calibri"/>
    </font>
    <font>
      <color theme="1"/>
      <name val="Arial"/>
    </font>
    <font>
      <sz val="12.0"/>
      <color theme="1"/>
      <name val="Arial"/>
    </font>
    <font>
      <sz val="11.0"/>
      <color theme="1"/>
      <name val="Arial"/>
      <scheme val="minor"/>
    </font>
    <font>
      <color rgb="FF000000"/>
      <name val="Arial"/>
      <scheme val="minor"/>
    </font>
    <font>
      <sz val="13.0"/>
      <color theme="1"/>
      <name val="Calibri"/>
    </font>
    <font>
      <b/>
      <sz val="13.0"/>
      <color theme="1"/>
      <name val="Calibri"/>
    </font>
    <font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</fills>
  <borders count="6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2" fillId="2" fontId="4" numFmtId="0" xfId="0" applyAlignment="1" applyBorder="1" applyFont="1">
      <alignment horizontal="center" readingOrder="0" shrinkToFit="0" vertical="bottom" wrapText="1"/>
    </xf>
    <xf borderId="2" fillId="2" fontId="4" numFmtId="0" xfId="0" applyAlignment="1" applyBorder="1" applyFont="1">
      <alignment horizontal="center" shrinkToFit="0" vertical="bottom" wrapText="1"/>
    </xf>
    <xf borderId="2" fillId="2" fontId="4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 shrinkToFit="0" vertical="bottom" wrapText="1"/>
    </xf>
    <xf borderId="2" fillId="0" fontId="5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2" fillId="0" fontId="6" numFmtId="0" xfId="0" applyAlignment="1" applyBorder="1" applyFont="1">
      <alignment horizontal="center" readingOrder="0" shrinkToFit="0" vertical="bottom" wrapText="1"/>
    </xf>
    <xf borderId="2" fillId="0" fontId="7" numFmtId="0" xfId="0" applyAlignment="1" applyBorder="1" applyFont="1">
      <alignment horizontal="center" shrinkToFit="0" vertical="bottom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shrinkToFit="0" vertical="bottom" wrapText="1"/>
    </xf>
    <xf borderId="2" fillId="0" fontId="5" numFmtId="0" xfId="0" applyAlignment="1" applyBorder="1" applyFont="1">
      <alignment horizontal="center" readingOrder="0" shrinkToFit="0" vertical="bottom" wrapText="0"/>
    </xf>
    <xf borderId="2" fillId="0" fontId="8" numFmtId="0" xfId="0" applyAlignment="1" applyBorder="1" applyFont="1">
      <alignment horizontal="center" readingOrder="0" shrinkToFit="0" vertical="bottom" wrapText="1"/>
    </xf>
    <xf borderId="2" fillId="0" fontId="5" numFmtId="0" xfId="0" applyAlignment="1" applyBorder="1" applyFont="1">
      <alignment horizontal="center" shrinkToFit="0" vertical="bottom" wrapText="0"/>
    </xf>
    <xf borderId="2" fillId="0" fontId="9" numFmtId="0" xfId="0" applyAlignment="1" applyBorder="1" applyFont="1">
      <alignment horizontal="center" shrinkToFit="0" vertical="bottom" wrapText="1"/>
    </xf>
    <xf borderId="2" fillId="0" fontId="10" numFmtId="0" xfId="0" applyAlignment="1" applyBorder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readingOrder="0" shrinkToFit="0" wrapText="1"/>
    </xf>
    <xf borderId="2" fillId="0" fontId="11" numFmtId="0" xfId="0" applyAlignment="1" applyBorder="1" applyFon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center" readingOrder="0" shrinkToFit="0" vertical="bottom" wrapText="1"/>
    </xf>
    <xf borderId="2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horizontal="center" vertical="bottom"/>
    </xf>
    <xf borderId="2" fillId="0" fontId="2" numFmtId="0" xfId="0" applyBorder="1" applyFont="1"/>
    <xf borderId="2" fillId="0" fontId="6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2" fillId="0" fontId="6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readingOrder="0"/>
    </xf>
    <xf borderId="2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3" fontId="6" numFmtId="0" xfId="0" applyAlignment="1" applyBorder="1" applyFill="1" applyFont="1">
      <alignment horizontal="center" readingOrder="0" shrinkToFit="0" vertical="bottom" wrapText="1"/>
    </xf>
    <xf borderId="2" fillId="3" fontId="12" numFmtId="0" xfId="0" applyAlignment="1" applyBorder="1" applyFont="1">
      <alignment horizontal="center" readingOrder="0" shrinkToFit="0" wrapText="1"/>
    </xf>
    <xf borderId="2" fillId="4" fontId="2" numFmtId="0" xfId="0" applyAlignment="1" applyBorder="1" applyFill="1" applyFont="1">
      <alignment horizontal="center" readingOrder="0" shrinkToFit="0" wrapText="1"/>
    </xf>
    <xf borderId="2" fillId="5" fontId="2" numFmtId="0" xfId="0" applyAlignment="1" applyBorder="1" applyFill="1" applyFont="1">
      <alignment horizontal="center" shrinkToFit="0" wrapText="1"/>
    </xf>
    <xf borderId="2" fillId="5" fontId="3" numFmtId="0" xfId="0" applyAlignment="1" applyBorder="1" applyFont="1">
      <alignment horizontal="center" shrinkToFit="0" vertical="bottom" wrapText="1"/>
    </xf>
    <xf borderId="2" fillId="5" fontId="2" numFmtId="0" xfId="0" applyAlignment="1" applyBorder="1" applyFont="1">
      <alignment shrinkToFit="0" wrapText="1"/>
    </xf>
    <xf borderId="2" fillId="5" fontId="13" numFmtId="0" xfId="0" applyAlignment="1" applyBorder="1" applyFont="1">
      <alignment horizontal="center" shrinkToFit="0" vertical="bottom" wrapText="1"/>
    </xf>
    <xf borderId="2" fillId="3" fontId="12" numFmtId="0" xfId="0" applyAlignment="1" applyBorder="1" applyFont="1">
      <alignment horizontal="center" shrinkToFit="0" wrapText="1"/>
    </xf>
    <xf borderId="2" fillId="4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readingOrder="0" shrinkToFit="0" wrapText="1"/>
    </xf>
    <xf borderId="2" fillId="0" fontId="6" numFmtId="0" xfId="0" applyAlignment="1" applyBorder="1" applyFont="1">
      <alignment horizontal="center" readingOrder="0" vertical="bottom"/>
    </xf>
    <xf borderId="2" fillId="3" fontId="6" numFmtId="0" xfId="0" applyAlignment="1" applyBorder="1" applyFont="1">
      <alignment horizontal="center" readingOrder="0" vertical="bottom"/>
    </xf>
    <xf borderId="2" fillId="6" fontId="2" numFmtId="0" xfId="0" applyAlignment="1" applyBorder="1" applyFill="1" applyFont="1">
      <alignment horizontal="center" readingOrder="0" shrinkToFit="0" wrapText="1"/>
    </xf>
    <xf borderId="2" fillId="6" fontId="3" numFmtId="0" xfId="0" applyAlignment="1" applyBorder="1" applyFont="1">
      <alignment horizontal="center" readingOrder="0" shrinkToFit="0" vertical="bottom" wrapText="1"/>
    </xf>
    <xf borderId="2" fillId="6" fontId="3" numFmtId="0" xfId="0" applyAlignment="1" applyBorder="1" applyFont="1">
      <alignment horizontal="center" shrinkToFit="0" vertical="bottom" wrapText="1"/>
    </xf>
    <xf borderId="2" fillId="6" fontId="6" numFmtId="0" xfId="0" applyAlignment="1" applyBorder="1" applyFont="1">
      <alignment horizontal="center" readingOrder="0" shrinkToFit="0" vertical="bottom" wrapText="1"/>
    </xf>
    <xf borderId="2" fillId="6" fontId="12" numFmtId="0" xfId="0" applyAlignment="1" applyBorder="1" applyFont="1">
      <alignment horizontal="center" readingOrder="0" shrinkToFit="0" wrapText="1"/>
    </xf>
    <xf borderId="2" fillId="6" fontId="12" numFmtId="0" xfId="0" applyAlignment="1" applyBorder="1" applyFont="1">
      <alignment horizontal="center" shrinkToFit="0" wrapText="1"/>
    </xf>
    <xf borderId="2" fillId="6" fontId="2" numFmtId="0" xfId="0" applyAlignment="1" applyBorder="1" applyFont="1">
      <alignment horizontal="center" shrinkToFit="0" wrapText="1"/>
    </xf>
    <xf borderId="2" fillId="7" fontId="2" numFmtId="0" xfId="0" applyAlignment="1" applyBorder="1" applyFill="1" applyFont="1">
      <alignment horizontal="center" readingOrder="0" shrinkToFit="0" wrapText="1"/>
    </xf>
    <xf borderId="2" fillId="7" fontId="3" numFmtId="0" xfId="0" applyAlignment="1" applyBorder="1" applyFont="1">
      <alignment horizontal="center" readingOrder="0" shrinkToFit="0" vertical="bottom" wrapText="1"/>
    </xf>
    <xf borderId="2" fillId="7" fontId="3" numFmtId="0" xfId="0" applyAlignment="1" applyBorder="1" applyFont="1">
      <alignment horizontal="center" shrinkToFit="0" vertical="bottom" wrapText="1"/>
    </xf>
    <xf borderId="2" fillId="7" fontId="6" numFmtId="0" xfId="0" applyAlignment="1" applyBorder="1" applyFont="1">
      <alignment horizontal="center" readingOrder="0" shrinkToFit="0" vertical="bottom" wrapText="1"/>
    </xf>
    <xf borderId="2" fillId="7" fontId="12" numFmtId="0" xfId="0" applyAlignment="1" applyBorder="1" applyFont="1">
      <alignment horizontal="center" readingOrder="0" shrinkToFit="0" wrapText="1"/>
    </xf>
    <xf borderId="2" fillId="7" fontId="12" numFmtId="0" xfId="0" applyAlignment="1" applyBorder="1" applyFont="1">
      <alignment horizontal="center" shrinkToFit="0" wrapText="1"/>
    </xf>
    <xf borderId="2" fillId="7" fontId="2" numFmtId="0" xfId="0" applyAlignment="1" applyBorder="1" applyFont="1">
      <alignment horizontal="center" shrinkToFit="0" wrapText="1"/>
    </xf>
    <xf borderId="2" fillId="5" fontId="2" numFmtId="0" xfId="0" applyAlignment="1" applyBorder="1" applyFont="1">
      <alignment horizontal="center" readingOrder="0" shrinkToFit="0" wrapText="1"/>
    </xf>
    <xf borderId="2" fillId="5" fontId="3" numFmtId="0" xfId="0" applyAlignment="1" applyBorder="1" applyFont="1">
      <alignment horizontal="center" readingOrder="0" shrinkToFit="0" vertical="bottom" wrapText="1"/>
    </xf>
    <xf borderId="2" fillId="8" fontId="3" numFmtId="0" xfId="0" applyAlignment="1" applyBorder="1" applyFill="1" applyFont="1">
      <alignment horizontal="center" shrinkToFit="0" vertical="bottom" wrapText="1"/>
    </xf>
    <xf borderId="2" fillId="8" fontId="3" numFmtId="0" xfId="0" applyAlignment="1" applyBorder="1" applyFont="1">
      <alignment horizontal="center" readingOrder="0" shrinkToFit="0" vertical="bottom" wrapText="1"/>
    </xf>
    <xf borderId="2" fillId="9" fontId="3" numFmtId="0" xfId="0" applyAlignment="1" applyBorder="1" applyFill="1" applyFont="1">
      <alignment horizontal="center" shrinkToFit="0" vertical="bottom" wrapText="1"/>
    </xf>
    <xf borderId="2" fillId="6" fontId="6" numFmtId="0" xfId="0" applyAlignment="1" applyBorder="1" applyFont="1">
      <alignment horizontal="center" readingOrder="0" vertical="bottom"/>
    </xf>
    <xf borderId="2" fillId="6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shrinkToFit="0" wrapText="1"/>
    </xf>
    <xf borderId="0" fillId="0" fontId="2" numFmtId="0" xfId="0" applyFont="1"/>
    <xf borderId="2" fillId="0" fontId="2" numFmtId="0" xfId="0" applyAlignment="1" applyBorder="1" applyFont="1">
      <alignment readingOrder="0" shrinkToFit="0" wrapText="1"/>
    </xf>
    <xf borderId="2" fillId="3" fontId="6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left" readingOrder="0" shrinkToFit="0" vertical="bottom" wrapText="1"/>
    </xf>
    <xf borderId="3" fillId="5" fontId="2" numFmtId="0" xfId="0" applyAlignment="1" applyBorder="1" applyFont="1">
      <alignment horizontal="center" shrinkToFit="0" wrapText="1"/>
    </xf>
    <xf borderId="4" fillId="5" fontId="3" numFmtId="0" xfId="0" applyAlignment="1" applyBorder="1" applyFont="1">
      <alignment horizontal="center" shrinkToFit="0" vertical="bottom" wrapText="1"/>
    </xf>
    <xf borderId="4" fillId="5" fontId="2" numFmtId="0" xfId="0" applyBorder="1" applyFont="1"/>
    <xf borderId="4" fillId="5" fontId="14" numFmtId="0" xfId="0" applyAlignment="1" applyBorder="1" applyFont="1">
      <alignment horizontal="center" shrinkToFit="0" vertical="bottom" wrapText="1"/>
    </xf>
    <xf borderId="4" fillId="5" fontId="2" numFmtId="0" xfId="0" applyAlignment="1" applyBorder="1" applyFont="1">
      <alignment horizontal="center" shrinkToFit="0" wrapText="1"/>
    </xf>
    <xf borderId="5" fillId="5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7" fontId="15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2.0"/>
    <col customWidth="1" min="3" max="3" width="18.25"/>
    <col customWidth="1" min="4" max="4" width="29.75"/>
    <col customWidth="1" min="5" max="5" width="22.13"/>
    <col customWidth="1" min="6" max="6" width="51.38"/>
    <col customWidth="1" min="7" max="7" width="9.5"/>
    <col customWidth="1" min="8" max="8" width="29.25"/>
    <col customWidth="1" min="10" max="10" width="19.75"/>
    <col customWidth="1" min="11" max="11" width="27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6"/>
      <c r="B3" s="7"/>
      <c r="C3" s="7"/>
      <c r="D3" s="7"/>
      <c r="E3" s="7"/>
      <c r="F3" s="7"/>
      <c r="G3" s="7"/>
      <c r="H3" s="7"/>
      <c r="I3" s="7"/>
      <c r="J3" s="8"/>
      <c r="K3" s="9"/>
    </row>
    <row r="4">
      <c r="A4" s="6"/>
      <c r="B4" s="7"/>
      <c r="C4" s="7"/>
      <c r="D4" s="7"/>
      <c r="E4" s="7"/>
      <c r="F4" s="7"/>
      <c r="G4" s="7"/>
      <c r="H4" s="7"/>
      <c r="I4" s="7"/>
      <c r="J4" s="8"/>
      <c r="K4" s="9"/>
    </row>
    <row r="5">
      <c r="A5" s="6"/>
      <c r="B5" s="7"/>
      <c r="C5" s="7"/>
      <c r="D5" s="7"/>
      <c r="E5" s="7"/>
      <c r="F5" s="7"/>
      <c r="G5" s="7"/>
      <c r="H5" s="7"/>
      <c r="I5" s="7"/>
      <c r="J5" s="8"/>
      <c r="K5" s="9"/>
    </row>
    <row r="6">
      <c r="A6" s="6"/>
      <c r="B6" s="7"/>
      <c r="C6" s="7"/>
      <c r="D6" s="7"/>
      <c r="E6" s="7"/>
      <c r="F6" s="7"/>
      <c r="G6" s="7"/>
      <c r="H6" s="7"/>
      <c r="I6" s="7"/>
      <c r="J6" s="8"/>
      <c r="K6" s="9"/>
    </row>
    <row r="7">
      <c r="A7" s="6"/>
      <c r="B7" s="7"/>
      <c r="C7" s="7"/>
      <c r="D7" s="7"/>
      <c r="E7" s="7"/>
      <c r="F7" s="7"/>
      <c r="G7" s="7"/>
      <c r="H7" s="7"/>
      <c r="I7" s="7"/>
      <c r="J7" s="8"/>
      <c r="K7" s="9"/>
    </row>
    <row r="8">
      <c r="A8" s="6"/>
      <c r="B8" s="7"/>
      <c r="C8" s="7"/>
      <c r="D8" s="7"/>
      <c r="E8" s="7"/>
      <c r="F8" s="7"/>
      <c r="G8" s="7"/>
      <c r="H8" s="7"/>
      <c r="I8" s="7"/>
      <c r="J8" s="8"/>
      <c r="K8" s="9"/>
    </row>
    <row r="9">
      <c r="A9" s="6"/>
      <c r="B9" s="7"/>
      <c r="C9" s="7"/>
      <c r="D9" s="7"/>
      <c r="E9" s="7"/>
      <c r="F9" s="7"/>
      <c r="G9" s="7"/>
      <c r="H9" s="7"/>
      <c r="I9" s="7"/>
      <c r="J9" s="8"/>
      <c r="K9" s="9"/>
    </row>
    <row r="10">
      <c r="A10" s="6"/>
      <c r="B10" s="7"/>
      <c r="C10" s="7"/>
      <c r="D10" s="7"/>
      <c r="E10" s="7"/>
      <c r="F10" s="7"/>
      <c r="G10" s="7"/>
      <c r="H10" s="7"/>
      <c r="I10" s="7"/>
      <c r="J10" s="8"/>
      <c r="K10" s="9"/>
    </row>
    <row r="11">
      <c r="A11" s="6"/>
      <c r="B11" s="7"/>
      <c r="C11" s="7"/>
      <c r="D11" s="7"/>
      <c r="E11" s="7"/>
      <c r="F11" s="7"/>
      <c r="G11" s="7"/>
      <c r="H11" s="7"/>
      <c r="I11" s="7"/>
      <c r="J11" s="8"/>
      <c r="K11" s="9"/>
    </row>
    <row r="12">
      <c r="A12" s="6"/>
      <c r="B12" s="7"/>
      <c r="C12" s="7"/>
      <c r="D12" s="7"/>
      <c r="E12" s="7"/>
      <c r="F12" s="7"/>
      <c r="G12" s="7"/>
      <c r="H12" s="7"/>
      <c r="I12" s="7"/>
      <c r="J12" s="8"/>
      <c r="K12" s="9"/>
    </row>
    <row r="13">
      <c r="A13" s="6"/>
      <c r="B13" s="7"/>
      <c r="C13" s="7"/>
      <c r="D13" s="7"/>
      <c r="E13" s="7"/>
      <c r="F13" s="7"/>
      <c r="G13" s="7"/>
      <c r="H13" s="7"/>
      <c r="I13" s="7"/>
      <c r="J13" s="8"/>
      <c r="K13" s="9"/>
    </row>
    <row r="14">
      <c r="A14" s="6"/>
      <c r="B14" s="7"/>
      <c r="C14" s="7"/>
      <c r="D14" s="7"/>
      <c r="E14" s="7"/>
      <c r="F14" s="7"/>
      <c r="G14" s="7"/>
      <c r="H14" s="7"/>
      <c r="I14" s="7"/>
      <c r="J14" s="8"/>
      <c r="K14" s="9"/>
    </row>
    <row r="15">
      <c r="A15" s="6"/>
      <c r="B15" s="7"/>
      <c r="C15" s="7"/>
      <c r="D15" s="7"/>
      <c r="E15" s="7"/>
      <c r="F15" s="7"/>
      <c r="G15" s="7"/>
      <c r="H15" s="7"/>
      <c r="I15" s="7"/>
      <c r="J15" s="8"/>
      <c r="K15" s="9"/>
    </row>
    <row r="16">
      <c r="A16" s="6"/>
      <c r="B16" s="7"/>
      <c r="C16" s="7"/>
      <c r="D16" s="7"/>
      <c r="E16" s="7"/>
      <c r="F16" s="7"/>
      <c r="G16" s="7"/>
      <c r="H16" s="7"/>
      <c r="I16" s="7"/>
      <c r="J16" s="8"/>
      <c r="K16" s="9"/>
    </row>
    <row r="17">
      <c r="A17" s="6"/>
      <c r="B17" s="7"/>
      <c r="C17" s="7"/>
      <c r="D17" s="7"/>
      <c r="E17" s="7"/>
      <c r="F17" s="7"/>
      <c r="G17" s="7"/>
      <c r="H17" s="7"/>
      <c r="I17" s="7"/>
      <c r="J17" s="8"/>
      <c r="K17" s="9"/>
    </row>
    <row r="18">
      <c r="A18" s="6"/>
      <c r="B18" s="7"/>
      <c r="C18" s="7"/>
      <c r="D18" s="7"/>
      <c r="E18" s="7"/>
      <c r="F18" s="7"/>
      <c r="G18" s="7"/>
      <c r="H18" s="7"/>
      <c r="I18" s="7"/>
      <c r="J18" s="8"/>
      <c r="K18" s="9"/>
    </row>
    <row r="19">
      <c r="A19" s="6"/>
      <c r="B19" s="7"/>
      <c r="C19" s="7"/>
      <c r="D19" s="7"/>
      <c r="E19" s="7"/>
      <c r="F19" s="7"/>
      <c r="G19" s="7"/>
      <c r="H19" s="7"/>
      <c r="I19" s="7"/>
      <c r="J19" s="8"/>
      <c r="K19" s="9"/>
    </row>
    <row r="20">
      <c r="A20" s="6"/>
      <c r="B20" s="7"/>
      <c r="C20" s="7"/>
      <c r="D20" s="7"/>
      <c r="E20" s="7"/>
      <c r="F20" s="7"/>
      <c r="G20" s="7"/>
      <c r="H20" s="7"/>
      <c r="I20" s="7"/>
      <c r="J20" s="8"/>
      <c r="K20" s="9"/>
    </row>
    <row r="21">
      <c r="A21" s="6"/>
      <c r="B21" s="7"/>
      <c r="C21" s="7"/>
      <c r="D21" s="7"/>
      <c r="E21" s="7"/>
      <c r="F21" s="7"/>
      <c r="G21" s="7"/>
      <c r="H21" s="7"/>
      <c r="I21" s="7"/>
      <c r="J21" s="8"/>
      <c r="K21" s="9"/>
    </row>
    <row r="22">
      <c r="A22" s="6"/>
      <c r="B22" s="7"/>
      <c r="C22" s="7"/>
      <c r="D22" s="7"/>
      <c r="E22" s="7"/>
      <c r="F22" s="7"/>
      <c r="G22" s="7"/>
      <c r="H22" s="7"/>
      <c r="I22" s="7"/>
      <c r="J22" s="8"/>
      <c r="K22" s="9"/>
    </row>
    <row r="23">
      <c r="A23" s="6"/>
      <c r="B23" s="7"/>
      <c r="C23" s="7"/>
      <c r="D23" s="7"/>
      <c r="E23" s="7"/>
      <c r="F23" s="7"/>
      <c r="G23" s="7"/>
      <c r="H23" s="7"/>
      <c r="I23" s="7"/>
      <c r="J23" s="8"/>
      <c r="K23" s="9"/>
    </row>
    <row r="24">
      <c r="A24" s="6"/>
      <c r="B24" s="7"/>
      <c r="C24" s="7"/>
      <c r="D24" s="7"/>
      <c r="E24" s="7"/>
      <c r="F24" s="7"/>
      <c r="G24" s="7"/>
      <c r="H24" s="7"/>
      <c r="I24" s="7"/>
      <c r="J24" s="8"/>
      <c r="K24" s="9"/>
    </row>
    <row r="25">
      <c r="A25" s="6"/>
      <c r="B25" s="7"/>
      <c r="C25" s="7"/>
      <c r="D25" s="7"/>
      <c r="E25" s="7"/>
      <c r="F25" s="7"/>
      <c r="G25" s="7"/>
      <c r="H25" s="7"/>
      <c r="I25" s="7"/>
      <c r="J25" s="8"/>
      <c r="K25" s="9"/>
    </row>
    <row r="26">
      <c r="A26" s="6"/>
      <c r="B26" s="7"/>
      <c r="C26" s="7"/>
      <c r="D26" s="7"/>
      <c r="E26" s="7"/>
      <c r="F26" s="7"/>
      <c r="G26" s="7"/>
      <c r="H26" s="7"/>
      <c r="I26" s="7"/>
      <c r="J26" s="8"/>
      <c r="K26" s="9"/>
    </row>
    <row r="27">
      <c r="A27" s="6"/>
      <c r="B27" s="7"/>
      <c r="C27" s="7"/>
      <c r="D27" s="7"/>
      <c r="E27" s="7"/>
      <c r="F27" s="7"/>
      <c r="G27" s="7"/>
      <c r="H27" s="7"/>
      <c r="I27" s="7"/>
      <c r="J27" s="8"/>
      <c r="K27" s="9"/>
    </row>
    <row r="28">
      <c r="A28" s="6"/>
      <c r="B28" s="7"/>
      <c r="C28" s="7"/>
      <c r="D28" s="7"/>
      <c r="E28" s="7"/>
      <c r="F28" s="7"/>
      <c r="G28" s="7"/>
      <c r="H28" s="7"/>
      <c r="I28" s="7"/>
      <c r="J28" s="8"/>
      <c r="K28" s="9"/>
    </row>
    <row r="29">
      <c r="A29" s="6"/>
      <c r="B29" s="7"/>
      <c r="C29" s="7"/>
      <c r="D29" s="7"/>
      <c r="E29" s="7"/>
      <c r="F29" s="7"/>
      <c r="G29" s="7"/>
      <c r="H29" s="7"/>
      <c r="I29" s="7"/>
      <c r="J29" s="8"/>
      <c r="K29" s="9"/>
    </row>
    <row r="30">
      <c r="A30" s="6"/>
      <c r="B30" s="7"/>
      <c r="C30" s="7"/>
      <c r="D30" s="7"/>
      <c r="E30" s="7"/>
      <c r="F30" s="7"/>
      <c r="G30" s="7"/>
      <c r="H30" s="7"/>
      <c r="I30" s="7"/>
      <c r="J30" s="8"/>
      <c r="K30" s="9"/>
    </row>
    <row r="31">
      <c r="A31" s="6"/>
      <c r="B31" s="7"/>
      <c r="C31" s="7"/>
      <c r="D31" s="7"/>
      <c r="E31" s="7"/>
      <c r="F31" s="7"/>
      <c r="G31" s="7"/>
      <c r="H31" s="7"/>
      <c r="I31" s="7"/>
      <c r="J31" s="8"/>
      <c r="K31" s="9"/>
    </row>
    <row r="32">
      <c r="A32" s="6"/>
      <c r="B32" s="7"/>
      <c r="C32" s="7"/>
      <c r="D32" s="7"/>
      <c r="E32" s="7"/>
      <c r="F32" s="7"/>
      <c r="G32" s="7"/>
      <c r="H32" s="7"/>
      <c r="I32" s="7"/>
      <c r="J32" s="8"/>
      <c r="K32" s="9"/>
    </row>
    <row r="33">
      <c r="A33" s="6"/>
      <c r="B33" s="7"/>
      <c r="C33" s="7"/>
      <c r="D33" s="7"/>
      <c r="E33" s="7"/>
      <c r="F33" s="7"/>
      <c r="G33" s="7"/>
      <c r="H33" s="7"/>
      <c r="I33" s="7"/>
      <c r="J33" s="8"/>
      <c r="K33" s="9"/>
    </row>
    <row r="34">
      <c r="A34" s="6"/>
      <c r="B34" s="7"/>
      <c r="C34" s="7"/>
      <c r="D34" s="7"/>
      <c r="E34" s="7"/>
      <c r="F34" s="7"/>
      <c r="G34" s="7"/>
      <c r="H34" s="7"/>
      <c r="I34" s="7"/>
      <c r="J34" s="8"/>
      <c r="K34" s="9"/>
    </row>
    <row r="35">
      <c r="A35" s="6"/>
      <c r="B35" s="7"/>
      <c r="C35" s="7"/>
      <c r="D35" s="7"/>
      <c r="E35" s="7"/>
      <c r="F35" s="7"/>
      <c r="G35" s="7"/>
      <c r="H35" s="7"/>
      <c r="I35" s="7"/>
      <c r="J35" s="8"/>
      <c r="K35" s="9"/>
    </row>
    <row r="36">
      <c r="A36" s="6"/>
      <c r="B36" s="7"/>
      <c r="C36" s="7"/>
      <c r="D36" s="7"/>
      <c r="E36" s="7"/>
      <c r="F36" s="7"/>
      <c r="G36" s="7"/>
      <c r="H36" s="7"/>
      <c r="I36" s="7"/>
      <c r="J36" s="8"/>
      <c r="K36" s="9"/>
    </row>
    <row r="37">
      <c r="A37" s="6"/>
      <c r="B37" s="7"/>
      <c r="C37" s="7"/>
      <c r="D37" s="7"/>
      <c r="E37" s="7"/>
      <c r="F37" s="7"/>
      <c r="G37" s="7"/>
      <c r="H37" s="7"/>
      <c r="I37" s="7"/>
      <c r="J37" s="8"/>
      <c r="K37" s="9"/>
    </row>
    <row r="38">
      <c r="A38" s="6"/>
      <c r="B38" s="7"/>
      <c r="C38" s="7"/>
      <c r="D38" s="7"/>
      <c r="E38" s="7"/>
      <c r="F38" s="7"/>
      <c r="G38" s="7"/>
      <c r="H38" s="7"/>
      <c r="I38" s="7"/>
      <c r="J38" s="8"/>
      <c r="K38" s="9"/>
    </row>
    <row r="39">
      <c r="A39" s="6"/>
      <c r="B39" s="7"/>
      <c r="C39" s="7"/>
      <c r="D39" s="7"/>
      <c r="E39" s="7"/>
      <c r="F39" s="7"/>
      <c r="G39" s="7"/>
      <c r="H39" s="7"/>
      <c r="I39" s="7"/>
      <c r="J39" s="8"/>
      <c r="K39" s="9"/>
    </row>
    <row r="40">
      <c r="A40" s="6"/>
      <c r="B40" s="7"/>
      <c r="C40" s="7"/>
      <c r="D40" s="7"/>
      <c r="E40" s="7"/>
      <c r="F40" s="7"/>
      <c r="G40" s="7"/>
      <c r="H40" s="7"/>
      <c r="I40" s="7"/>
      <c r="J40" s="8"/>
      <c r="K40" s="9"/>
    </row>
    <row r="41">
      <c r="A41" s="6"/>
      <c r="B41" s="7"/>
      <c r="C41" s="7"/>
      <c r="D41" s="7"/>
      <c r="E41" s="7"/>
      <c r="F41" s="7"/>
      <c r="G41" s="7"/>
      <c r="H41" s="7"/>
      <c r="I41" s="7"/>
      <c r="J41" s="8"/>
      <c r="K41" s="9"/>
    </row>
    <row r="42">
      <c r="A42" s="6"/>
      <c r="B42" s="7"/>
      <c r="C42" s="7"/>
      <c r="D42" s="7"/>
      <c r="E42" s="7"/>
      <c r="F42" s="7"/>
      <c r="G42" s="7"/>
      <c r="H42" s="7"/>
      <c r="I42" s="7"/>
      <c r="J42" s="8"/>
      <c r="K42" s="9"/>
    </row>
    <row r="43">
      <c r="A43" s="6"/>
      <c r="B43" s="7"/>
      <c r="C43" s="7"/>
      <c r="D43" s="7"/>
      <c r="E43" s="7"/>
      <c r="F43" s="7"/>
      <c r="G43" s="7"/>
      <c r="H43" s="7"/>
      <c r="I43" s="7"/>
      <c r="J43" s="8"/>
      <c r="K43" s="9"/>
    </row>
    <row r="44">
      <c r="A44" s="6"/>
      <c r="B44" s="7"/>
      <c r="C44" s="7"/>
      <c r="D44" s="7"/>
      <c r="E44" s="7"/>
      <c r="F44" s="7"/>
      <c r="G44" s="7"/>
      <c r="H44" s="7"/>
      <c r="I44" s="7"/>
      <c r="J44" s="8"/>
      <c r="K44" s="9"/>
    </row>
    <row r="45">
      <c r="A45" s="6"/>
      <c r="B45" s="7"/>
      <c r="C45" s="7"/>
      <c r="D45" s="7"/>
      <c r="E45" s="7"/>
      <c r="F45" s="7"/>
      <c r="G45" s="7"/>
      <c r="H45" s="7"/>
      <c r="I45" s="7"/>
      <c r="J45" s="8"/>
      <c r="K45" s="9"/>
    </row>
    <row r="46">
      <c r="A46" s="6"/>
      <c r="B46" s="7"/>
      <c r="C46" s="7"/>
      <c r="D46" s="7"/>
      <c r="E46" s="7"/>
      <c r="F46" s="7"/>
      <c r="G46" s="7"/>
      <c r="H46" s="7"/>
      <c r="I46" s="7"/>
      <c r="J46" s="8"/>
      <c r="K46" s="9"/>
    </row>
    <row r="47">
      <c r="A47" s="6"/>
      <c r="B47" s="7"/>
      <c r="C47" s="7"/>
      <c r="D47" s="7"/>
      <c r="E47" s="7"/>
      <c r="F47" s="7"/>
      <c r="G47" s="7"/>
      <c r="H47" s="7"/>
      <c r="I47" s="7"/>
      <c r="J47" s="8"/>
      <c r="K47" s="9"/>
    </row>
    <row r="48">
      <c r="A48" s="6"/>
      <c r="B48" s="7"/>
      <c r="C48" s="7"/>
      <c r="D48" s="7"/>
      <c r="E48" s="7"/>
      <c r="F48" s="7"/>
      <c r="G48" s="7"/>
      <c r="H48" s="7"/>
      <c r="I48" s="7"/>
      <c r="J48" s="8"/>
      <c r="K48" s="9"/>
    </row>
    <row r="49">
      <c r="A49" s="6"/>
      <c r="B49" s="7"/>
      <c r="C49" s="7"/>
      <c r="D49" s="7"/>
      <c r="E49" s="7"/>
      <c r="F49" s="7"/>
      <c r="G49" s="7"/>
      <c r="H49" s="7"/>
      <c r="I49" s="7"/>
      <c r="J49" s="8"/>
      <c r="K49" s="9"/>
    </row>
    <row r="50">
      <c r="A50" s="6"/>
      <c r="B50" s="7"/>
      <c r="C50" s="7"/>
      <c r="D50" s="7"/>
      <c r="E50" s="7"/>
      <c r="F50" s="7"/>
      <c r="G50" s="7"/>
      <c r="H50" s="7"/>
      <c r="I50" s="7"/>
      <c r="J50" s="8"/>
      <c r="K50" s="9"/>
    </row>
    <row r="51">
      <c r="A51" s="6"/>
      <c r="B51" s="7"/>
      <c r="C51" s="7"/>
      <c r="D51" s="7"/>
      <c r="E51" s="7"/>
      <c r="F51" s="7"/>
      <c r="G51" s="7"/>
      <c r="H51" s="7"/>
      <c r="I51" s="7"/>
      <c r="J51" s="8"/>
      <c r="K51" s="9"/>
    </row>
    <row r="52">
      <c r="A52" s="6"/>
      <c r="B52" s="7"/>
      <c r="C52" s="7"/>
      <c r="D52" s="7"/>
      <c r="E52" s="7"/>
      <c r="F52" s="7"/>
      <c r="G52" s="7"/>
      <c r="H52" s="7"/>
      <c r="I52" s="7"/>
      <c r="J52" s="8"/>
      <c r="K52" s="9"/>
    </row>
    <row r="53">
      <c r="A53" s="6"/>
      <c r="B53" s="7"/>
      <c r="C53" s="7"/>
      <c r="D53" s="7"/>
      <c r="E53" s="7"/>
      <c r="F53" s="7"/>
      <c r="G53" s="7"/>
      <c r="H53" s="7"/>
      <c r="I53" s="7"/>
      <c r="J53" s="8"/>
      <c r="K53" s="9"/>
    </row>
    <row r="54">
      <c r="A54" s="6"/>
      <c r="B54" s="7"/>
      <c r="C54" s="7"/>
      <c r="D54" s="7"/>
      <c r="E54" s="7"/>
      <c r="F54" s="7"/>
      <c r="G54" s="7"/>
      <c r="H54" s="7"/>
      <c r="I54" s="7"/>
      <c r="J54" s="8"/>
      <c r="K54" s="9"/>
    </row>
    <row r="55">
      <c r="A55" s="6"/>
      <c r="B55" s="7"/>
      <c r="C55" s="7"/>
      <c r="D55" s="7"/>
      <c r="E55" s="7"/>
      <c r="F55" s="7"/>
      <c r="G55" s="7"/>
      <c r="H55" s="7"/>
      <c r="I55" s="7"/>
      <c r="J55" s="8"/>
      <c r="K55" s="9"/>
    </row>
    <row r="56">
      <c r="A56" s="6"/>
      <c r="B56" s="7"/>
      <c r="C56" s="7"/>
      <c r="D56" s="7"/>
      <c r="E56" s="7"/>
      <c r="F56" s="7"/>
      <c r="G56" s="7"/>
      <c r="H56" s="7"/>
      <c r="I56" s="7"/>
      <c r="J56" s="8"/>
      <c r="K56" s="9"/>
    </row>
    <row r="57">
      <c r="A57" s="6"/>
      <c r="B57" s="7"/>
      <c r="C57" s="7"/>
      <c r="D57" s="7"/>
      <c r="E57" s="7"/>
      <c r="F57" s="7"/>
      <c r="G57" s="7"/>
      <c r="H57" s="7"/>
      <c r="I57" s="7"/>
      <c r="J57" s="8"/>
      <c r="K57" s="9"/>
    </row>
    <row r="58">
      <c r="A58" s="6"/>
      <c r="B58" s="7"/>
      <c r="C58" s="7"/>
      <c r="D58" s="7"/>
      <c r="E58" s="7"/>
      <c r="F58" s="7"/>
      <c r="G58" s="7"/>
      <c r="H58" s="7"/>
      <c r="I58" s="7"/>
      <c r="J58" s="8"/>
      <c r="K58" s="9"/>
    </row>
    <row r="59">
      <c r="A59" s="6"/>
      <c r="B59" s="7"/>
      <c r="C59" s="7"/>
      <c r="D59" s="7"/>
      <c r="E59" s="7"/>
      <c r="F59" s="7"/>
      <c r="G59" s="7"/>
      <c r="H59" s="7"/>
      <c r="I59" s="7"/>
      <c r="J59" s="8"/>
      <c r="K59" s="9"/>
    </row>
    <row r="60">
      <c r="A60" s="6"/>
      <c r="B60" s="7"/>
      <c r="C60" s="7"/>
      <c r="D60" s="7"/>
      <c r="E60" s="7"/>
      <c r="F60" s="7"/>
      <c r="G60" s="7"/>
      <c r="H60" s="7"/>
      <c r="I60" s="7"/>
      <c r="J60" s="8"/>
      <c r="K60" s="9"/>
    </row>
    <row r="61">
      <c r="A61" s="6"/>
      <c r="B61" s="7"/>
      <c r="C61" s="7"/>
      <c r="D61" s="7"/>
      <c r="E61" s="7"/>
      <c r="F61" s="7"/>
      <c r="G61" s="7"/>
      <c r="H61" s="7"/>
      <c r="I61" s="7"/>
      <c r="J61" s="8"/>
      <c r="K61" s="9"/>
    </row>
    <row r="62">
      <c r="A62" s="6"/>
      <c r="B62" s="7"/>
      <c r="C62" s="7"/>
      <c r="D62" s="7"/>
      <c r="E62" s="7"/>
      <c r="F62" s="7"/>
      <c r="G62" s="7"/>
      <c r="H62" s="7"/>
      <c r="I62" s="7"/>
      <c r="J62" s="8"/>
      <c r="K62" s="9"/>
    </row>
    <row r="63">
      <c r="A63" s="6"/>
      <c r="B63" s="7"/>
      <c r="C63" s="7"/>
      <c r="D63" s="7"/>
      <c r="E63" s="7"/>
      <c r="F63" s="7"/>
      <c r="G63" s="7"/>
      <c r="H63" s="7"/>
      <c r="I63" s="7"/>
      <c r="J63" s="8"/>
      <c r="K63" s="9"/>
    </row>
    <row r="64">
      <c r="A64" s="6"/>
      <c r="B64" s="7"/>
      <c r="C64" s="7"/>
      <c r="D64" s="7"/>
      <c r="E64" s="7"/>
      <c r="F64" s="7"/>
      <c r="G64" s="7"/>
      <c r="H64" s="7"/>
      <c r="I64" s="7"/>
      <c r="J64" s="8"/>
      <c r="K64" s="9"/>
    </row>
    <row r="65">
      <c r="A65" s="6"/>
      <c r="B65" s="7"/>
      <c r="C65" s="7"/>
      <c r="D65" s="7"/>
      <c r="E65" s="7"/>
      <c r="F65" s="7"/>
      <c r="G65" s="7"/>
      <c r="H65" s="7"/>
      <c r="I65" s="7"/>
      <c r="J65" s="8"/>
      <c r="K65" s="9"/>
    </row>
    <row r="66">
      <c r="A66" s="6"/>
      <c r="B66" s="7"/>
      <c r="C66" s="7"/>
      <c r="D66" s="7"/>
      <c r="E66" s="7"/>
      <c r="F66" s="7"/>
      <c r="G66" s="7"/>
      <c r="H66" s="7"/>
      <c r="I66" s="7"/>
      <c r="J66" s="8"/>
      <c r="K66" s="9"/>
    </row>
    <row r="67">
      <c r="A67" s="6"/>
      <c r="B67" s="7"/>
      <c r="C67" s="7"/>
      <c r="D67" s="7"/>
      <c r="E67" s="7"/>
      <c r="F67" s="7"/>
      <c r="G67" s="7"/>
      <c r="H67" s="7"/>
      <c r="I67" s="7"/>
      <c r="J67" s="8"/>
      <c r="K67" s="9"/>
    </row>
    <row r="68">
      <c r="A68" s="6"/>
      <c r="B68" s="7"/>
      <c r="C68" s="7"/>
      <c r="D68" s="7"/>
      <c r="E68" s="7"/>
      <c r="F68" s="7"/>
      <c r="G68" s="7"/>
      <c r="H68" s="7"/>
      <c r="I68" s="7"/>
      <c r="J68" s="8"/>
      <c r="K68" s="9"/>
    </row>
    <row r="69">
      <c r="A69" s="6"/>
      <c r="B69" s="7"/>
      <c r="C69" s="7"/>
      <c r="D69" s="7"/>
      <c r="E69" s="7"/>
      <c r="F69" s="7"/>
      <c r="G69" s="7"/>
      <c r="H69" s="7"/>
      <c r="I69" s="7"/>
      <c r="J69" s="8"/>
      <c r="K69" s="9"/>
    </row>
    <row r="70">
      <c r="A70" s="6"/>
      <c r="B70" s="7"/>
      <c r="C70" s="7"/>
      <c r="D70" s="7"/>
      <c r="E70" s="7"/>
      <c r="F70" s="7"/>
      <c r="G70" s="7"/>
      <c r="H70" s="7"/>
      <c r="I70" s="7"/>
      <c r="J70" s="8"/>
      <c r="K70" s="9"/>
    </row>
    <row r="71">
      <c r="A71" s="6"/>
      <c r="B71" s="7"/>
      <c r="C71" s="7"/>
      <c r="D71" s="7"/>
      <c r="E71" s="7"/>
      <c r="F71" s="7"/>
      <c r="G71" s="7"/>
      <c r="H71" s="7"/>
      <c r="I71" s="7"/>
      <c r="J71" s="8"/>
      <c r="K71" s="9"/>
    </row>
    <row r="72">
      <c r="A72" s="6"/>
      <c r="B72" s="7"/>
      <c r="C72" s="7"/>
      <c r="D72" s="7"/>
      <c r="E72" s="7"/>
      <c r="F72" s="7"/>
      <c r="G72" s="7"/>
      <c r="H72" s="7"/>
      <c r="I72" s="7"/>
      <c r="J72" s="8"/>
      <c r="K72" s="9"/>
    </row>
    <row r="73">
      <c r="A73" s="6"/>
      <c r="B73" s="7"/>
      <c r="C73" s="7"/>
      <c r="D73" s="7"/>
      <c r="E73" s="7"/>
      <c r="F73" s="7"/>
      <c r="G73" s="7"/>
      <c r="H73" s="7"/>
      <c r="I73" s="7"/>
      <c r="J73" s="8"/>
      <c r="K73" s="9"/>
    </row>
    <row r="74">
      <c r="A74" s="6"/>
      <c r="B74" s="7"/>
      <c r="C74" s="7"/>
      <c r="D74" s="7"/>
      <c r="E74" s="7"/>
      <c r="F74" s="7"/>
      <c r="G74" s="7"/>
      <c r="H74" s="7"/>
      <c r="I74" s="7"/>
      <c r="J74" s="8"/>
      <c r="K74" s="9"/>
    </row>
    <row r="75">
      <c r="A75" s="6"/>
      <c r="B75" s="7"/>
      <c r="C75" s="7"/>
      <c r="D75" s="7"/>
      <c r="E75" s="7"/>
      <c r="F75" s="7"/>
      <c r="G75" s="7"/>
      <c r="H75" s="7"/>
      <c r="I75" s="7"/>
      <c r="J75" s="8"/>
      <c r="K75" s="9"/>
    </row>
    <row r="76">
      <c r="A76" s="6"/>
      <c r="B76" s="7"/>
      <c r="C76" s="7"/>
      <c r="D76" s="7"/>
      <c r="E76" s="7"/>
      <c r="F76" s="7"/>
      <c r="G76" s="7"/>
      <c r="H76" s="7"/>
      <c r="I76" s="7"/>
      <c r="J76" s="8"/>
      <c r="K76" s="9"/>
    </row>
    <row r="77">
      <c r="A77" s="6"/>
      <c r="B77" s="7"/>
      <c r="C77" s="7"/>
      <c r="D77" s="7"/>
      <c r="E77" s="7"/>
      <c r="F77" s="7"/>
      <c r="G77" s="7"/>
      <c r="H77" s="7"/>
      <c r="I77" s="7"/>
      <c r="J77" s="8"/>
      <c r="K77" s="9"/>
    </row>
    <row r="78">
      <c r="A78" s="6"/>
      <c r="B78" s="7"/>
      <c r="C78" s="7"/>
      <c r="D78" s="7"/>
      <c r="E78" s="7"/>
      <c r="F78" s="7"/>
      <c r="G78" s="7"/>
      <c r="H78" s="7"/>
      <c r="I78" s="7"/>
      <c r="J78" s="8"/>
      <c r="K78" s="9"/>
    </row>
    <row r="79">
      <c r="A79" s="6"/>
      <c r="B79" s="7"/>
      <c r="C79" s="7"/>
      <c r="D79" s="7"/>
      <c r="E79" s="7"/>
      <c r="F79" s="7"/>
      <c r="G79" s="7"/>
      <c r="H79" s="7"/>
      <c r="I79" s="7"/>
      <c r="J79" s="8"/>
      <c r="K79" s="9"/>
    </row>
    <row r="80">
      <c r="A80" s="6"/>
      <c r="B80" s="7"/>
      <c r="C80" s="7"/>
      <c r="D80" s="7"/>
      <c r="E80" s="7"/>
      <c r="F80" s="7"/>
      <c r="G80" s="7"/>
      <c r="H80" s="7"/>
      <c r="I80" s="7"/>
      <c r="J80" s="8"/>
      <c r="K80" s="9"/>
    </row>
    <row r="81">
      <c r="A81" s="6"/>
      <c r="B81" s="7"/>
      <c r="C81" s="7"/>
      <c r="D81" s="7"/>
      <c r="E81" s="7"/>
      <c r="F81" s="7"/>
      <c r="G81" s="7"/>
      <c r="H81" s="7"/>
      <c r="I81" s="7"/>
      <c r="J81" s="8"/>
      <c r="K81" s="9"/>
    </row>
    <row r="82">
      <c r="A82" s="6"/>
      <c r="B82" s="7"/>
      <c r="C82" s="7"/>
      <c r="D82" s="7"/>
      <c r="E82" s="7"/>
      <c r="F82" s="7"/>
      <c r="G82" s="7"/>
      <c r="H82" s="7"/>
      <c r="I82" s="7"/>
      <c r="J82" s="8"/>
      <c r="K82" s="9"/>
    </row>
    <row r="83">
      <c r="A83" s="6"/>
      <c r="B83" s="7"/>
      <c r="C83" s="7"/>
      <c r="D83" s="7"/>
      <c r="E83" s="7"/>
      <c r="F83" s="7"/>
      <c r="G83" s="7"/>
      <c r="H83" s="7"/>
      <c r="I83" s="7"/>
      <c r="J83" s="8"/>
      <c r="K83" s="9"/>
    </row>
    <row r="84">
      <c r="A84" s="6"/>
      <c r="B84" s="7"/>
      <c r="C84" s="7"/>
      <c r="D84" s="7"/>
      <c r="E84" s="7"/>
      <c r="F84" s="7"/>
      <c r="G84" s="7"/>
      <c r="H84" s="7"/>
      <c r="I84" s="7"/>
      <c r="J84" s="8"/>
      <c r="K84" s="9"/>
    </row>
    <row r="85">
      <c r="A85" s="6"/>
      <c r="B85" s="7"/>
      <c r="C85" s="7"/>
      <c r="D85" s="7"/>
      <c r="E85" s="7"/>
      <c r="F85" s="7"/>
      <c r="G85" s="7"/>
      <c r="H85" s="7"/>
      <c r="I85" s="7"/>
      <c r="J85" s="8"/>
      <c r="K85" s="9"/>
    </row>
    <row r="86">
      <c r="A86" s="6"/>
      <c r="B86" s="7"/>
      <c r="C86" s="7"/>
      <c r="D86" s="7"/>
      <c r="E86" s="7"/>
      <c r="F86" s="7"/>
      <c r="G86" s="7"/>
      <c r="H86" s="7"/>
      <c r="I86" s="7"/>
      <c r="J86" s="8"/>
      <c r="K86" s="9"/>
    </row>
    <row r="87">
      <c r="A87" s="6"/>
      <c r="B87" s="7"/>
      <c r="C87" s="7"/>
      <c r="D87" s="7"/>
      <c r="E87" s="7"/>
      <c r="F87" s="7"/>
      <c r="G87" s="7"/>
      <c r="H87" s="7"/>
      <c r="I87" s="7"/>
      <c r="J87" s="8"/>
      <c r="K87" s="9"/>
    </row>
    <row r="88">
      <c r="A88" s="6"/>
      <c r="B88" s="7"/>
      <c r="C88" s="7"/>
      <c r="D88" s="7"/>
      <c r="E88" s="7"/>
      <c r="F88" s="7"/>
      <c r="G88" s="7"/>
      <c r="H88" s="7"/>
      <c r="I88" s="7"/>
      <c r="J88" s="8"/>
      <c r="K88" s="9"/>
    </row>
    <row r="89">
      <c r="A89" s="6"/>
      <c r="B89" s="7"/>
      <c r="C89" s="7"/>
      <c r="D89" s="7"/>
      <c r="E89" s="7"/>
      <c r="F89" s="7"/>
      <c r="G89" s="7"/>
      <c r="H89" s="7"/>
      <c r="I89" s="7"/>
      <c r="J89" s="8"/>
      <c r="K89" s="9"/>
    </row>
    <row r="90">
      <c r="A90" s="6"/>
      <c r="B90" s="7"/>
      <c r="C90" s="7"/>
      <c r="D90" s="7"/>
      <c r="E90" s="7"/>
      <c r="F90" s="7"/>
      <c r="G90" s="7"/>
      <c r="H90" s="7"/>
      <c r="I90" s="7"/>
      <c r="J90" s="8"/>
      <c r="K90" s="9"/>
    </row>
    <row r="91">
      <c r="A91" s="6"/>
      <c r="B91" s="7"/>
      <c r="C91" s="7"/>
      <c r="D91" s="7"/>
      <c r="E91" s="7"/>
      <c r="F91" s="7"/>
      <c r="G91" s="7"/>
      <c r="H91" s="7"/>
      <c r="I91" s="7"/>
      <c r="J91" s="8"/>
      <c r="K91" s="9"/>
    </row>
    <row r="92">
      <c r="A92" s="6"/>
      <c r="B92" s="7"/>
      <c r="C92" s="7"/>
      <c r="D92" s="7"/>
      <c r="E92" s="7"/>
      <c r="F92" s="7"/>
      <c r="G92" s="7"/>
      <c r="H92" s="7"/>
      <c r="I92" s="7"/>
      <c r="J92" s="8"/>
      <c r="K92" s="9"/>
    </row>
    <row r="93">
      <c r="A93" s="6"/>
      <c r="B93" s="7"/>
      <c r="C93" s="7"/>
      <c r="D93" s="7"/>
      <c r="E93" s="7"/>
      <c r="F93" s="7"/>
      <c r="G93" s="7"/>
      <c r="H93" s="7"/>
      <c r="I93" s="7"/>
      <c r="J93" s="8"/>
      <c r="K93" s="9"/>
    </row>
    <row r="94">
      <c r="A94" s="6"/>
      <c r="B94" s="7"/>
      <c r="C94" s="7"/>
      <c r="D94" s="7"/>
      <c r="E94" s="7"/>
      <c r="F94" s="7"/>
      <c r="G94" s="7"/>
      <c r="H94" s="7"/>
      <c r="I94" s="7"/>
      <c r="J94" s="8"/>
      <c r="K94" s="9"/>
    </row>
    <row r="95">
      <c r="A95" s="6"/>
      <c r="B95" s="7"/>
      <c r="C95" s="7"/>
      <c r="D95" s="7"/>
      <c r="E95" s="7"/>
      <c r="F95" s="7"/>
      <c r="G95" s="7"/>
      <c r="H95" s="7"/>
      <c r="I95" s="7"/>
      <c r="J95" s="8"/>
      <c r="K95" s="9"/>
    </row>
    <row r="96">
      <c r="A96" s="6"/>
      <c r="B96" s="7"/>
      <c r="C96" s="7"/>
      <c r="D96" s="7"/>
      <c r="E96" s="7"/>
      <c r="F96" s="7"/>
      <c r="G96" s="7"/>
      <c r="H96" s="7"/>
      <c r="I96" s="7"/>
      <c r="J96" s="8"/>
      <c r="K96" s="9"/>
    </row>
    <row r="97">
      <c r="A97" s="6"/>
      <c r="B97" s="7"/>
      <c r="C97" s="7"/>
      <c r="D97" s="7"/>
      <c r="E97" s="7"/>
      <c r="F97" s="7"/>
      <c r="G97" s="7"/>
      <c r="H97" s="7"/>
      <c r="I97" s="7"/>
      <c r="J97" s="8"/>
      <c r="K97" s="9"/>
    </row>
    <row r="98">
      <c r="A98" s="6"/>
      <c r="B98" s="7"/>
      <c r="C98" s="7"/>
      <c r="D98" s="7"/>
      <c r="E98" s="7"/>
      <c r="F98" s="7"/>
      <c r="G98" s="7"/>
      <c r="H98" s="7"/>
      <c r="I98" s="7"/>
      <c r="J98" s="8"/>
      <c r="K98" s="9"/>
    </row>
    <row r="99">
      <c r="A99" s="6"/>
      <c r="B99" s="7"/>
      <c r="C99" s="7"/>
      <c r="D99" s="7"/>
      <c r="E99" s="7"/>
      <c r="F99" s="7"/>
      <c r="G99" s="7"/>
      <c r="H99" s="7"/>
      <c r="I99" s="7"/>
      <c r="J99" s="8"/>
      <c r="K99" s="9"/>
    </row>
    <row r="100">
      <c r="A100" s="6"/>
      <c r="B100" s="7"/>
      <c r="C100" s="7"/>
      <c r="D100" s="7"/>
      <c r="E100" s="7"/>
      <c r="F100" s="7"/>
      <c r="G100" s="7"/>
      <c r="H100" s="7"/>
      <c r="I100" s="7"/>
      <c r="J100" s="8"/>
      <c r="K100" s="9"/>
    </row>
    <row r="101">
      <c r="A101" s="6"/>
      <c r="B101" s="7"/>
      <c r="C101" s="7"/>
      <c r="D101" s="7"/>
      <c r="E101" s="7"/>
      <c r="F101" s="7"/>
      <c r="G101" s="7"/>
      <c r="H101" s="7"/>
      <c r="I101" s="7"/>
      <c r="J101" s="8"/>
      <c r="K101" s="9"/>
    </row>
    <row r="102">
      <c r="A102" s="6"/>
      <c r="B102" s="7"/>
      <c r="C102" s="7"/>
      <c r="D102" s="7"/>
      <c r="E102" s="7"/>
      <c r="F102" s="7"/>
      <c r="G102" s="7"/>
      <c r="H102" s="7"/>
      <c r="I102" s="7"/>
      <c r="J102" s="8"/>
      <c r="K102" s="9"/>
    </row>
    <row r="103">
      <c r="A103" s="6"/>
      <c r="B103" s="7"/>
      <c r="C103" s="7"/>
      <c r="D103" s="7"/>
      <c r="E103" s="7"/>
      <c r="F103" s="7"/>
      <c r="G103" s="7"/>
      <c r="H103" s="7"/>
      <c r="I103" s="7"/>
      <c r="J103" s="8"/>
      <c r="K103" s="9"/>
    </row>
    <row r="104">
      <c r="A104" s="6"/>
      <c r="B104" s="7"/>
      <c r="C104" s="7"/>
      <c r="D104" s="7"/>
      <c r="E104" s="7"/>
      <c r="F104" s="7"/>
      <c r="G104" s="7"/>
      <c r="H104" s="7"/>
      <c r="I104" s="7"/>
      <c r="J104" s="8"/>
      <c r="K104" s="9"/>
    </row>
    <row r="105">
      <c r="A105" s="6"/>
      <c r="B105" s="7"/>
      <c r="C105" s="7"/>
      <c r="D105" s="7"/>
      <c r="E105" s="7"/>
      <c r="F105" s="7"/>
      <c r="G105" s="7"/>
      <c r="H105" s="7"/>
      <c r="I105" s="7"/>
      <c r="J105" s="8"/>
      <c r="K105" s="9"/>
    </row>
    <row r="106">
      <c r="A106" s="6"/>
      <c r="B106" s="7"/>
      <c r="C106" s="7"/>
      <c r="D106" s="7"/>
      <c r="E106" s="7"/>
      <c r="F106" s="7"/>
      <c r="G106" s="7"/>
      <c r="H106" s="7"/>
      <c r="I106" s="7"/>
      <c r="J106" s="8"/>
      <c r="K106" s="9"/>
    </row>
    <row r="107">
      <c r="A107" s="6"/>
      <c r="B107" s="7"/>
      <c r="C107" s="7"/>
      <c r="D107" s="7"/>
      <c r="E107" s="7"/>
      <c r="F107" s="7"/>
      <c r="G107" s="7"/>
      <c r="H107" s="7"/>
      <c r="I107" s="7"/>
      <c r="J107" s="8"/>
      <c r="K107" s="9"/>
    </row>
    <row r="108">
      <c r="A108" s="6"/>
      <c r="B108" s="7"/>
      <c r="C108" s="7"/>
      <c r="D108" s="7"/>
      <c r="E108" s="7"/>
      <c r="F108" s="7"/>
      <c r="G108" s="7"/>
      <c r="H108" s="7"/>
      <c r="I108" s="7"/>
      <c r="J108" s="8"/>
      <c r="K108" s="9"/>
    </row>
    <row r="109">
      <c r="A109" s="6"/>
      <c r="B109" s="7"/>
      <c r="C109" s="7"/>
      <c r="D109" s="7"/>
      <c r="E109" s="7"/>
      <c r="F109" s="7"/>
      <c r="G109" s="7"/>
      <c r="H109" s="7"/>
      <c r="I109" s="7"/>
      <c r="J109" s="8"/>
      <c r="K109" s="9"/>
    </row>
    <row r="110">
      <c r="A110" s="6"/>
      <c r="B110" s="7"/>
      <c r="C110" s="7"/>
      <c r="D110" s="7"/>
      <c r="E110" s="7"/>
      <c r="F110" s="7"/>
      <c r="G110" s="7"/>
      <c r="H110" s="7"/>
      <c r="I110" s="7"/>
      <c r="J110" s="8"/>
      <c r="K110" s="9"/>
    </row>
    <row r="111">
      <c r="A111" s="6"/>
      <c r="B111" s="7"/>
      <c r="C111" s="7"/>
      <c r="D111" s="7"/>
      <c r="E111" s="7"/>
      <c r="F111" s="7"/>
      <c r="G111" s="7"/>
      <c r="H111" s="7"/>
      <c r="I111" s="7"/>
      <c r="J111" s="8"/>
      <c r="K111" s="9"/>
    </row>
    <row r="112">
      <c r="A112" s="6"/>
      <c r="B112" s="7"/>
      <c r="C112" s="7"/>
      <c r="D112" s="7"/>
      <c r="E112" s="7"/>
      <c r="F112" s="7"/>
      <c r="G112" s="7"/>
      <c r="H112" s="7"/>
      <c r="I112" s="7"/>
      <c r="J112" s="8"/>
      <c r="K112" s="9"/>
    </row>
    <row r="113">
      <c r="A113" s="6"/>
      <c r="B113" s="7"/>
      <c r="C113" s="7"/>
      <c r="D113" s="7"/>
      <c r="E113" s="7"/>
      <c r="F113" s="7"/>
      <c r="G113" s="7"/>
      <c r="H113" s="7"/>
      <c r="I113" s="7"/>
      <c r="J113" s="8"/>
      <c r="K113" s="9"/>
    </row>
    <row r="114">
      <c r="A114" s="6"/>
      <c r="B114" s="7"/>
      <c r="C114" s="7"/>
      <c r="D114" s="7"/>
      <c r="E114" s="7"/>
      <c r="F114" s="7"/>
      <c r="G114" s="7"/>
      <c r="H114" s="7"/>
      <c r="I114" s="7"/>
      <c r="J114" s="8"/>
      <c r="K114" s="9"/>
    </row>
    <row r="115">
      <c r="A115" s="6"/>
      <c r="B115" s="7"/>
      <c r="C115" s="7"/>
      <c r="D115" s="7"/>
      <c r="E115" s="7"/>
      <c r="F115" s="7"/>
      <c r="G115" s="7"/>
      <c r="H115" s="7"/>
      <c r="I115" s="7"/>
      <c r="J115" s="8"/>
      <c r="K115" s="9"/>
    </row>
    <row r="116">
      <c r="A116" s="6"/>
      <c r="B116" s="7"/>
      <c r="C116" s="7"/>
      <c r="D116" s="7"/>
      <c r="E116" s="7"/>
      <c r="F116" s="7"/>
      <c r="G116" s="7"/>
      <c r="H116" s="7"/>
      <c r="I116" s="7"/>
      <c r="J116" s="8"/>
      <c r="K116" s="9"/>
    </row>
    <row r="117">
      <c r="A117" s="6"/>
      <c r="B117" s="7"/>
      <c r="C117" s="7"/>
      <c r="D117" s="7"/>
      <c r="E117" s="7"/>
      <c r="F117" s="7"/>
      <c r="G117" s="7"/>
      <c r="H117" s="7"/>
      <c r="I117" s="7"/>
      <c r="J117" s="8"/>
      <c r="K117" s="9"/>
    </row>
    <row r="118">
      <c r="A118" s="6"/>
      <c r="B118" s="7"/>
      <c r="C118" s="7"/>
      <c r="D118" s="7"/>
      <c r="E118" s="7"/>
      <c r="F118" s="7"/>
      <c r="G118" s="7"/>
      <c r="H118" s="7"/>
      <c r="I118" s="7"/>
      <c r="J118" s="8"/>
      <c r="K118" s="9"/>
    </row>
    <row r="119">
      <c r="A119" s="6"/>
      <c r="B119" s="7"/>
      <c r="C119" s="7"/>
      <c r="D119" s="7"/>
      <c r="E119" s="7"/>
      <c r="F119" s="7"/>
      <c r="G119" s="7"/>
      <c r="H119" s="7"/>
      <c r="I119" s="7"/>
      <c r="J119" s="8"/>
      <c r="K119" s="9"/>
    </row>
    <row r="120">
      <c r="A120" s="6"/>
      <c r="B120" s="7"/>
      <c r="C120" s="7"/>
      <c r="D120" s="7"/>
      <c r="E120" s="7"/>
      <c r="F120" s="7"/>
      <c r="G120" s="7"/>
      <c r="H120" s="7"/>
      <c r="I120" s="7"/>
      <c r="J120" s="8"/>
      <c r="K120" s="9"/>
    </row>
    <row r="121">
      <c r="A121" s="6"/>
      <c r="B121" s="7"/>
      <c r="C121" s="7"/>
      <c r="D121" s="7"/>
      <c r="E121" s="7"/>
      <c r="F121" s="7"/>
      <c r="G121" s="7"/>
      <c r="H121" s="7"/>
      <c r="I121" s="7"/>
      <c r="J121" s="8"/>
      <c r="K121" s="9"/>
    </row>
    <row r="122">
      <c r="A122" s="6"/>
      <c r="B122" s="7"/>
      <c r="C122" s="7"/>
      <c r="D122" s="7"/>
      <c r="E122" s="7"/>
      <c r="F122" s="7"/>
      <c r="G122" s="7"/>
      <c r="H122" s="7"/>
      <c r="I122" s="7"/>
      <c r="J122" s="8"/>
      <c r="K122" s="9"/>
    </row>
    <row r="123">
      <c r="A123" s="6"/>
      <c r="B123" s="7"/>
      <c r="C123" s="7"/>
      <c r="D123" s="7"/>
      <c r="E123" s="7"/>
      <c r="F123" s="7"/>
      <c r="G123" s="7"/>
      <c r="H123" s="7"/>
      <c r="I123" s="7"/>
      <c r="J123" s="8"/>
      <c r="K123" s="9"/>
    </row>
    <row r="124">
      <c r="A124" s="6"/>
      <c r="B124" s="7"/>
      <c r="C124" s="7"/>
      <c r="D124" s="7"/>
      <c r="E124" s="7"/>
      <c r="F124" s="7"/>
      <c r="G124" s="7"/>
      <c r="H124" s="7"/>
      <c r="I124" s="7"/>
      <c r="J124" s="8"/>
      <c r="K124" s="9"/>
    </row>
    <row r="125">
      <c r="A125" s="6"/>
      <c r="B125" s="7"/>
      <c r="C125" s="7"/>
      <c r="D125" s="7"/>
      <c r="E125" s="7"/>
      <c r="F125" s="7"/>
      <c r="G125" s="7"/>
      <c r="H125" s="7"/>
      <c r="I125" s="7"/>
      <c r="J125" s="8"/>
      <c r="K125" s="9"/>
    </row>
    <row r="126">
      <c r="A126" s="6"/>
      <c r="B126" s="7"/>
      <c r="C126" s="7"/>
      <c r="D126" s="7"/>
      <c r="E126" s="7"/>
      <c r="F126" s="7"/>
      <c r="G126" s="7"/>
      <c r="H126" s="7"/>
      <c r="I126" s="7"/>
      <c r="J126" s="8"/>
      <c r="K126" s="9"/>
    </row>
    <row r="127">
      <c r="A127" s="6"/>
      <c r="B127" s="7"/>
      <c r="C127" s="7"/>
      <c r="D127" s="7"/>
      <c r="E127" s="7"/>
      <c r="F127" s="7"/>
      <c r="G127" s="7"/>
      <c r="H127" s="7"/>
      <c r="I127" s="7"/>
      <c r="J127" s="8"/>
      <c r="K127" s="9"/>
    </row>
    <row r="128">
      <c r="A128" s="6"/>
      <c r="B128" s="7"/>
      <c r="C128" s="7"/>
      <c r="D128" s="7"/>
      <c r="E128" s="7"/>
      <c r="F128" s="7"/>
      <c r="G128" s="7"/>
      <c r="H128" s="7"/>
      <c r="I128" s="7"/>
      <c r="J128" s="8"/>
      <c r="K128" s="9"/>
    </row>
    <row r="129">
      <c r="A129" s="6"/>
      <c r="B129" s="7"/>
      <c r="C129" s="7"/>
      <c r="D129" s="7"/>
      <c r="E129" s="7"/>
      <c r="F129" s="7"/>
      <c r="G129" s="7"/>
      <c r="H129" s="7"/>
      <c r="I129" s="7"/>
      <c r="J129" s="8"/>
      <c r="K129" s="9"/>
    </row>
    <row r="130">
      <c r="A130" s="6"/>
      <c r="B130" s="7"/>
      <c r="C130" s="7"/>
      <c r="D130" s="7"/>
      <c r="E130" s="7"/>
      <c r="F130" s="7"/>
      <c r="G130" s="7"/>
      <c r="H130" s="7"/>
      <c r="I130" s="7"/>
      <c r="J130" s="8"/>
      <c r="K130" s="9"/>
    </row>
    <row r="131">
      <c r="A131" s="6"/>
      <c r="B131" s="7"/>
      <c r="C131" s="7"/>
      <c r="D131" s="7"/>
      <c r="E131" s="7"/>
      <c r="F131" s="7"/>
      <c r="G131" s="7"/>
      <c r="H131" s="7"/>
      <c r="I131" s="7"/>
      <c r="J131" s="8"/>
      <c r="K131" s="9"/>
    </row>
    <row r="132">
      <c r="A132" s="6"/>
      <c r="B132" s="7"/>
      <c r="C132" s="7"/>
      <c r="D132" s="7"/>
      <c r="E132" s="7"/>
      <c r="F132" s="7"/>
      <c r="G132" s="7"/>
      <c r="H132" s="7"/>
      <c r="I132" s="7"/>
      <c r="J132" s="8"/>
      <c r="K132" s="9"/>
    </row>
    <row r="133">
      <c r="A133" s="6"/>
      <c r="B133" s="7"/>
      <c r="C133" s="7"/>
      <c r="D133" s="7"/>
      <c r="E133" s="7"/>
      <c r="F133" s="7"/>
      <c r="G133" s="7"/>
      <c r="H133" s="7"/>
      <c r="I133" s="7"/>
      <c r="J133" s="8"/>
      <c r="K133" s="9"/>
    </row>
    <row r="134">
      <c r="A134" s="6"/>
      <c r="B134" s="7"/>
      <c r="C134" s="7"/>
      <c r="D134" s="7"/>
      <c r="E134" s="7"/>
      <c r="F134" s="7"/>
      <c r="G134" s="7"/>
      <c r="H134" s="7"/>
      <c r="I134" s="7"/>
      <c r="J134" s="8"/>
      <c r="K134" s="9"/>
    </row>
    <row r="135">
      <c r="A135" s="6"/>
      <c r="B135" s="7"/>
      <c r="C135" s="7"/>
      <c r="D135" s="7"/>
      <c r="E135" s="7"/>
      <c r="F135" s="7"/>
      <c r="G135" s="7"/>
      <c r="H135" s="7"/>
      <c r="I135" s="7"/>
      <c r="J135" s="8"/>
      <c r="K135" s="9"/>
    </row>
    <row r="136">
      <c r="A136" s="6"/>
      <c r="B136" s="7"/>
      <c r="C136" s="7"/>
      <c r="D136" s="7"/>
      <c r="E136" s="7"/>
      <c r="F136" s="7"/>
      <c r="G136" s="7"/>
      <c r="H136" s="7"/>
      <c r="I136" s="7"/>
      <c r="J136" s="8"/>
      <c r="K136" s="9"/>
    </row>
    <row r="137">
      <c r="A137" s="6"/>
      <c r="B137" s="7"/>
      <c r="C137" s="7"/>
      <c r="D137" s="7"/>
      <c r="E137" s="7"/>
      <c r="F137" s="7"/>
      <c r="G137" s="7"/>
      <c r="H137" s="7"/>
      <c r="I137" s="7"/>
      <c r="J137" s="8"/>
      <c r="K137" s="9"/>
    </row>
    <row r="138">
      <c r="A138" s="6"/>
      <c r="B138" s="7"/>
      <c r="C138" s="7"/>
      <c r="D138" s="7"/>
      <c r="E138" s="7"/>
      <c r="F138" s="7"/>
      <c r="G138" s="7"/>
      <c r="H138" s="7"/>
      <c r="I138" s="7"/>
      <c r="J138" s="8"/>
      <c r="K138" s="9"/>
    </row>
    <row r="139">
      <c r="A139" s="6"/>
      <c r="B139" s="7"/>
      <c r="C139" s="7"/>
      <c r="D139" s="7"/>
      <c r="E139" s="7"/>
      <c r="F139" s="7"/>
      <c r="G139" s="7"/>
      <c r="H139" s="7"/>
      <c r="I139" s="7"/>
      <c r="J139" s="8"/>
      <c r="K139" s="9"/>
    </row>
    <row r="140">
      <c r="A140" s="6"/>
      <c r="B140" s="7"/>
      <c r="C140" s="7"/>
      <c r="D140" s="7"/>
      <c r="E140" s="7"/>
      <c r="F140" s="7"/>
      <c r="G140" s="7"/>
      <c r="H140" s="7"/>
      <c r="I140" s="7"/>
      <c r="J140" s="8"/>
      <c r="K140" s="9"/>
    </row>
    <row r="141">
      <c r="A141" s="6"/>
      <c r="B141" s="7"/>
      <c r="C141" s="7"/>
      <c r="D141" s="7"/>
      <c r="E141" s="7"/>
      <c r="F141" s="7"/>
      <c r="G141" s="7"/>
      <c r="H141" s="7"/>
      <c r="I141" s="7"/>
      <c r="J141" s="8"/>
      <c r="K141" s="9"/>
    </row>
    <row r="142">
      <c r="A142" s="6"/>
      <c r="B142" s="7"/>
      <c r="C142" s="7"/>
      <c r="D142" s="7"/>
      <c r="E142" s="7"/>
      <c r="F142" s="7"/>
      <c r="G142" s="7"/>
      <c r="H142" s="7"/>
      <c r="I142" s="7"/>
      <c r="J142" s="8"/>
      <c r="K142" s="9"/>
    </row>
    <row r="143">
      <c r="A143" s="6"/>
      <c r="B143" s="7"/>
      <c r="C143" s="7"/>
      <c r="D143" s="7"/>
      <c r="E143" s="7"/>
      <c r="F143" s="7"/>
      <c r="G143" s="7"/>
      <c r="H143" s="7"/>
      <c r="I143" s="7"/>
      <c r="J143" s="8"/>
      <c r="K143" s="9"/>
    </row>
    <row r="144">
      <c r="A144" s="6"/>
      <c r="B144" s="7"/>
      <c r="C144" s="7"/>
      <c r="D144" s="7"/>
      <c r="E144" s="7"/>
      <c r="F144" s="7"/>
      <c r="G144" s="7"/>
      <c r="H144" s="7"/>
      <c r="I144" s="7"/>
      <c r="J144" s="8"/>
      <c r="K144" s="9"/>
    </row>
    <row r="145">
      <c r="A145" s="6"/>
      <c r="B145" s="7"/>
      <c r="C145" s="7"/>
      <c r="D145" s="7"/>
      <c r="E145" s="7"/>
      <c r="F145" s="7"/>
      <c r="G145" s="7"/>
      <c r="H145" s="7"/>
      <c r="I145" s="7"/>
      <c r="J145" s="8"/>
      <c r="K145" s="9"/>
    </row>
    <row r="146">
      <c r="A146" s="6"/>
      <c r="B146" s="7"/>
      <c r="C146" s="7"/>
      <c r="D146" s="7"/>
      <c r="E146" s="7"/>
      <c r="F146" s="7"/>
      <c r="G146" s="7"/>
      <c r="H146" s="7"/>
      <c r="I146" s="7"/>
      <c r="J146" s="8"/>
      <c r="K146" s="9"/>
    </row>
    <row r="147">
      <c r="A147" s="6"/>
      <c r="B147" s="7"/>
      <c r="C147" s="7"/>
      <c r="D147" s="7"/>
      <c r="E147" s="7"/>
      <c r="F147" s="7"/>
      <c r="G147" s="7"/>
      <c r="H147" s="7"/>
      <c r="I147" s="7"/>
      <c r="J147" s="8"/>
      <c r="K147" s="9"/>
    </row>
    <row r="148">
      <c r="A148" s="6"/>
      <c r="B148" s="7"/>
      <c r="C148" s="7"/>
      <c r="D148" s="7"/>
      <c r="E148" s="7"/>
      <c r="F148" s="7"/>
      <c r="G148" s="7"/>
      <c r="H148" s="7"/>
      <c r="I148" s="7"/>
      <c r="J148" s="8"/>
      <c r="K148" s="9"/>
    </row>
    <row r="149">
      <c r="A149" s="6"/>
      <c r="B149" s="7"/>
      <c r="C149" s="7"/>
      <c r="D149" s="7"/>
      <c r="E149" s="7"/>
      <c r="F149" s="7"/>
      <c r="G149" s="7"/>
      <c r="H149" s="7"/>
      <c r="I149" s="7"/>
      <c r="J149" s="8"/>
      <c r="K149" s="9"/>
    </row>
    <row r="150">
      <c r="A150" s="6"/>
      <c r="B150" s="7"/>
      <c r="C150" s="7"/>
      <c r="D150" s="7"/>
      <c r="E150" s="7"/>
      <c r="F150" s="7"/>
      <c r="G150" s="7"/>
      <c r="H150" s="7"/>
      <c r="I150" s="7"/>
      <c r="J150" s="8"/>
      <c r="K150" s="9"/>
    </row>
    <row r="151">
      <c r="A151" s="6"/>
      <c r="B151" s="7"/>
      <c r="C151" s="7"/>
      <c r="D151" s="7"/>
      <c r="E151" s="7"/>
      <c r="F151" s="7"/>
      <c r="G151" s="7"/>
      <c r="H151" s="7"/>
      <c r="I151" s="7"/>
      <c r="J151" s="8"/>
      <c r="K151" s="9"/>
    </row>
    <row r="152">
      <c r="A152" s="6"/>
      <c r="B152" s="7"/>
      <c r="C152" s="7"/>
      <c r="D152" s="7"/>
      <c r="E152" s="7"/>
      <c r="F152" s="7"/>
      <c r="G152" s="7"/>
      <c r="H152" s="7"/>
      <c r="I152" s="7"/>
      <c r="J152" s="8"/>
      <c r="K152" s="9"/>
    </row>
    <row r="153">
      <c r="A153" s="6"/>
      <c r="B153" s="7"/>
      <c r="C153" s="7"/>
      <c r="D153" s="7"/>
      <c r="E153" s="7"/>
      <c r="F153" s="7"/>
      <c r="G153" s="7"/>
      <c r="H153" s="7"/>
      <c r="I153" s="7"/>
      <c r="J153" s="8"/>
      <c r="K153" s="9"/>
    </row>
    <row r="154">
      <c r="A154" s="6"/>
      <c r="B154" s="7"/>
      <c r="C154" s="7"/>
      <c r="D154" s="7"/>
      <c r="E154" s="7"/>
      <c r="F154" s="7"/>
      <c r="G154" s="7"/>
      <c r="H154" s="7"/>
      <c r="I154" s="7"/>
      <c r="J154" s="8"/>
      <c r="K154" s="9"/>
    </row>
    <row r="155">
      <c r="A155" s="6"/>
      <c r="B155" s="7"/>
      <c r="C155" s="7"/>
      <c r="D155" s="7"/>
      <c r="E155" s="7"/>
      <c r="F155" s="7"/>
      <c r="G155" s="7"/>
      <c r="H155" s="7"/>
      <c r="I155" s="7"/>
      <c r="J155" s="8"/>
      <c r="K155" s="9"/>
    </row>
    <row r="156">
      <c r="A156" s="6"/>
      <c r="B156" s="7"/>
      <c r="C156" s="7"/>
      <c r="D156" s="7"/>
      <c r="E156" s="7"/>
      <c r="F156" s="7"/>
      <c r="G156" s="7"/>
      <c r="H156" s="7"/>
      <c r="I156" s="7"/>
      <c r="J156" s="8"/>
      <c r="K156" s="9"/>
    </row>
    <row r="157">
      <c r="A157" s="6"/>
      <c r="B157" s="7"/>
      <c r="C157" s="7"/>
      <c r="D157" s="7"/>
      <c r="E157" s="7"/>
      <c r="F157" s="7"/>
      <c r="G157" s="7"/>
      <c r="H157" s="7"/>
      <c r="I157" s="7"/>
      <c r="J157" s="8"/>
      <c r="K157" s="9"/>
    </row>
    <row r="158">
      <c r="A158" s="6"/>
      <c r="B158" s="7"/>
      <c r="C158" s="7"/>
      <c r="D158" s="7"/>
      <c r="E158" s="7"/>
      <c r="F158" s="7"/>
      <c r="G158" s="7"/>
      <c r="H158" s="7"/>
      <c r="I158" s="7"/>
      <c r="J158" s="8"/>
      <c r="K158" s="9"/>
    </row>
    <row r="159">
      <c r="A159" s="6"/>
      <c r="B159" s="7"/>
      <c r="C159" s="7"/>
      <c r="D159" s="7"/>
      <c r="E159" s="7"/>
      <c r="F159" s="7"/>
      <c r="G159" s="7"/>
      <c r="H159" s="7"/>
      <c r="I159" s="7"/>
      <c r="J159" s="8"/>
      <c r="K159" s="9"/>
    </row>
    <row r="160">
      <c r="A160" s="6"/>
      <c r="B160" s="7"/>
      <c r="C160" s="7"/>
      <c r="D160" s="7"/>
      <c r="E160" s="7"/>
      <c r="F160" s="7"/>
      <c r="G160" s="7"/>
      <c r="H160" s="7"/>
      <c r="I160" s="7"/>
      <c r="J160" s="8"/>
      <c r="K160" s="9"/>
    </row>
    <row r="161">
      <c r="A161" s="6"/>
      <c r="B161" s="7"/>
      <c r="C161" s="7"/>
      <c r="D161" s="7"/>
      <c r="E161" s="7"/>
      <c r="F161" s="7"/>
      <c r="G161" s="7"/>
      <c r="H161" s="7"/>
      <c r="I161" s="7"/>
      <c r="J161" s="8"/>
      <c r="K161" s="9"/>
    </row>
    <row r="162">
      <c r="A162" s="6"/>
      <c r="B162" s="7"/>
      <c r="C162" s="7"/>
      <c r="D162" s="7"/>
      <c r="E162" s="7"/>
      <c r="F162" s="7"/>
      <c r="G162" s="7"/>
      <c r="H162" s="7"/>
      <c r="I162" s="7"/>
      <c r="J162" s="8"/>
      <c r="K162" s="9"/>
    </row>
    <row r="163">
      <c r="A163" s="6"/>
      <c r="B163" s="7"/>
      <c r="C163" s="7"/>
      <c r="D163" s="7"/>
      <c r="E163" s="7"/>
      <c r="F163" s="7"/>
      <c r="G163" s="7"/>
      <c r="H163" s="7"/>
      <c r="I163" s="7"/>
      <c r="J163" s="8"/>
      <c r="K163" s="9"/>
    </row>
    <row r="164">
      <c r="A164" s="6"/>
      <c r="B164" s="7"/>
      <c r="C164" s="7"/>
      <c r="D164" s="7"/>
      <c r="E164" s="7"/>
      <c r="F164" s="7"/>
      <c r="G164" s="7"/>
      <c r="H164" s="7"/>
      <c r="I164" s="7"/>
      <c r="J164" s="8"/>
      <c r="K164" s="9"/>
    </row>
    <row r="165">
      <c r="A165" s="6"/>
      <c r="B165" s="7"/>
      <c r="C165" s="7"/>
      <c r="D165" s="7"/>
      <c r="E165" s="7"/>
      <c r="F165" s="7"/>
      <c r="G165" s="7"/>
      <c r="H165" s="7"/>
      <c r="I165" s="7"/>
      <c r="J165" s="8"/>
      <c r="K165" s="9"/>
    </row>
    <row r="166">
      <c r="A166" s="6"/>
      <c r="B166" s="7"/>
      <c r="C166" s="7"/>
      <c r="D166" s="7"/>
      <c r="E166" s="7"/>
      <c r="F166" s="7"/>
      <c r="G166" s="7"/>
      <c r="H166" s="7"/>
      <c r="I166" s="7"/>
      <c r="J166" s="8"/>
      <c r="K166" s="9"/>
    </row>
    <row r="167">
      <c r="A167" s="6"/>
      <c r="B167" s="7"/>
      <c r="C167" s="7"/>
      <c r="D167" s="7"/>
      <c r="E167" s="7"/>
      <c r="F167" s="7"/>
      <c r="G167" s="7"/>
      <c r="H167" s="7"/>
      <c r="I167" s="7"/>
      <c r="J167" s="8"/>
      <c r="K167" s="9"/>
    </row>
    <row r="168">
      <c r="A168" s="6"/>
      <c r="B168" s="7"/>
      <c r="C168" s="7"/>
      <c r="D168" s="7"/>
      <c r="E168" s="7"/>
      <c r="F168" s="7"/>
      <c r="G168" s="7"/>
      <c r="H168" s="7"/>
      <c r="I168" s="7"/>
      <c r="J168" s="8"/>
      <c r="K168" s="9"/>
    </row>
    <row r="169">
      <c r="A169" s="6"/>
      <c r="B169" s="7"/>
      <c r="C169" s="7"/>
      <c r="D169" s="7"/>
      <c r="E169" s="7"/>
      <c r="F169" s="7"/>
      <c r="G169" s="7"/>
      <c r="H169" s="7"/>
      <c r="I169" s="7"/>
      <c r="J169" s="8"/>
      <c r="K169" s="9"/>
    </row>
    <row r="170">
      <c r="A170" s="6"/>
      <c r="B170" s="7"/>
      <c r="C170" s="7"/>
      <c r="D170" s="7"/>
      <c r="E170" s="7"/>
      <c r="F170" s="7"/>
      <c r="G170" s="7"/>
      <c r="H170" s="7"/>
      <c r="I170" s="7"/>
      <c r="J170" s="8"/>
      <c r="K170" s="9"/>
    </row>
    <row r="171">
      <c r="A171" s="6"/>
      <c r="B171" s="7"/>
      <c r="C171" s="7"/>
      <c r="D171" s="7"/>
      <c r="E171" s="7"/>
      <c r="F171" s="7"/>
      <c r="G171" s="7"/>
      <c r="H171" s="7"/>
      <c r="I171" s="7"/>
      <c r="J171" s="8"/>
      <c r="K171" s="9"/>
    </row>
    <row r="172">
      <c r="A172" s="6"/>
      <c r="B172" s="7"/>
      <c r="C172" s="7"/>
      <c r="D172" s="7"/>
      <c r="E172" s="7"/>
      <c r="F172" s="7"/>
      <c r="G172" s="7"/>
      <c r="H172" s="7"/>
      <c r="I172" s="7"/>
      <c r="J172" s="8"/>
      <c r="K172" s="9"/>
    </row>
    <row r="173">
      <c r="A173" s="6"/>
      <c r="B173" s="7"/>
      <c r="C173" s="7"/>
      <c r="D173" s="7"/>
      <c r="E173" s="7"/>
      <c r="F173" s="7"/>
      <c r="G173" s="7"/>
      <c r="H173" s="7"/>
      <c r="I173" s="7"/>
      <c r="J173" s="8"/>
      <c r="K173" s="9"/>
    </row>
    <row r="174">
      <c r="A174" s="6"/>
      <c r="B174" s="7"/>
      <c r="C174" s="7"/>
      <c r="D174" s="7"/>
      <c r="E174" s="7"/>
      <c r="F174" s="7"/>
      <c r="G174" s="7"/>
      <c r="H174" s="7"/>
      <c r="I174" s="7"/>
      <c r="J174" s="8"/>
      <c r="K174" s="9"/>
    </row>
    <row r="175">
      <c r="A175" s="6"/>
      <c r="B175" s="7"/>
      <c r="C175" s="7"/>
      <c r="D175" s="7"/>
      <c r="E175" s="7"/>
      <c r="F175" s="7"/>
      <c r="G175" s="7"/>
      <c r="H175" s="7"/>
      <c r="I175" s="7"/>
      <c r="J175" s="8"/>
      <c r="K175" s="9"/>
    </row>
    <row r="176">
      <c r="A176" s="6"/>
      <c r="B176" s="7"/>
      <c r="C176" s="7"/>
      <c r="D176" s="7"/>
      <c r="E176" s="7"/>
      <c r="F176" s="7"/>
      <c r="G176" s="7"/>
      <c r="H176" s="7"/>
      <c r="I176" s="7"/>
      <c r="J176" s="8"/>
      <c r="K176" s="9"/>
    </row>
    <row r="177">
      <c r="A177" s="6"/>
      <c r="B177" s="7"/>
      <c r="C177" s="7"/>
      <c r="D177" s="7"/>
      <c r="E177" s="7"/>
      <c r="F177" s="7"/>
      <c r="G177" s="7"/>
      <c r="H177" s="7"/>
      <c r="I177" s="7"/>
      <c r="J177" s="8"/>
      <c r="K177" s="9"/>
    </row>
    <row r="178">
      <c r="A178" s="6"/>
      <c r="B178" s="7"/>
      <c r="C178" s="7"/>
      <c r="D178" s="7"/>
      <c r="E178" s="7"/>
      <c r="F178" s="7"/>
      <c r="G178" s="7"/>
      <c r="H178" s="7"/>
      <c r="I178" s="7"/>
      <c r="J178" s="8"/>
      <c r="K178" s="9"/>
    </row>
    <row r="179">
      <c r="A179" s="6"/>
      <c r="B179" s="7"/>
      <c r="C179" s="7"/>
      <c r="D179" s="7"/>
      <c r="E179" s="7"/>
      <c r="F179" s="7"/>
      <c r="G179" s="7"/>
      <c r="H179" s="7"/>
      <c r="I179" s="7"/>
      <c r="J179" s="8"/>
      <c r="K179" s="9"/>
    </row>
    <row r="180">
      <c r="A180" s="6"/>
      <c r="B180" s="7"/>
      <c r="C180" s="7"/>
      <c r="D180" s="7"/>
      <c r="E180" s="7"/>
      <c r="F180" s="7"/>
      <c r="G180" s="7"/>
      <c r="H180" s="7"/>
      <c r="I180" s="7"/>
      <c r="J180" s="8"/>
      <c r="K180" s="9"/>
    </row>
    <row r="181">
      <c r="A181" s="6"/>
      <c r="B181" s="7"/>
      <c r="C181" s="7"/>
      <c r="D181" s="7"/>
      <c r="E181" s="7"/>
      <c r="F181" s="7"/>
      <c r="G181" s="7"/>
      <c r="H181" s="7"/>
      <c r="I181" s="7"/>
      <c r="J181" s="8"/>
      <c r="K181" s="9"/>
    </row>
    <row r="182">
      <c r="A182" s="6"/>
      <c r="B182" s="7"/>
      <c r="C182" s="7"/>
      <c r="D182" s="7"/>
      <c r="E182" s="7"/>
      <c r="F182" s="7"/>
      <c r="G182" s="7"/>
      <c r="H182" s="7"/>
      <c r="I182" s="7"/>
      <c r="J182" s="8"/>
      <c r="K182" s="9"/>
    </row>
    <row r="183">
      <c r="A183" s="6"/>
      <c r="B183" s="7"/>
      <c r="C183" s="7"/>
      <c r="D183" s="7"/>
      <c r="E183" s="7"/>
      <c r="F183" s="7"/>
      <c r="G183" s="7"/>
      <c r="H183" s="7"/>
      <c r="I183" s="7"/>
      <c r="J183" s="8"/>
      <c r="K183" s="9"/>
    </row>
    <row r="184">
      <c r="A184" s="6"/>
      <c r="B184" s="7"/>
      <c r="C184" s="7"/>
      <c r="D184" s="7"/>
      <c r="E184" s="7"/>
      <c r="F184" s="7"/>
      <c r="G184" s="7"/>
      <c r="H184" s="7"/>
      <c r="I184" s="7"/>
      <c r="J184" s="8"/>
      <c r="K184" s="9"/>
    </row>
    <row r="185">
      <c r="A185" s="6"/>
      <c r="B185" s="7"/>
      <c r="C185" s="7"/>
      <c r="D185" s="7"/>
      <c r="E185" s="7"/>
      <c r="F185" s="7"/>
      <c r="G185" s="7"/>
      <c r="H185" s="7"/>
      <c r="I185" s="7"/>
      <c r="J185" s="8"/>
      <c r="K185" s="9"/>
    </row>
    <row r="186">
      <c r="A186" s="6"/>
      <c r="B186" s="7"/>
      <c r="C186" s="7"/>
      <c r="D186" s="7"/>
      <c r="E186" s="7"/>
      <c r="F186" s="7"/>
      <c r="G186" s="7"/>
      <c r="H186" s="7"/>
      <c r="I186" s="7"/>
      <c r="J186" s="8"/>
      <c r="K186" s="9"/>
    </row>
    <row r="187">
      <c r="A187" s="6"/>
      <c r="B187" s="7"/>
      <c r="C187" s="7"/>
      <c r="D187" s="7"/>
      <c r="E187" s="7"/>
      <c r="F187" s="7"/>
      <c r="G187" s="7"/>
      <c r="H187" s="7"/>
      <c r="I187" s="7"/>
      <c r="J187" s="8"/>
      <c r="K187" s="9"/>
    </row>
    <row r="188">
      <c r="A188" s="6"/>
      <c r="B188" s="7"/>
      <c r="C188" s="7"/>
      <c r="D188" s="7"/>
      <c r="E188" s="7"/>
      <c r="F188" s="7"/>
      <c r="G188" s="7"/>
      <c r="H188" s="7"/>
      <c r="I188" s="7"/>
      <c r="J188" s="8"/>
      <c r="K188" s="9"/>
    </row>
    <row r="189">
      <c r="A189" s="6"/>
      <c r="B189" s="7"/>
      <c r="C189" s="7"/>
      <c r="D189" s="7"/>
      <c r="E189" s="7"/>
      <c r="F189" s="7"/>
      <c r="G189" s="7"/>
      <c r="H189" s="7"/>
      <c r="I189" s="7"/>
      <c r="J189" s="8"/>
      <c r="K189" s="9"/>
    </row>
    <row r="190">
      <c r="A190" s="6"/>
      <c r="B190" s="7"/>
      <c r="C190" s="7"/>
      <c r="D190" s="7"/>
      <c r="E190" s="7"/>
      <c r="F190" s="7"/>
      <c r="G190" s="7"/>
      <c r="H190" s="7"/>
      <c r="I190" s="7"/>
      <c r="J190" s="8"/>
      <c r="K190" s="9"/>
    </row>
    <row r="191">
      <c r="A191" s="6"/>
      <c r="B191" s="7"/>
      <c r="C191" s="7"/>
      <c r="D191" s="7"/>
      <c r="E191" s="7"/>
      <c r="F191" s="7"/>
      <c r="G191" s="7"/>
      <c r="H191" s="7"/>
      <c r="I191" s="7"/>
      <c r="J191" s="8"/>
      <c r="K191" s="9"/>
    </row>
    <row r="192">
      <c r="A192" s="6"/>
      <c r="B192" s="7"/>
      <c r="C192" s="7"/>
      <c r="D192" s="7"/>
      <c r="E192" s="7"/>
      <c r="F192" s="7"/>
      <c r="G192" s="7"/>
      <c r="H192" s="7"/>
      <c r="I192" s="7"/>
      <c r="J192" s="8"/>
      <c r="K192" s="9"/>
    </row>
    <row r="193">
      <c r="A193" s="6"/>
      <c r="B193" s="7"/>
      <c r="C193" s="7"/>
      <c r="D193" s="7"/>
      <c r="E193" s="7"/>
      <c r="F193" s="7"/>
      <c r="G193" s="7"/>
      <c r="H193" s="7"/>
      <c r="I193" s="7"/>
      <c r="J193" s="8"/>
      <c r="K193" s="9"/>
    </row>
    <row r="194">
      <c r="A194" s="6"/>
      <c r="B194" s="7"/>
      <c r="C194" s="7"/>
      <c r="D194" s="7"/>
      <c r="E194" s="7"/>
      <c r="F194" s="7"/>
      <c r="G194" s="7"/>
      <c r="H194" s="7"/>
      <c r="I194" s="7"/>
      <c r="J194" s="8"/>
      <c r="K194" s="9"/>
    </row>
    <row r="195">
      <c r="A195" s="6"/>
      <c r="B195" s="7"/>
      <c r="C195" s="7"/>
      <c r="D195" s="7"/>
      <c r="E195" s="7"/>
      <c r="F195" s="7"/>
      <c r="G195" s="7"/>
      <c r="H195" s="7"/>
      <c r="I195" s="7"/>
      <c r="J195" s="8"/>
      <c r="K195" s="9"/>
    </row>
    <row r="196">
      <c r="A196" s="6"/>
      <c r="B196" s="7"/>
      <c r="C196" s="7"/>
      <c r="D196" s="7"/>
      <c r="E196" s="7"/>
      <c r="F196" s="7"/>
      <c r="G196" s="7"/>
      <c r="H196" s="7"/>
      <c r="I196" s="7"/>
      <c r="J196" s="8"/>
      <c r="K196" s="9"/>
    </row>
    <row r="197">
      <c r="A197" s="6"/>
      <c r="B197" s="7"/>
      <c r="C197" s="7"/>
      <c r="D197" s="7"/>
      <c r="E197" s="7"/>
      <c r="F197" s="7"/>
      <c r="G197" s="7"/>
      <c r="H197" s="7"/>
      <c r="I197" s="7"/>
      <c r="J197" s="8"/>
      <c r="K197" s="9"/>
    </row>
    <row r="198">
      <c r="A198" s="6"/>
      <c r="B198" s="7"/>
      <c r="C198" s="7"/>
      <c r="D198" s="7"/>
      <c r="E198" s="7"/>
      <c r="F198" s="7"/>
      <c r="G198" s="7"/>
      <c r="H198" s="7"/>
      <c r="I198" s="7"/>
      <c r="J198" s="8"/>
      <c r="K198" s="9"/>
    </row>
    <row r="199">
      <c r="A199" s="6"/>
      <c r="B199" s="7"/>
      <c r="C199" s="7"/>
      <c r="D199" s="7"/>
      <c r="E199" s="7"/>
      <c r="F199" s="7"/>
      <c r="G199" s="7"/>
      <c r="H199" s="7"/>
      <c r="I199" s="7"/>
      <c r="J199" s="8"/>
      <c r="K199" s="9"/>
    </row>
    <row r="200">
      <c r="A200" s="6"/>
      <c r="B200" s="7"/>
      <c r="C200" s="7"/>
      <c r="D200" s="7"/>
      <c r="E200" s="7"/>
      <c r="F200" s="7"/>
      <c r="G200" s="7"/>
      <c r="H200" s="7"/>
      <c r="I200" s="7"/>
      <c r="J200" s="8"/>
      <c r="K200" s="9"/>
    </row>
    <row r="201">
      <c r="A201" s="6"/>
      <c r="B201" s="7"/>
      <c r="C201" s="7"/>
      <c r="D201" s="7"/>
      <c r="E201" s="7"/>
      <c r="F201" s="7"/>
      <c r="G201" s="7"/>
      <c r="H201" s="7"/>
      <c r="I201" s="7"/>
      <c r="J201" s="8"/>
      <c r="K201" s="9"/>
    </row>
    <row r="202">
      <c r="A202" s="6"/>
      <c r="B202" s="7"/>
      <c r="C202" s="7"/>
      <c r="D202" s="7"/>
      <c r="E202" s="7"/>
      <c r="F202" s="7"/>
      <c r="G202" s="7"/>
      <c r="H202" s="7"/>
      <c r="I202" s="7"/>
      <c r="J202" s="8"/>
      <c r="K202" s="9"/>
    </row>
    <row r="203">
      <c r="A203" s="6"/>
      <c r="B203" s="7"/>
      <c r="C203" s="7"/>
      <c r="D203" s="7"/>
      <c r="E203" s="7"/>
      <c r="F203" s="7"/>
      <c r="G203" s="7"/>
      <c r="H203" s="7"/>
      <c r="I203" s="7"/>
      <c r="J203" s="8"/>
      <c r="K203" s="9"/>
    </row>
    <row r="204">
      <c r="A204" s="6"/>
      <c r="B204" s="7"/>
      <c r="C204" s="7"/>
      <c r="D204" s="7"/>
      <c r="E204" s="7"/>
      <c r="F204" s="7"/>
      <c r="G204" s="7"/>
      <c r="H204" s="7"/>
      <c r="I204" s="7"/>
      <c r="J204" s="8"/>
      <c r="K204" s="9"/>
    </row>
    <row r="205">
      <c r="A205" s="6"/>
      <c r="B205" s="7"/>
      <c r="C205" s="7"/>
      <c r="D205" s="7"/>
      <c r="E205" s="7"/>
      <c r="F205" s="7"/>
      <c r="G205" s="7"/>
      <c r="H205" s="7"/>
      <c r="I205" s="7"/>
      <c r="J205" s="8"/>
      <c r="K205" s="9"/>
    </row>
    <row r="206">
      <c r="A206" s="6"/>
      <c r="B206" s="7"/>
      <c r="C206" s="7"/>
      <c r="D206" s="7"/>
      <c r="E206" s="7"/>
      <c r="F206" s="7"/>
      <c r="G206" s="7"/>
      <c r="H206" s="7"/>
      <c r="I206" s="7"/>
      <c r="J206" s="8"/>
      <c r="K206" s="9"/>
    </row>
    <row r="207">
      <c r="A207" s="6"/>
      <c r="B207" s="7"/>
      <c r="C207" s="7"/>
      <c r="D207" s="7"/>
      <c r="E207" s="7"/>
      <c r="F207" s="7"/>
      <c r="G207" s="7"/>
      <c r="H207" s="7"/>
      <c r="I207" s="7"/>
      <c r="J207" s="8"/>
      <c r="K207" s="9"/>
    </row>
    <row r="208">
      <c r="A208" s="6"/>
      <c r="B208" s="7"/>
      <c r="C208" s="7"/>
      <c r="D208" s="7"/>
      <c r="E208" s="7"/>
      <c r="F208" s="7"/>
      <c r="G208" s="7"/>
      <c r="H208" s="7"/>
      <c r="I208" s="7"/>
      <c r="J208" s="8"/>
      <c r="K208" s="9"/>
    </row>
    <row r="209">
      <c r="A209" s="6"/>
      <c r="B209" s="7"/>
      <c r="C209" s="7"/>
      <c r="D209" s="7"/>
      <c r="E209" s="7"/>
      <c r="F209" s="7"/>
      <c r="G209" s="7"/>
      <c r="H209" s="7"/>
      <c r="I209" s="7"/>
      <c r="J209" s="8"/>
      <c r="K209" s="9"/>
    </row>
    <row r="210">
      <c r="A210" s="6"/>
      <c r="B210" s="7"/>
      <c r="C210" s="7"/>
      <c r="D210" s="7"/>
      <c r="E210" s="7"/>
      <c r="F210" s="7"/>
      <c r="G210" s="7"/>
      <c r="H210" s="7"/>
      <c r="I210" s="7"/>
      <c r="J210" s="8"/>
      <c r="K210" s="9"/>
    </row>
    <row r="211">
      <c r="A211" s="6"/>
      <c r="B211" s="7"/>
      <c r="C211" s="7"/>
      <c r="D211" s="7"/>
      <c r="E211" s="7"/>
      <c r="F211" s="7"/>
      <c r="G211" s="7"/>
      <c r="H211" s="7"/>
      <c r="I211" s="7"/>
      <c r="J211" s="8"/>
      <c r="K211" s="9"/>
    </row>
    <row r="212">
      <c r="A212" s="6"/>
      <c r="B212" s="7"/>
      <c r="C212" s="7"/>
      <c r="D212" s="7"/>
      <c r="E212" s="7"/>
      <c r="F212" s="7"/>
      <c r="G212" s="7"/>
      <c r="H212" s="7"/>
      <c r="I212" s="7"/>
      <c r="J212" s="8"/>
      <c r="K212" s="9"/>
    </row>
    <row r="213">
      <c r="A213" s="6"/>
      <c r="B213" s="7"/>
      <c r="C213" s="7"/>
      <c r="D213" s="7"/>
      <c r="E213" s="7"/>
      <c r="F213" s="7"/>
      <c r="G213" s="7"/>
      <c r="H213" s="7"/>
      <c r="I213" s="7"/>
      <c r="J213" s="8"/>
      <c r="K213" s="9"/>
    </row>
    <row r="214">
      <c r="A214" s="6"/>
      <c r="B214" s="7"/>
      <c r="C214" s="7"/>
      <c r="D214" s="7"/>
      <c r="E214" s="7"/>
      <c r="F214" s="7"/>
      <c r="G214" s="7"/>
      <c r="H214" s="7"/>
      <c r="I214" s="7"/>
      <c r="J214" s="8"/>
      <c r="K214" s="9"/>
    </row>
    <row r="215">
      <c r="A215" s="6"/>
      <c r="B215" s="7"/>
      <c r="C215" s="7"/>
      <c r="D215" s="7"/>
      <c r="E215" s="7"/>
      <c r="F215" s="7"/>
      <c r="G215" s="7"/>
      <c r="H215" s="7"/>
      <c r="I215" s="7"/>
      <c r="J215" s="8"/>
      <c r="K215" s="9"/>
    </row>
    <row r="216">
      <c r="A216" s="6"/>
      <c r="B216" s="7"/>
      <c r="C216" s="7"/>
      <c r="D216" s="7"/>
      <c r="E216" s="7"/>
      <c r="F216" s="7"/>
      <c r="G216" s="7"/>
      <c r="H216" s="7"/>
      <c r="I216" s="7"/>
      <c r="J216" s="8"/>
      <c r="K216" s="9"/>
    </row>
    <row r="217">
      <c r="A217" s="6"/>
      <c r="B217" s="7"/>
      <c r="C217" s="7"/>
      <c r="D217" s="7"/>
      <c r="E217" s="7"/>
      <c r="F217" s="7"/>
      <c r="G217" s="7"/>
      <c r="H217" s="7"/>
      <c r="I217" s="7"/>
      <c r="J217" s="8"/>
      <c r="K217" s="9"/>
    </row>
    <row r="218">
      <c r="A218" s="6"/>
      <c r="B218" s="7"/>
      <c r="C218" s="7"/>
      <c r="D218" s="7"/>
      <c r="E218" s="7"/>
      <c r="F218" s="7"/>
      <c r="G218" s="7"/>
      <c r="H218" s="7"/>
      <c r="I218" s="7"/>
      <c r="J218" s="8"/>
      <c r="K218" s="9"/>
    </row>
    <row r="219">
      <c r="A219" s="6"/>
      <c r="B219" s="7"/>
      <c r="C219" s="7"/>
      <c r="D219" s="7"/>
      <c r="E219" s="7"/>
      <c r="F219" s="7"/>
      <c r="G219" s="7"/>
      <c r="H219" s="7"/>
      <c r="I219" s="7"/>
      <c r="J219" s="8"/>
      <c r="K219" s="9"/>
    </row>
    <row r="220">
      <c r="A220" s="6"/>
      <c r="B220" s="7"/>
      <c r="C220" s="7"/>
      <c r="D220" s="7"/>
      <c r="E220" s="7"/>
      <c r="F220" s="7"/>
      <c r="G220" s="7"/>
      <c r="H220" s="7"/>
      <c r="I220" s="7"/>
      <c r="J220" s="8"/>
      <c r="K220" s="9"/>
    </row>
    <row r="221">
      <c r="A221" s="6"/>
      <c r="B221" s="7"/>
      <c r="C221" s="7"/>
      <c r="D221" s="7"/>
      <c r="E221" s="7"/>
      <c r="F221" s="7"/>
      <c r="G221" s="7"/>
      <c r="H221" s="7"/>
      <c r="I221" s="7"/>
      <c r="J221" s="8"/>
      <c r="K221" s="9"/>
    </row>
    <row r="222">
      <c r="A222" s="6"/>
      <c r="B222" s="7"/>
      <c r="C222" s="7"/>
      <c r="D222" s="7"/>
      <c r="E222" s="7"/>
      <c r="F222" s="7"/>
      <c r="G222" s="7"/>
      <c r="H222" s="7"/>
      <c r="I222" s="7"/>
      <c r="J222" s="8"/>
      <c r="K222" s="9"/>
    </row>
    <row r="223">
      <c r="A223" s="6"/>
      <c r="B223" s="7"/>
      <c r="C223" s="7"/>
      <c r="D223" s="7"/>
      <c r="E223" s="7"/>
      <c r="F223" s="7"/>
      <c r="G223" s="7"/>
      <c r="H223" s="7"/>
      <c r="I223" s="7"/>
      <c r="J223" s="8"/>
      <c r="K223" s="9"/>
    </row>
    <row r="224">
      <c r="A224" s="6"/>
      <c r="B224" s="7"/>
      <c r="C224" s="7"/>
      <c r="D224" s="7"/>
      <c r="E224" s="7"/>
      <c r="F224" s="7"/>
      <c r="G224" s="7"/>
      <c r="H224" s="7"/>
      <c r="I224" s="7"/>
      <c r="J224" s="8"/>
      <c r="K224" s="9"/>
    </row>
    <row r="225">
      <c r="A225" s="6"/>
      <c r="B225" s="7"/>
      <c r="C225" s="7"/>
      <c r="D225" s="7"/>
      <c r="E225" s="7"/>
      <c r="F225" s="7"/>
      <c r="G225" s="7"/>
      <c r="H225" s="7"/>
      <c r="I225" s="7"/>
      <c r="J225" s="8"/>
      <c r="K225" s="9"/>
    </row>
    <row r="226">
      <c r="A226" s="6"/>
      <c r="B226" s="7"/>
      <c r="C226" s="7"/>
      <c r="D226" s="7"/>
      <c r="E226" s="7"/>
      <c r="F226" s="7"/>
      <c r="G226" s="7"/>
      <c r="H226" s="7"/>
      <c r="I226" s="7"/>
      <c r="J226" s="8"/>
      <c r="K226" s="9"/>
    </row>
    <row r="227">
      <c r="A227" s="6"/>
      <c r="B227" s="7"/>
      <c r="C227" s="7"/>
      <c r="D227" s="7"/>
      <c r="E227" s="7"/>
      <c r="F227" s="7"/>
      <c r="G227" s="7"/>
      <c r="H227" s="7"/>
      <c r="I227" s="7"/>
      <c r="J227" s="8"/>
      <c r="K227" s="9"/>
    </row>
    <row r="228">
      <c r="A228" s="6"/>
      <c r="B228" s="7"/>
      <c r="C228" s="7"/>
      <c r="D228" s="7"/>
      <c r="E228" s="7"/>
      <c r="F228" s="7"/>
      <c r="G228" s="7"/>
      <c r="H228" s="7"/>
      <c r="I228" s="7"/>
      <c r="J228" s="8"/>
      <c r="K228" s="9"/>
    </row>
    <row r="229">
      <c r="A229" s="6"/>
      <c r="B229" s="7"/>
      <c r="C229" s="7"/>
      <c r="D229" s="7"/>
      <c r="E229" s="7"/>
      <c r="F229" s="7"/>
      <c r="G229" s="7"/>
      <c r="H229" s="7"/>
      <c r="I229" s="7"/>
      <c r="J229" s="8"/>
      <c r="K229" s="9"/>
    </row>
    <row r="230">
      <c r="A230" s="6"/>
      <c r="B230" s="7"/>
      <c r="C230" s="7"/>
      <c r="D230" s="7"/>
      <c r="E230" s="7"/>
      <c r="F230" s="7"/>
      <c r="G230" s="7"/>
      <c r="H230" s="7"/>
      <c r="I230" s="7"/>
      <c r="J230" s="8"/>
      <c r="K230" s="9"/>
    </row>
    <row r="231">
      <c r="A231" s="6"/>
      <c r="B231" s="7"/>
      <c r="C231" s="7"/>
      <c r="D231" s="7"/>
      <c r="E231" s="7"/>
      <c r="F231" s="7"/>
      <c r="G231" s="7"/>
      <c r="H231" s="7"/>
      <c r="I231" s="7"/>
      <c r="J231" s="8"/>
      <c r="K231" s="9"/>
    </row>
    <row r="232">
      <c r="A232" s="6"/>
      <c r="B232" s="7"/>
      <c r="C232" s="7"/>
      <c r="D232" s="7"/>
      <c r="E232" s="7"/>
      <c r="F232" s="7"/>
      <c r="G232" s="7"/>
      <c r="H232" s="7"/>
      <c r="I232" s="7"/>
      <c r="J232" s="8"/>
      <c r="K232" s="9"/>
    </row>
    <row r="233">
      <c r="A233" s="6"/>
      <c r="B233" s="7"/>
      <c r="C233" s="7"/>
      <c r="D233" s="7"/>
      <c r="E233" s="7"/>
      <c r="F233" s="7"/>
      <c r="G233" s="7"/>
      <c r="H233" s="7"/>
      <c r="I233" s="7"/>
      <c r="J233" s="8"/>
      <c r="K233" s="9"/>
    </row>
    <row r="234">
      <c r="A234" s="6"/>
      <c r="B234" s="7"/>
      <c r="C234" s="7"/>
      <c r="D234" s="7"/>
      <c r="E234" s="7"/>
      <c r="F234" s="7"/>
      <c r="G234" s="7"/>
      <c r="H234" s="7"/>
      <c r="I234" s="7"/>
      <c r="J234" s="8"/>
      <c r="K234" s="9"/>
    </row>
    <row r="235">
      <c r="A235" s="6"/>
      <c r="B235" s="7"/>
      <c r="C235" s="7"/>
      <c r="D235" s="7"/>
      <c r="E235" s="7"/>
      <c r="F235" s="7"/>
      <c r="G235" s="7"/>
      <c r="H235" s="7"/>
      <c r="I235" s="7"/>
      <c r="J235" s="8"/>
      <c r="K235" s="9"/>
    </row>
    <row r="236">
      <c r="A236" s="6"/>
      <c r="B236" s="7"/>
      <c r="C236" s="7"/>
      <c r="D236" s="7"/>
      <c r="E236" s="7"/>
      <c r="F236" s="7"/>
      <c r="G236" s="7"/>
      <c r="H236" s="7"/>
      <c r="I236" s="7"/>
      <c r="J236" s="8"/>
      <c r="K236" s="9"/>
    </row>
    <row r="237">
      <c r="A237" s="6"/>
      <c r="B237" s="7"/>
      <c r="C237" s="7"/>
      <c r="D237" s="7"/>
      <c r="E237" s="7"/>
      <c r="F237" s="7"/>
      <c r="G237" s="7"/>
      <c r="H237" s="7"/>
      <c r="I237" s="7"/>
      <c r="J237" s="8"/>
      <c r="K237" s="9"/>
    </row>
    <row r="238">
      <c r="A238" s="6"/>
      <c r="B238" s="7"/>
      <c r="C238" s="7"/>
      <c r="D238" s="7"/>
      <c r="E238" s="7"/>
      <c r="F238" s="7"/>
      <c r="G238" s="7"/>
      <c r="H238" s="7"/>
      <c r="I238" s="7"/>
      <c r="J238" s="8"/>
      <c r="K238" s="9"/>
    </row>
    <row r="239">
      <c r="A239" s="6"/>
      <c r="B239" s="7"/>
      <c r="C239" s="7"/>
      <c r="D239" s="7"/>
      <c r="E239" s="7"/>
      <c r="F239" s="7"/>
      <c r="G239" s="7"/>
      <c r="H239" s="7"/>
      <c r="I239" s="7"/>
      <c r="J239" s="8"/>
      <c r="K239" s="9"/>
    </row>
    <row r="240">
      <c r="A240" s="6"/>
      <c r="B240" s="7"/>
      <c r="C240" s="7"/>
      <c r="D240" s="7"/>
      <c r="E240" s="7"/>
      <c r="F240" s="7"/>
      <c r="G240" s="7"/>
      <c r="H240" s="7"/>
      <c r="I240" s="7"/>
      <c r="J240" s="8"/>
      <c r="K240" s="9"/>
    </row>
    <row r="241">
      <c r="A241" s="6"/>
      <c r="B241" s="7"/>
      <c r="C241" s="7"/>
      <c r="D241" s="7"/>
      <c r="E241" s="7"/>
      <c r="F241" s="7"/>
      <c r="G241" s="7"/>
      <c r="H241" s="7"/>
      <c r="I241" s="7"/>
      <c r="J241" s="8"/>
      <c r="K241" s="9"/>
    </row>
    <row r="242">
      <c r="A242" s="6"/>
      <c r="B242" s="7"/>
      <c r="C242" s="7"/>
      <c r="D242" s="7"/>
      <c r="E242" s="7"/>
      <c r="F242" s="7"/>
      <c r="G242" s="7"/>
      <c r="H242" s="7"/>
      <c r="I242" s="7"/>
      <c r="J242" s="8"/>
      <c r="K242" s="9"/>
    </row>
    <row r="243">
      <c r="A243" s="6"/>
      <c r="B243" s="7"/>
      <c r="C243" s="7"/>
      <c r="D243" s="7"/>
      <c r="E243" s="7"/>
      <c r="F243" s="7"/>
      <c r="G243" s="7"/>
      <c r="H243" s="7"/>
      <c r="I243" s="7"/>
      <c r="J243" s="8"/>
      <c r="K243" s="9"/>
    </row>
    <row r="244">
      <c r="A244" s="6"/>
      <c r="B244" s="7"/>
      <c r="C244" s="7"/>
      <c r="D244" s="7"/>
      <c r="E244" s="7"/>
      <c r="F244" s="7"/>
      <c r="G244" s="7"/>
      <c r="H244" s="7"/>
      <c r="I244" s="7"/>
      <c r="J244" s="8"/>
      <c r="K244" s="9"/>
    </row>
    <row r="245">
      <c r="A245" s="6"/>
      <c r="B245" s="7"/>
      <c r="C245" s="7"/>
      <c r="D245" s="7"/>
      <c r="E245" s="7"/>
      <c r="F245" s="7"/>
      <c r="G245" s="7"/>
      <c r="H245" s="7"/>
      <c r="I245" s="7"/>
      <c r="J245" s="8"/>
      <c r="K245" s="9"/>
    </row>
    <row r="246">
      <c r="A246" s="6"/>
      <c r="B246" s="7"/>
      <c r="C246" s="7"/>
      <c r="D246" s="7"/>
      <c r="E246" s="7"/>
      <c r="F246" s="7"/>
      <c r="G246" s="7"/>
      <c r="H246" s="7"/>
      <c r="I246" s="7"/>
      <c r="J246" s="8"/>
      <c r="K246" s="9"/>
    </row>
    <row r="247">
      <c r="A247" s="6"/>
      <c r="B247" s="7"/>
      <c r="C247" s="7"/>
      <c r="D247" s="7"/>
      <c r="E247" s="7"/>
      <c r="F247" s="7"/>
      <c r="G247" s="7"/>
      <c r="H247" s="7"/>
      <c r="I247" s="7"/>
      <c r="J247" s="8"/>
      <c r="K247" s="9"/>
    </row>
    <row r="248">
      <c r="A248" s="6"/>
      <c r="B248" s="7"/>
      <c r="C248" s="7"/>
      <c r="D248" s="7"/>
      <c r="E248" s="7"/>
      <c r="F248" s="7"/>
      <c r="G248" s="7"/>
      <c r="H248" s="7"/>
      <c r="I248" s="7"/>
      <c r="J248" s="8"/>
      <c r="K248" s="9"/>
    </row>
    <row r="249">
      <c r="A249" s="6"/>
      <c r="B249" s="7"/>
      <c r="C249" s="7"/>
      <c r="D249" s="7"/>
      <c r="E249" s="7"/>
      <c r="F249" s="7"/>
      <c r="G249" s="7"/>
      <c r="H249" s="7"/>
      <c r="I249" s="7"/>
      <c r="J249" s="8"/>
      <c r="K249" s="9"/>
    </row>
    <row r="250">
      <c r="A250" s="6"/>
      <c r="B250" s="7"/>
      <c r="C250" s="7"/>
      <c r="D250" s="7"/>
      <c r="E250" s="7"/>
      <c r="F250" s="7"/>
      <c r="G250" s="7"/>
      <c r="H250" s="7"/>
      <c r="I250" s="7"/>
      <c r="J250" s="8"/>
      <c r="K250" s="9"/>
    </row>
    <row r="251">
      <c r="A251" s="6"/>
      <c r="B251" s="7"/>
      <c r="C251" s="7"/>
      <c r="D251" s="7"/>
      <c r="E251" s="7"/>
      <c r="F251" s="7"/>
      <c r="G251" s="7"/>
      <c r="H251" s="7"/>
      <c r="I251" s="7"/>
      <c r="J251" s="8"/>
      <c r="K251" s="9"/>
    </row>
    <row r="252">
      <c r="A252" s="6"/>
      <c r="B252" s="7"/>
      <c r="C252" s="7"/>
      <c r="D252" s="7"/>
      <c r="E252" s="7"/>
      <c r="F252" s="7"/>
      <c r="G252" s="7"/>
      <c r="H252" s="7"/>
      <c r="I252" s="7"/>
      <c r="J252" s="8"/>
      <c r="K252" s="9"/>
    </row>
    <row r="253">
      <c r="A253" s="6"/>
      <c r="B253" s="7"/>
      <c r="C253" s="7"/>
      <c r="D253" s="7"/>
      <c r="E253" s="7"/>
      <c r="F253" s="7"/>
      <c r="G253" s="7"/>
      <c r="H253" s="7"/>
      <c r="I253" s="7"/>
      <c r="J253" s="8"/>
      <c r="K253" s="9"/>
    </row>
    <row r="254">
      <c r="A254" s="6"/>
      <c r="B254" s="7"/>
      <c r="C254" s="7"/>
      <c r="D254" s="7"/>
      <c r="E254" s="7"/>
      <c r="F254" s="7"/>
      <c r="G254" s="7"/>
      <c r="H254" s="7"/>
      <c r="I254" s="7"/>
      <c r="J254" s="8"/>
      <c r="K254" s="9"/>
    </row>
    <row r="255">
      <c r="A255" s="6"/>
      <c r="B255" s="7"/>
      <c r="C255" s="7"/>
      <c r="D255" s="7"/>
      <c r="E255" s="7"/>
      <c r="F255" s="7"/>
      <c r="G255" s="7"/>
      <c r="H255" s="7"/>
      <c r="I255" s="7"/>
      <c r="J255" s="8"/>
      <c r="K255" s="9"/>
    </row>
    <row r="256">
      <c r="A256" s="6"/>
      <c r="B256" s="7"/>
      <c r="C256" s="7"/>
      <c r="D256" s="7"/>
      <c r="E256" s="7"/>
      <c r="F256" s="7"/>
      <c r="G256" s="7"/>
      <c r="H256" s="7"/>
      <c r="I256" s="7"/>
      <c r="J256" s="8"/>
      <c r="K256" s="9"/>
    </row>
    <row r="257">
      <c r="A257" s="6"/>
      <c r="B257" s="7"/>
      <c r="C257" s="7"/>
      <c r="D257" s="7"/>
      <c r="E257" s="7"/>
      <c r="F257" s="7"/>
      <c r="G257" s="7"/>
      <c r="H257" s="7"/>
      <c r="I257" s="7"/>
      <c r="J257" s="8"/>
      <c r="K257" s="9"/>
    </row>
    <row r="258">
      <c r="A258" s="6"/>
      <c r="B258" s="7"/>
      <c r="C258" s="7"/>
      <c r="D258" s="7"/>
      <c r="E258" s="7"/>
      <c r="F258" s="7"/>
      <c r="G258" s="7"/>
      <c r="H258" s="7"/>
      <c r="I258" s="7"/>
      <c r="J258" s="8"/>
      <c r="K258" s="9"/>
    </row>
    <row r="259">
      <c r="A259" s="6"/>
      <c r="B259" s="7"/>
      <c r="C259" s="7"/>
      <c r="D259" s="7"/>
      <c r="E259" s="7"/>
      <c r="F259" s="7"/>
      <c r="G259" s="7"/>
      <c r="H259" s="7"/>
      <c r="I259" s="7"/>
      <c r="J259" s="8"/>
      <c r="K259" s="9"/>
    </row>
    <row r="260">
      <c r="A260" s="6"/>
      <c r="B260" s="7"/>
      <c r="C260" s="7"/>
      <c r="D260" s="7"/>
      <c r="E260" s="7"/>
      <c r="F260" s="7"/>
      <c r="G260" s="7"/>
      <c r="H260" s="7"/>
      <c r="I260" s="7"/>
      <c r="J260" s="8"/>
      <c r="K260" s="9"/>
    </row>
    <row r="261">
      <c r="A261" s="6"/>
      <c r="B261" s="7"/>
      <c r="C261" s="7"/>
      <c r="D261" s="7"/>
      <c r="E261" s="7"/>
      <c r="F261" s="7"/>
      <c r="G261" s="7"/>
      <c r="H261" s="7"/>
      <c r="I261" s="7"/>
      <c r="J261" s="8"/>
      <c r="K261" s="9"/>
    </row>
    <row r="262">
      <c r="A262" s="6"/>
      <c r="B262" s="7"/>
      <c r="C262" s="7"/>
      <c r="D262" s="7"/>
      <c r="E262" s="7"/>
      <c r="F262" s="7"/>
      <c r="G262" s="7"/>
      <c r="H262" s="7"/>
      <c r="I262" s="7"/>
      <c r="J262" s="8"/>
      <c r="K262" s="9"/>
    </row>
    <row r="263">
      <c r="A263" s="6"/>
      <c r="B263" s="7"/>
      <c r="C263" s="7"/>
      <c r="D263" s="7"/>
      <c r="E263" s="7"/>
      <c r="F263" s="7"/>
      <c r="G263" s="7"/>
      <c r="H263" s="7"/>
      <c r="I263" s="7"/>
      <c r="J263" s="8"/>
      <c r="K263" s="9"/>
    </row>
    <row r="264">
      <c r="A264" s="6"/>
      <c r="B264" s="7"/>
      <c r="C264" s="7"/>
      <c r="D264" s="7"/>
      <c r="E264" s="7"/>
      <c r="F264" s="7"/>
      <c r="G264" s="7"/>
      <c r="H264" s="7"/>
      <c r="I264" s="7"/>
      <c r="J264" s="8"/>
      <c r="K264" s="9"/>
    </row>
    <row r="265">
      <c r="A265" s="6"/>
      <c r="B265" s="7"/>
      <c r="C265" s="7"/>
      <c r="D265" s="7"/>
      <c r="E265" s="7"/>
      <c r="F265" s="7"/>
      <c r="G265" s="7"/>
      <c r="H265" s="7"/>
      <c r="I265" s="7"/>
      <c r="J265" s="8"/>
      <c r="K265" s="9"/>
    </row>
    <row r="266">
      <c r="A266" s="6"/>
      <c r="B266" s="7"/>
      <c r="C266" s="7"/>
      <c r="D266" s="7"/>
      <c r="E266" s="7"/>
      <c r="F266" s="7"/>
      <c r="G266" s="7"/>
      <c r="H266" s="7"/>
      <c r="I266" s="7"/>
      <c r="J266" s="8"/>
      <c r="K266" s="9"/>
    </row>
    <row r="267">
      <c r="A267" s="6"/>
      <c r="B267" s="7"/>
      <c r="C267" s="7"/>
      <c r="D267" s="7"/>
      <c r="E267" s="7"/>
      <c r="F267" s="7"/>
      <c r="G267" s="7"/>
      <c r="H267" s="7"/>
      <c r="I267" s="7"/>
      <c r="J267" s="8"/>
      <c r="K267" s="9"/>
    </row>
    <row r="268">
      <c r="A268" s="6"/>
      <c r="B268" s="7"/>
      <c r="C268" s="7"/>
      <c r="D268" s="7"/>
      <c r="E268" s="7"/>
      <c r="F268" s="7"/>
      <c r="G268" s="7"/>
      <c r="H268" s="7"/>
      <c r="I268" s="7"/>
      <c r="J268" s="8"/>
      <c r="K268" s="9"/>
    </row>
    <row r="269">
      <c r="A269" s="6"/>
      <c r="B269" s="7"/>
      <c r="C269" s="7"/>
      <c r="D269" s="7"/>
      <c r="E269" s="7"/>
      <c r="F269" s="7"/>
      <c r="G269" s="7"/>
      <c r="H269" s="7"/>
      <c r="I269" s="7"/>
      <c r="J269" s="8"/>
      <c r="K269" s="9"/>
    </row>
    <row r="270">
      <c r="A270" s="6"/>
      <c r="B270" s="7"/>
      <c r="C270" s="7"/>
      <c r="D270" s="7"/>
      <c r="E270" s="7"/>
      <c r="F270" s="7"/>
      <c r="G270" s="7"/>
      <c r="H270" s="7"/>
      <c r="I270" s="7"/>
      <c r="J270" s="8"/>
      <c r="K270" s="9"/>
    </row>
    <row r="271">
      <c r="A271" s="6"/>
      <c r="B271" s="7"/>
      <c r="C271" s="7"/>
      <c r="D271" s="7"/>
      <c r="E271" s="7"/>
      <c r="F271" s="7"/>
      <c r="G271" s="7"/>
      <c r="H271" s="7"/>
      <c r="I271" s="7"/>
      <c r="J271" s="8"/>
      <c r="K271" s="9"/>
    </row>
    <row r="272">
      <c r="A272" s="6"/>
      <c r="B272" s="7"/>
      <c r="C272" s="7"/>
      <c r="D272" s="7"/>
      <c r="E272" s="7"/>
      <c r="F272" s="7"/>
      <c r="G272" s="7"/>
      <c r="H272" s="7"/>
      <c r="I272" s="7"/>
      <c r="J272" s="8"/>
      <c r="K272" s="9"/>
    </row>
    <row r="273">
      <c r="A273" s="6"/>
      <c r="B273" s="7"/>
      <c r="C273" s="7"/>
      <c r="D273" s="7"/>
      <c r="E273" s="7"/>
      <c r="F273" s="7"/>
      <c r="G273" s="7"/>
      <c r="H273" s="7"/>
      <c r="I273" s="7"/>
      <c r="J273" s="8"/>
      <c r="K273" s="9"/>
    </row>
    <row r="274">
      <c r="A274" s="6"/>
      <c r="B274" s="7"/>
      <c r="C274" s="7"/>
      <c r="D274" s="7"/>
      <c r="E274" s="7"/>
      <c r="F274" s="7"/>
      <c r="G274" s="7"/>
      <c r="H274" s="7"/>
      <c r="I274" s="7"/>
      <c r="J274" s="8"/>
      <c r="K274" s="9"/>
    </row>
    <row r="275">
      <c r="A275" s="6"/>
      <c r="B275" s="7"/>
      <c r="C275" s="7"/>
      <c r="D275" s="7"/>
      <c r="E275" s="7"/>
      <c r="F275" s="7"/>
      <c r="G275" s="7"/>
      <c r="H275" s="7"/>
      <c r="I275" s="7"/>
      <c r="J275" s="8"/>
      <c r="K275" s="9"/>
    </row>
    <row r="276">
      <c r="A276" s="6"/>
      <c r="B276" s="7"/>
      <c r="C276" s="7"/>
      <c r="D276" s="7"/>
      <c r="E276" s="7"/>
      <c r="F276" s="7"/>
      <c r="G276" s="7"/>
      <c r="H276" s="7"/>
      <c r="I276" s="7"/>
      <c r="J276" s="8"/>
      <c r="K276" s="9"/>
    </row>
    <row r="277">
      <c r="A277" s="6"/>
      <c r="B277" s="7"/>
      <c r="C277" s="7"/>
      <c r="D277" s="7"/>
      <c r="E277" s="7"/>
      <c r="F277" s="7"/>
      <c r="G277" s="7"/>
      <c r="H277" s="7"/>
      <c r="I277" s="7"/>
      <c r="J277" s="8"/>
      <c r="K277" s="9"/>
    </row>
    <row r="278">
      <c r="A278" s="6"/>
      <c r="B278" s="7"/>
      <c r="C278" s="7"/>
      <c r="D278" s="7"/>
      <c r="E278" s="7"/>
      <c r="F278" s="7"/>
      <c r="G278" s="7"/>
      <c r="H278" s="7"/>
      <c r="I278" s="7"/>
      <c r="J278" s="8"/>
      <c r="K278" s="9"/>
    </row>
    <row r="279">
      <c r="A279" s="6"/>
      <c r="B279" s="7"/>
      <c r="C279" s="7"/>
      <c r="D279" s="7"/>
      <c r="E279" s="7"/>
      <c r="F279" s="7"/>
      <c r="G279" s="7"/>
      <c r="H279" s="7"/>
      <c r="I279" s="7"/>
      <c r="J279" s="8"/>
      <c r="K279" s="9"/>
    </row>
    <row r="280">
      <c r="A280" s="6"/>
      <c r="B280" s="7"/>
      <c r="C280" s="7"/>
      <c r="D280" s="7"/>
      <c r="E280" s="7"/>
      <c r="F280" s="7"/>
      <c r="G280" s="7"/>
      <c r="H280" s="7"/>
      <c r="I280" s="7"/>
      <c r="J280" s="8"/>
      <c r="K280" s="9"/>
    </row>
    <row r="281">
      <c r="A281" s="6"/>
      <c r="B281" s="7"/>
      <c r="C281" s="7"/>
      <c r="D281" s="7"/>
      <c r="E281" s="7"/>
      <c r="F281" s="7"/>
      <c r="G281" s="7"/>
      <c r="H281" s="7"/>
      <c r="I281" s="7"/>
      <c r="J281" s="8"/>
      <c r="K281" s="9"/>
    </row>
    <row r="282">
      <c r="A282" s="6"/>
      <c r="B282" s="7"/>
      <c r="C282" s="7"/>
      <c r="D282" s="7"/>
      <c r="E282" s="7"/>
      <c r="F282" s="7"/>
      <c r="G282" s="7"/>
      <c r="H282" s="7"/>
      <c r="I282" s="7"/>
      <c r="J282" s="8"/>
      <c r="K282" s="9"/>
    </row>
    <row r="283">
      <c r="A283" s="6"/>
      <c r="B283" s="7"/>
      <c r="C283" s="7"/>
      <c r="D283" s="7"/>
      <c r="E283" s="7"/>
      <c r="F283" s="7"/>
      <c r="G283" s="7"/>
      <c r="H283" s="7"/>
      <c r="I283" s="7"/>
      <c r="J283" s="8"/>
      <c r="K283" s="9"/>
    </row>
    <row r="284">
      <c r="A284" s="6"/>
      <c r="B284" s="7"/>
      <c r="C284" s="7"/>
      <c r="D284" s="7"/>
      <c r="E284" s="7"/>
      <c r="F284" s="7"/>
      <c r="G284" s="7"/>
      <c r="H284" s="7"/>
      <c r="I284" s="7"/>
      <c r="J284" s="8"/>
      <c r="K284" s="9"/>
    </row>
    <row r="285">
      <c r="A285" s="6"/>
      <c r="B285" s="7"/>
      <c r="C285" s="7"/>
      <c r="D285" s="7"/>
      <c r="E285" s="7"/>
      <c r="F285" s="7"/>
      <c r="G285" s="7"/>
      <c r="H285" s="7"/>
      <c r="I285" s="7"/>
      <c r="J285" s="8"/>
      <c r="K285" s="9"/>
    </row>
    <row r="286">
      <c r="A286" s="6"/>
      <c r="B286" s="7"/>
      <c r="C286" s="7"/>
      <c r="D286" s="7"/>
      <c r="E286" s="7"/>
      <c r="F286" s="7"/>
      <c r="G286" s="7"/>
      <c r="H286" s="7"/>
      <c r="I286" s="7"/>
      <c r="J286" s="8"/>
      <c r="K286" s="9"/>
    </row>
    <row r="287">
      <c r="A287" s="6"/>
      <c r="B287" s="7"/>
      <c r="C287" s="7"/>
      <c r="D287" s="7"/>
      <c r="E287" s="7"/>
      <c r="F287" s="7"/>
      <c r="G287" s="7"/>
      <c r="H287" s="7"/>
      <c r="I287" s="7"/>
      <c r="J287" s="8"/>
      <c r="K287" s="9"/>
    </row>
    <row r="288">
      <c r="A288" s="6"/>
      <c r="B288" s="7"/>
      <c r="C288" s="7"/>
      <c r="D288" s="7"/>
      <c r="E288" s="7"/>
      <c r="F288" s="7"/>
      <c r="G288" s="7"/>
      <c r="H288" s="7"/>
      <c r="I288" s="7"/>
      <c r="J288" s="8"/>
      <c r="K288" s="9"/>
    </row>
    <row r="289">
      <c r="A289" s="6"/>
      <c r="B289" s="7"/>
      <c r="C289" s="7"/>
      <c r="D289" s="7"/>
      <c r="E289" s="7"/>
      <c r="F289" s="7"/>
      <c r="G289" s="7"/>
      <c r="H289" s="7"/>
      <c r="I289" s="7"/>
      <c r="J289" s="8"/>
      <c r="K289" s="9"/>
    </row>
    <row r="290">
      <c r="A290" s="6"/>
      <c r="B290" s="7"/>
      <c r="C290" s="7"/>
      <c r="D290" s="7"/>
      <c r="E290" s="7"/>
      <c r="F290" s="7"/>
      <c r="G290" s="7"/>
      <c r="H290" s="7"/>
      <c r="I290" s="7"/>
      <c r="J290" s="8"/>
      <c r="K290" s="9"/>
    </row>
    <row r="291">
      <c r="A291" s="6"/>
      <c r="B291" s="7"/>
      <c r="C291" s="7"/>
      <c r="D291" s="7"/>
      <c r="E291" s="7"/>
      <c r="F291" s="7"/>
      <c r="G291" s="7"/>
      <c r="H291" s="7"/>
      <c r="I291" s="7"/>
      <c r="J291" s="8"/>
      <c r="K291" s="9"/>
    </row>
    <row r="292">
      <c r="A292" s="6"/>
      <c r="B292" s="7"/>
      <c r="C292" s="7"/>
      <c r="D292" s="7"/>
      <c r="E292" s="7"/>
      <c r="F292" s="7"/>
      <c r="G292" s="7"/>
      <c r="H292" s="7"/>
      <c r="I292" s="7"/>
      <c r="J292" s="8"/>
      <c r="K292" s="9"/>
    </row>
    <row r="293">
      <c r="A293" s="6"/>
      <c r="B293" s="7"/>
      <c r="C293" s="7"/>
      <c r="D293" s="7"/>
      <c r="E293" s="7"/>
      <c r="F293" s="7"/>
      <c r="G293" s="7"/>
      <c r="H293" s="7"/>
      <c r="I293" s="7"/>
      <c r="J293" s="8"/>
      <c r="K293" s="9"/>
    </row>
    <row r="294">
      <c r="A294" s="6"/>
      <c r="B294" s="7"/>
      <c r="C294" s="7"/>
      <c r="D294" s="7"/>
      <c r="E294" s="7"/>
      <c r="F294" s="7"/>
      <c r="G294" s="7"/>
      <c r="H294" s="7"/>
      <c r="I294" s="7"/>
      <c r="J294" s="8"/>
      <c r="K294" s="9"/>
    </row>
    <row r="295">
      <c r="A295" s="6"/>
      <c r="B295" s="7"/>
      <c r="C295" s="7"/>
      <c r="D295" s="7"/>
      <c r="E295" s="7"/>
      <c r="F295" s="7"/>
      <c r="G295" s="7"/>
      <c r="H295" s="7"/>
      <c r="I295" s="7"/>
      <c r="J295" s="8"/>
      <c r="K295" s="9"/>
    </row>
    <row r="296">
      <c r="A296" s="6"/>
      <c r="B296" s="7"/>
      <c r="C296" s="7"/>
      <c r="D296" s="7"/>
      <c r="E296" s="7"/>
      <c r="F296" s="7"/>
      <c r="G296" s="7"/>
      <c r="H296" s="7"/>
      <c r="I296" s="7"/>
      <c r="J296" s="8"/>
      <c r="K296" s="9"/>
    </row>
    <row r="297">
      <c r="A297" s="6"/>
      <c r="B297" s="7"/>
      <c r="C297" s="7"/>
      <c r="D297" s="7"/>
      <c r="E297" s="7"/>
      <c r="F297" s="7"/>
      <c r="G297" s="7"/>
      <c r="H297" s="7"/>
      <c r="I297" s="7"/>
      <c r="J297" s="8"/>
      <c r="K297" s="9"/>
    </row>
    <row r="298">
      <c r="A298" s="6"/>
      <c r="B298" s="7"/>
      <c r="C298" s="7"/>
      <c r="D298" s="7"/>
      <c r="E298" s="7"/>
      <c r="F298" s="7"/>
      <c r="G298" s="7"/>
      <c r="H298" s="7"/>
      <c r="I298" s="7"/>
      <c r="J298" s="8"/>
      <c r="K298" s="9"/>
    </row>
    <row r="299">
      <c r="A299" s="6"/>
      <c r="B299" s="7"/>
      <c r="C299" s="7"/>
      <c r="D299" s="7"/>
      <c r="E299" s="7"/>
      <c r="F299" s="7"/>
      <c r="G299" s="7"/>
      <c r="H299" s="7"/>
      <c r="I299" s="7"/>
      <c r="J299" s="8"/>
      <c r="K299" s="9"/>
    </row>
    <row r="300">
      <c r="A300" s="6"/>
      <c r="B300" s="7"/>
      <c r="C300" s="7"/>
      <c r="D300" s="7"/>
      <c r="E300" s="7"/>
      <c r="F300" s="7"/>
      <c r="G300" s="7"/>
      <c r="H300" s="7"/>
      <c r="I300" s="7"/>
      <c r="J300" s="8"/>
      <c r="K300" s="9"/>
    </row>
    <row r="301">
      <c r="A301" s="6"/>
      <c r="B301" s="7"/>
      <c r="C301" s="7"/>
      <c r="D301" s="7"/>
      <c r="E301" s="7"/>
      <c r="F301" s="7"/>
      <c r="G301" s="7"/>
      <c r="H301" s="7"/>
      <c r="I301" s="7"/>
      <c r="J301" s="8"/>
      <c r="K301" s="9"/>
    </row>
    <row r="302">
      <c r="A302" s="6"/>
      <c r="B302" s="7"/>
      <c r="C302" s="7"/>
      <c r="D302" s="7"/>
      <c r="E302" s="7"/>
      <c r="F302" s="7"/>
      <c r="G302" s="7"/>
      <c r="H302" s="7"/>
      <c r="I302" s="7"/>
      <c r="J302" s="8"/>
      <c r="K302" s="9"/>
    </row>
    <row r="303">
      <c r="A303" s="6"/>
      <c r="B303" s="7"/>
      <c r="C303" s="7"/>
      <c r="D303" s="7"/>
      <c r="E303" s="7"/>
      <c r="F303" s="7"/>
      <c r="G303" s="7"/>
      <c r="H303" s="7"/>
      <c r="I303" s="7"/>
      <c r="J303" s="8"/>
      <c r="K303" s="9"/>
    </row>
    <row r="304">
      <c r="A304" s="6"/>
      <c r="B304" s="7"/>
      <c r="C304" s="7"/>
      <c r="D304" s="7"/>
      <c r="E304" s="7"/>
      <c r="F304" s="7"/>
      <c r="G304" s="7"/>
      <c r="H304" s="7"/>
      <c r="I304" s="7"/>
      <c r="J304" s="8"/>
      <c r="K304" s="9"/>
    </row>
    <row r="305">
      <c r="A305" s="6"/>
      <c r="B305" s="7"/>
      <c r="C305" s="7"/>
      <c r="D305" s="7"/>
      <c r="E305" s="7"/>
      <c r="F305" s="7"/>
      <c r="G305" s="7"/>
      <c r="H305" s="7"/>
      <c r="I305" s="7"/>
      <c r="J305" s="8"/>
      <c r="K305" s="9"/>
    </row>
    <row r="306">
      <c r="A306" s="6"/>
      <c r="B306" s="7"/>
      <c r="C306" s="7"/>
      <c r="D306" s="7"/>
      <c r="E306" s="7"/>
      <c r="F306" s="7"/>
      <c r="G306" s="7"/>
      <c r="H306" s="7"/>
      <c r="I306" s="7"/>
      <c r="J306" s="8"/>
      <c r="K306" s="9"/>
    </row>
    <row r="307">
      <c r="A307" s="6"/>
      <c r="B307" s="7"/>
      <c r="C307" s="7"/>
      <c r="D307" s="7"/>
      <c r="E307" s="7"/>
      <c r="F307" s="7"/>
      <c r="G307" s="7"/>
      <c r="H307" s="7"/>
      <c r="I307" s="7"/>
      <c r="J307" s="8"/>
      <c r="K307" s="9"/>
    </row>
    <row r="308">
      <c r="A308" s="6"/>
      <c r="B308" s="7"/>
      <c r="C308" s="7"/>
      <c r="D308" s="7"/>
      <c r="E308" s="7"/>
      <c r="F308" s="7"/>
      <c r="G308" s="7"/>
      <c r="H308" s="7"/>
      <c r="I308" s="7"/>
      <c r="J308" s="8"/>
      <c r="K308" s="9"/>
    </row>
    <row r="309">
      <c r="A309" s="6"/>
      <c r="B309" s="7"/>
      <c r="C309" s="7"/>
      <c r="D309" s="7"/>
      <c r="E309" s="7"/>
      <c r="F309" s="7"/>
      <c r="G309" s="7"/>
      <c r="H309" s="7"/>
      <c r="I309" s="7"/>
      <c r="J309" s="8"/>
      <c r="K309" s="9"/>
    </row>
    <row r="310">
      <c r="A310" s="6"/>
      <c r="B310" s="7"/>
      <c r="C310" s="7"/>
      <c r="D310" s="7"/>
      <c r="E310" s="7"/>
      <c r="F310" s="7"/>
      <c r="G310" s="7"/>
      <c r="H310" s="7"/>
      <c r="I310" s="7"/>
      <c r="J310" s="8"/>
      <c r="K310" s="9"/>
    </row>
    <row r="311">
      <c r="A311" s="6"/>
      <c r="B311" s="7"/>
      <c r="C311" s="7"/>
      <c r="D311" s="7"/>
      <c r="E311" s="7"/>
      <c r="F311" s="7"/>
      <c r="G311" s="7"/>
      <c r="H311" s="7"/>
      <c r="I311" s="7"/>
      <c r="J311" s="8"/>
      <c r="K311" s="9"/>
    </row>
    <row r="312">
      <c r="A312" s="6"/>
      <c r="B312" s="7"/>
      <c r="C312" s="7"/>
      <c r="D312" s="7"/>
      <c r="E312" s="7"/>
      <c r="F312" s="7"/>
      <c r="G312" s="7"/>
      <c r="H312" s="7"/>
      <c r="I312" s="7"/>
      <c r="J312" s="8"/>
      <c r="K312" s="9"/>
    </row>
    <row r="313">
      <c r="A313" s="6"/>
      <c r="B313" s="7"/>
      <c r="C313" s="7"/>
      <c r="D313" s="7"/>
      <c r="E313" s="7"/>
      <c r="F313" s="7"/>
      <c r="G313" s="7"/>
      <c r="H313" s="7"/>
      <c r="I313" s="7"/>
      <c r="J313" s="8"/>
      <c r="K313" s="9"/>
    </row>
    <row r="314">
      <c r="A314" s="6"/>
      <c r="B314" s="7"/>
      <c r="C314" s="7"/>
      <c r="D314" s="7"/>
      <c r="E314" s="7"/>
      <c r="F314" s="7"/>
      <c r="G314" s="7"/>
      <c r="H314" s="7"/>
      <c r="I314" s="7"/>
      <c r="J314" s="8"/>
      <c r="K314" s="9"/>
    </row>
    <row r="315">
      <c r="A315" s="6"/>
      <c r="B315" s="7"/>
      <c r="C315" s="7"/>
      <c r="D315" s="7"/>
      <c r="E315" s="7"/>
      <c r="F315" s="7"/>
      <c r="G315" s="7"/>
      <c r="H315" s="7"/>
      <c r="I315" s="7"/>
      <c r="J315" s="8"/>
      <c r="K315" s="9"/>
    </row>
    <row r="316">
      <c r="A316" s="6"/>
      <c r="B316" s="7"/>
      <c r="C316" s="7"/>
      <c r="D316" s="7"/>
      <c r="E316" s="7"/>
      <c r="F316" s="7"/>
      <c r="G316" s="7"/>
      <c r="H316" s="7"/>
      <c r="I316" s="7"/>
      <c r="J316" s="8"/>
      <c r="K316" s="9"/>
    </row>
    <row r="317">
      <c r="A317" s="6"/>
      <c r="B317" s="7"/>
      <c r="C317" s="7"/>
      <c r="D317" s="7"/>
      <c r="E317" s="7"/>
      <c r="F317" s="7"/>
      <c r="G317" s="7"/>
      <c r="H317" s="7"/>
      <c r="I317" s="7"/>
      <c r="J317" s="8"/>
      <c r="K317" s="9"/>
    </row>
    <row r="318">
      <c r="A318" s="6"/>
      <c r="B318" s="7"/>
      <c r="C318" s="7"/>
      <c r="D318" s="7"/>
      <c r="E318" s="7"/>
      <c r="F318" s="7"/>
      <c r="G318" s="7"/>
      <c r="H318" s="7"/>
      <c r="I318" s="7"/>
      <c r="J318" s="8"/>
      <c r="K318" s="9"/>
    </row>
    <row r="319">
      <c r="A319" s="6"/>
      <c r="B319" s="7"/>
      <c r="C319" s="7"/>
      <c r="D319" s="7"/>
      <c r="E319" s="7"/>
      <c r="F319" s="7"/>
      <c r="G319" s="7"/>
      <c r="H319" s="7"/>
      <c r="I319" s="7"/>
      <c r="J319" s="8"/>
      <c r="K319" s="9"/>
    </row>
    <row r="320">
      <c r="A320" s="6"/>
      <c r="B320" s="7"/>
      <c r="C320" s="7"/>
      <c r="D320" s="7"/>
      <c r="E320" s="7"/>
      <c r="F320" s="7"/>
      <c r="G320" s="7"/>
      <c r="H320" s="7"/>
      <c r="I320" s="7"/>
      <c r="J320" s="8"/>
      <c r="K320" s="9"/>
    </row>
    <row r="321">
      <c r="A321" s="6"/>
      <c r="B321" s="7"/>
      <c r="C321" s="7"/>
      <c r="D321" s="7"/>
      <c r="E321" s="7"/>
      <c r="F321" s="7"/>
      <c r="G321" s="7"/>
      <c r="H321" s="7"/>
      <c r="I321" s="7"/>
      <c r="J321" s="8"/>
      <c r="K321" s="9"/>
    </row>
    <row r="322">
      <c r="A322" s="6"/>
      <c r="B322" s="7"/>
      <c r="C322" s="7"/>
      <c r="D322" s="7"/>
      <c r="E322" s="7"/>
      <c r="F322" s="7"/>
      <c r="G322" s="7"/>
      <c r="H322" s="7"/>
      <c r="I322" s="7"/>
      <c r="J322" s="8"/>
      <c r="K322" s="9"/>
    </row>
    <row r="323">
      <c r="A323" s="6"/>
      <c r="B323" s="7"/>
      <c r="C323" s="7"/>
      <c r="D323" s="7"/>
      <c r="E323" s="7"/>
      <c r="F323" s="7"/>
      <c r="G323" s="7"/>
      <c r="H323" s="7"/>
      <c r="I323" s="7"/>
      <c r="J323" s="8"/>
      <c r="K323" s="9"/>
    </row>
    <row r="324">
      <c r="A324" s="6"/>
      <c r="B324" s="7"/>
      <c r="C324" s="7"/>
      <c r="D324" s="7"/>
      <c r="E324" s="7"/>
      <c r="F324" s="7"/>
      <c r="G324" s="7"/>
      <c r="H324" s="7"/>
      <c r="I324" s="7"/>
      <c r="J324" s="8"/>
      <c r="K324" s="9"/>
    </row>
    <row r="325">
      <c r="A325" s="6"/>
      <c r="B325" s="7"/>
      <c r="C325" s="7"/>
      <c r="D325" s="7"/>
      <c r="E325" s="7"/>
      <c r="F325" s="7"/>
      <c r="G325" s="7"/>
      <c r="H325" s="7"/>
      <c r="I325" s="7"/>
      <c r="J325" s="8"/>
      <c r="K325" s="9"/>
    </row>
    <row r="326">
      <c r="A326" s="6"/>
      <c r="B326" s="7"/>
      <c r="C326" s="7"/>
      <c r="D326" s="7"/>
      <c r="E326" s="7"/>
      <c r="F326" s="7"/>
      <c r="G326" s="7"/>
      <c r="H326" s="7"/>
      <c r="I326" s="7"/>
      <c r="J326" s="8"/>
      <c r="K326" s="9"/>
    </row>
    <row r="327">
      <c r="A327" s="6"/>
      <c r="B327" s="7"/>
      <c r="C327" s="7"/>
      <c r="D327" s="7"/>
      <c r="E327" s="7"/>
      <c r="F327" s="7"/>
      <c r="G327" s="7"/>
      <c r="H327" s="7"/>
      <c r="I327" s="7"/>
      <c r="J327" s="8"/>
      <c r="K327" s="9"/>
    </row>
    <row r="328">
      <c r="A328" s="6"/>
      <c r="B328" s="7"/>
      <c r="C328" s="7"/>
      <c r="D328" s="7"/>
      <c r="E328" s="7"/>
      <c r="F328" s="7"/>
      <c r="G328" s="7"/>
      <c r="H328" s="7"/>
      <c r="I328" s="7"/>
      <c r="J328" s="8"/>
      <c r="K328" s="9"/>
    </row>
    <row r="329">
      <c r="A329" s="6"/>
      <c r="B329" s="7"/>
      <c r="C329" s="7"/>
      <c r="D329" s="7"/>
      <c r="E329" s="7"/>
      <c r="F329" s="7"/>
      <c r="G329" s="7"/>
      <c r="H329" s="7"/>
      <c r="I329" s="7"/>
      <c r="J329" s="8"/>
      <c r="K329" s="9"/>
    </row>
    <row r="330">
      <c r="A330" s="6"/>
      <c r="B330" s="7"/>
      <c r="C330" s="7"/>
      <c r="D330" s="7"/>
      <c r="E330" s="7"/>
      <c r="F330" s="7"/>
      <c r="G330" s="7"/>
      <c r="H330" s="7"/>
      <c r="I330" s="7"/>
      <c r="J330" s="8"/>
      <c r="K330" s="9"/>
    </row>
    <row r="331">
      <c r="A331" s="6"/>
      <c r="B331" s="7"/>
      <c r="C331" s="7"/>
      <c r="D331" s="7"/>
      <c r="E331" s="7"/>
      <c r="F331" s="7"/>
      <c r="G331" s="7"/>
      <c r="H331" s="7"/>
      <c r="I331" s="7"/>
      <c r="J331" s="8"/>
      <c r="K331" s="9"/>
    </row>
    <row r="332">
      <c r="A332" s="6"/>
      <c r="B332" s="7"/>
      <c r="C332" s="7"/>
      <c r="D332" s="7"/>
      <c r="E332" s="7"/>
      <c r="F332" s="7"/>
      <c r="G332" s="7"/>
      <c r="H332" s="7"/>
      <c r="I332" s="7"/>
      <c r="J332" s="8"/>
      <c r="K332" s="9"/>
    </row>
    <row r="333">
      <c r="A333" s="6"/>
      <c r="B333" s="7"/>
      <c r="C333" s="7"/>
      <c r="D333" s="7"/>
      <c r="E333" s="7"/>
      <c r="F333" s="7"/>
      <c r="G333" s="7"/>
      <c r="H333" s="7"/>
      <c r="I333" s="7"/>
      <c r="J333" s="8"/>
      <c r="K333" s="9"/>
    </row>
    <row r="334">
      <c r="A334" s="6"/>
      <c r="B334" s="7"/>
      <c r="C334" s="7"/>
      <c r="D334" s="7"/>
      <c r="E334" s="7"/>
      <c r="F334" s="7"/>
      <c r="G334" s="7"/>
      <c r="H334" s="7"/>
      <c r="I334" s="7"/>
      <c r="J334" s="8"/>
      <c r="K334" s="9"/>
    </row>
    <row r="335">
      <c r="A335" s="6"/>
      <c r="B335" s="7"/>
      <c r="C335" s="7"/>
      <c r="D335" s="7"/>
      <c r="E335" s="7"/>
      <c r="F335" s="7"/>
      <c r="G335" s="7"/>
      <c r="H335" s="7"/>
      <c r="I335" s="7"/>
      <c r="J335" s="8"/>
      <c r="K335" s="9"/>
    </row>
    <row r="336">
      <c r="A336" s="6"/>
      <c r="B336" s="7"/>
      <c r="C336" s="7"/>
      <c r="D336" s="7"/>
      <c r="E336" s="7"/>
      <c r="F336" s="7"/>
      <c r="G336" s="7"/>
      <c r="H336" s="7"/>
      <c r="I336" s="7"/>
      <c r="J336" s="8"/>
      <c r="K336" s="9"/>
    </row>
    <row r="337">
      <c r="A337" s="6"/>
      <c r="B337" s="7"/>
      <c r="C337" s="7"/>
      <c r="D337" s="7"/>
      <c r="E337" s="7"/>
      <c r="F337" s="7"/>
      <c r="G337" s="7"/>
      <c r="H337" s="7"/>
      <c r="I337" s="7"/>
      <c r="J337" s="8"/>
      <c r="K337" s="9"/>
    </row>
    <row r="338">
      <c r="A338" s="6"/>
      <c r="B338" s="7"/>
      <c r="C338" s="7"/>
      <c r="D338" s="7"/>
      <c r="E338" s="7"/>
      <c r="F338" s="7"/>
      <c r="G338" s="7"/>
      <c r="H338" s="7"/>
      <c r="I338" s="7"/>
      <c r="J338" s="8"/>
      <c r="K338" s="9"/>
    </row>
    <row r="339">
      <c r="A339" s="6"/>
      <c r="B339" s="7"/>
      <c r="C339" s="7"/>
      <c r="D339" s="7"/>
      <c r="E339" s="7"/>
      <c r="F339" s="7"/>
      <c r="G339" s="7"/>
      <c r="H339" s="7"/>
      <c r="I339" s="7"/>
      <c r="J339" s="8"/>
      <c r="K339" s="9"/>
    </row>
    <row r="340">
      <c r="A340" s="6"/>
      <c r="B340" s="7"/>
      <c r="C340" s="7"/>
      <c r="D340" s="7"/>
      <c r="E340" s="7"/>
      <c r="F340" s="7"/>
      <c r="G340" s="7"/>
      <c r="H340" s="7"/>
      <c r="I340" s="7"/>
      <c r="J340" s="8"/>
      <c r="K340" s="9"/>
    </row>
    <row r="341">
      <c r="A341" s="6"/>
      <c r="B341" s="7"/>
      <c r="C341" s="7"/>
      <c r="D341" s="7"/>
      <c r="E341" s="7"/>
      <c r="F341" s="7"/>
      <c r="G341" s="7"/>
      <c r="H341" s="7"/>
      <c r="I341" s="7"/>
      <c r="J341" s="8"/>
      <c r="K341" s="9"/>
    </row>
    <row r="342">
      <c r="A342" s="6"/>
      <c r="B342" s="7"/>
      <c r="C342" s="7"/>
      <c r="D342" s="7"/>
      <c r="E342" s="7"/>
      <c r="F342" s="7"/>
      <c r="G342" s="7"/>
      <c r="H342" s="7"/>
      <c r="I342" s="7"/>
      <c r="J342" s="8"/>
      <c r="K342" s="9"/>
    </row>
    <row r="343">
      <c r="A343" s="6"/>
      <c r="B343" s="7"/>
      <c r="C343" s="7"/>
      <c r="D343" s="7"/>
      <c r="E343" s="7"/>
      <c r="F343" s="7"/>
      <c r="G343" s="7"/>
      <c r="H343" s="7"/>
      <c r="I343" s="7"/>
      <c r="J343" s="8"/>
      <c r="K343" s="9"/>
    </row>
    <row r="344">
      <c r="A344" s="6"/>
      <c r="B344" s="7"/>
      <c r="C344" s="7"/>
      <c r="D344" s="7"/>
      <c r="E344" s="7"/>
      <c r="F344" s="7"/>
      <c r="G344" s="7"/>
      <c r="H344" s="7"/>
      <c r="I344" s="7"/>
      <c r="J344" s="8"/>
      <c r="K344" s="9"/>
    </row>
    <row r="345">
      <c r="A345" s="6"/>
      <c r="B345" s="7"/>
      <c r="C345" s="7"/>
      <c r="D345" s="7"/>
      <c r="E345" s="7"/>
      <c r="F345" s="7"/>
      <c r="G345" s="7"/>
      <c r="H345" s="7"/>
      <c r="I345" s="7"/>
      <c r="J345" s="8"/>
      <c r="K345" s="9"/>
    </row>
    <row r="346">
      <c r="A346" s="6"/>
      <c r="B346" s="7"/>
      <c r="C346" s="7"/>
      <c r="D346" s="7"/>
      <c r="E346" s="7"/>
      <c r="F346" s="7"/>
      <c r="G346" s="7"/>
      <c r="H346" s="7"/>
      <c r="I346" s="7"/>
      <c r="J346" s="8"/>
      <c r="K346" s="9"/>
    </row>
    <row r="347">
      <c r="A347" s="6"/>
      <c r="B347" s="7"/>
      <c r="C347" s="7"/>
      <c r="D347" s="7"/>
      <c r="E347" s="7"/>
      <c r="F347" s="7"/>
      <c r="G347" s="7"/>
      <c r="H347" s="7"/>
      <c r="I347" s="7"/>
      <c r="J347" s="8"/>
      <c r="K347" s="9"/>
    </row>
    <row r="348">
      <c r="A348" s="6"/>
      <c r="B348" s="7"/>
      <c r="C348" s="7"/>
      <c r="D348" s="7"/>
      <c r="E348" s="7"/>
      <c r="F348" s="7"/>
      <c r="G348" s="7"/>
      <c r="H348" s="7"/>
      <c r="I348" s="7"/>
      <c r="J348" s="8"/>
      <c r="K348" s="9"/>
    </row>
    <row r="349">
      <c r="A349" s="6"/>
      <c r="B349" s="7"/>
      <c r="C349" s="7"/>
      <c r="D349" s="7"/>
      <c r="E349" s="7"/>
      <c r="F349" s="7"/>
      <c r="G349" s="7"/>
      <c r="H349" s="7"/>
      <c r="I349" s="7"/>
      <c r="J349" s="8"/>
      <c r="K349" s="9"/>
    </row>
    <row r="350">
      <c r="A350" s="6"/>
      <c r="B350" s="7"/>
      <c r="C350" s="7"/>
      <c r="D350" s="7"/>
      <c r="E350" s="7"/>
      <c r="F350" s="7"/>
      <c r="G350" s="7"/>
      <c r="H350" s="7"/>
      <c r="I350" s="7"/>
      <c r="J350" s="8"/>
      <c r="K350" s="9"/>
    </row>
    <row r="351">
      <c r="A351" s="6"/>
      <c r="B351" s="7"/>
      <c r="C351" s="7"/>
      <c r="D351" s="7"/>
      <c r="E351" s="7"/>
      <c r="F351" s="7"/>
      <c r="G351" s="7"/>
      <c r="H351" s="7"/>
      <c r="I351" s="7"/>
      <c r="J351" s="8"/>
      <c r="K351" s="9"/>
    </row>
    <row r="352">
      <c r="A352" s="6"/>
      <c r="B352" s="7"/>
      <c r="C352" s="7"/>
      <c r="D352" s="7"/>
      <c r="E352" s="7"/>
      <c r="F352" s="7"/>
      <c r="G352" s="7"/>
      <c r="H352" s="7"/>
      <c r="I352" s="7"/>
      <c r="J352" s="8"/>
      <c r="K352" s="9"/>
    </row>
    <row r="353">
      <c r="A353" s="6"/>
      <c r="B353" s="7"/>
      <c r="C353" s="7"/>
      <c r="D353" s="7"/>
      <c r="E353" s="7"/>
      <c r="F353" s="7"/>
      <c r="G353" s="7"/>
      <c r="H353" s="7"/>
      <c r="I353" s="7"/>
      <c r="J353" s="8"/>
      <c r="K353" s="9"/>
    </row>
    <row r="354">
      <c r="A354" s="6"/>
      <c r="B354" s="7"/>
      <c r="C354" s="7"/>
      <c r="D354" s="7"/>
      <c r="E354" s="7"/>
      <c r="F354" s="7"/>
      <c r="G354" s="7"/>
      <c r="H354" s="7"/>
      <c r="I354" s="7"/>
      <c r="J354" s="8"/>
      <c r="K354" s="9"/>
    </row>
    <row r="355">
      <c r="A355" s="6"/>
      <c r="B355" s="7"/>
      <c r="C355" s="7"/>
      <c r="D355" s="7"/>
      <c r="E355" s="7"/>
      <c r="F355" s="7"/>
      <c r="G355" s="7"/>
      <c r="H355" s="7"/>
      <c r="I355" s="7"/>
      <c r="J355" s="8"/>
      <c r="K355" s="9"/>
    </row>
    <row r="356">
      <c r="A356" s="6"/>
      <c r="B356" s="7"/>
      <c r="C356" s="7"/>
      <c r="D356" s="7"/>
      <c r="E356" s="7"/>
      <c r="F356" s="7"/>
      <c r="G356" s="7"/>
      <c r="H356" s="7"/>
      <c r="I356" s="7"/>
      <c r="J356" s="8"/>
      <c r="K356" s="9"/>
    </row>
    <row r="357">
      <c r="A357" s="6"/>
      <c r="B357" s="7"/>
      <c r="C357" s="7"/>
      <c r="D357" s="7"/>
      <c r="E357" s="7"/>
      <c r="F357" s="7"/>
      <c r="G357" s="7"/>
      <c r="H357" s="7"/>
      <c r="I357" s="7"/>
      <c r="J357" s="8"/>
      <c r="K357" s="9"/>
    </row>
    <row r="358">
      <c r="A358" s="6"/>
      <c r="B358" s="7"/>
      <c r="C358" s="7"/>
      <c r="D358" s="7"/>
      <c r="E358" s="7"/>
      <c r="F358" s="7"/>
      <c r="G358" s="7"/>
      <c r="H358" s="7"/>
      <c r="I358" s="7"/>
      <c r="J358" s="8"/>
      <c r="K358" s="9"/>
    </row>
    <row r="359">
      <c r="A359" s="6"/>
      <c r="B359" s="7"/>
      <c r="C359" s="7"/>
      <c r="D359" s="7"/>
      <c r="E359" s="7"/>
      <c r="F359" s="7"/>
      <c r="G359" s="7"/>
      <c r="H359" s="7"/>
      <c r="I359" s="7"/>
      <c r="J359" s="8"/>
      <c r="K359" s="9"/>
    </row>
    <row r="360">
      <c r="A360" s="6"/>
      <c r="B360" s="7"/>
      <c r="C360" s="7"/>
      <c r="D360" s="7"/>
      <c r="E360" s="7"/>
      <c r="F360" s="7"/>
      <c r="G360" s="7"/>
      <c r="H360" s="7"/>
      <c r="I360" s="7"/>
      <c r="J360" s="8"/>
      <c r="K360" s="9"/>
    </row>
    <row r="361">
      <c r="A361" s="6"/>
      <c r="B361" s="7"/>
      <c r="C361" s="7"/>
      <c r="D361" s="7"/>
      <c r="E361" s="7"/>
      <c r="F361" s="7"/>
      <c r="G361" s="7"/>
      <c r="H361" s="7"/>
      <c r="I361" s="7"/>
      <c r="J361" s="8"/>
      <c r="K361" s="9"/>
    </row>
    <row r="362">
      <c r="A362" s="6"/>
      <c r="B362" s="7"/>
      <c r="C362" s="7"/>
      <c r="D362" s="7"/>
      <c r="E362" s="7"/>
      <c r="F362" s="7"/>
      <c r="G362" s="7"/>
      <c r="H362" s="7"/>
      <c r="I362" s="7"/>
      <c r="J362" s="8"/>
      <c r="K362" s="9"/>
    </row>
    <row r="363">
      <c r="A363" s="6"/>
      <c r="B363" s="7"/>
      <c r="C363" s="7"/>
      <c r="D363" s="7"/>
      <c r="E363" s="7"/>
      <c r="F363" s="7"/>
      <c r="G363" s="7"/>
      <c r="H363" s="7"/>
      <c r="I363" s="7"/>
      <c r="J363" s="8"/>
      <c r="K363" s="9"/>
    </row>
    <row r="364">
      <c r="A364" s="6"/>
      <c r="B364" s="7"/>
      <c r="C364" s="7"/>
      <c r="D364" s="7"/>
      <c r="E364" s="7"/>
      <c r="F364" s="7"/>
      <c r="G364" s="7"/>
      <c r="H364" s="7"/>
      <c r="I364" s="7"/>
      <c r="J364" s="8"/>
      <c r="K364" s="9"/>
    </row>
    <row r="365">
      <c r="A365" s="6"/>
      <c r="B365" s="7"/>
      <c r="C365" s="7"/>
      <c r="D365" s="7"/>
      <c r="E365" s="7"/>
      <c r="F365" s="7"/>
      <c r="G365" s="7"/>
      <c r="H365" s="7"/>
      <c r="I365" s="7"/>
      <c r="J365" s="8"/>
      <c r="K365" s="9"/>
    </row>
    <row r="366">
      <c r="A366" s="6"/>
      <c r="B366" s="7"/>
      <c r="C366" s="7"/>
      <c r="D366" s="7"/>
      <c r="E366" s="7"/>
      <c r="F366" s="7"/>
      <c r="G366" s="7"/>
      <c r="H366" s="7"/>
      <c r="I366" s="7"/>
      <c r="J366" s="8"/>
      <c r="K366" s="9"/>
    </row>
    <row r="367">
      <c r="A367" s="6"/>
      <c r="B367" s="7"/>
      <c r="C367" s="7"/>
      <c r="D367" s="7"/>
      <c r="E367" s="7"/>
      <c r="F367" s="7"/>
      <c r="G367" s="7"/>
      <c r="H367" s="7"/>
      <c r="I367" s="7"/>
      <c r="J367" s="8"/>
      <c r="K367" s="9"/>
    </row>
    <row r="368">
      <c r="A368" s="6"/>
      <c r="B368" s="7"/>
      <c r="C368" s="7"/>
      <c r="D368" s="7"/>
      <c r="E368" s="7"/>
      <c r="F368" s="7"/>
      <c r="G368" s="7"/>
      <c r="H368" s="7"/>
      <c r="I368" s="7"/>
      <c r="J368" s="8"/>
      <c r="K368" s="9"/>
    </row>
    <row r="369">
      <c r="A369" s="6"/>
      <c r="B369" s="7"/>
      <c r="C369" s="7"/>
      <c r="D369" s="7"/>
      <c r="E369" s="7"/>
      <c r="F369" s="7"/>
      <c r="G369" s="7"/>
      <c r="H369" s="7"/>
      <c r="I369" s="7"/>
      <c r="J369" s="8"/>
      <c r="K369" s="9"/>
    </row>
    <row r="370">
      <c r="A370" s="6"/>
      <c r="B370" s="7"/>
      <c r="C370" s="7"/>
      <c r="D370" s="7"/>
      <c r="E370" s="7"/>
      <c r="F370" s="7"/>
      <c r="G370" s="7"/>
      <c r="H370" s="7"/>
      <c r="I370" s="7"/>
      <c r="J370" s="8"/>
      <c r="K370" s="9"/>
    </row>
    <row r="371">
      <c r="A371" s="6"/>
      <c r="B371" s="7"/>
      <c r="C371" s="7"/>
      <c r="D371" s="7"/>
      <c r="E371" s="7"/>
      <c r="F371" s="7"/>
      <c r="G371" s="7"/>
      <c r="H371" s="7"/>
      <c r="I371" s="7"/>
      <c r="J371" s="8"/>
      <c r="K371" s="9"/>
    </row>
    <row r="372">
      <c r="A372" s="6"/>
      <c r="B372" s="7"/>
      <c r="C372" s="7"/>
      <c r="D372" s="7"/>
      <c r="E372" s="7"/>
      <c r="F372" s="7"/>
      <c r="G372" s="7"/>
      <c r="H372" s="7"/>
      <c r="I372" s="7"/>
      <c r="J372" s="8"/>
      <c r="K372" s="9"/>
    </row>
    <row r="373">
      <c r="A373" s="6"/>
      <c r="B373" s="7"/>
      <c r="C373" s="7"/>
      <c r="D373" s="7"/>
      <c r="E373" s="7"/>
      <c r="F373" s="7"/>
      <c r="G373" s="7"/>
      <c r="H373" s="7"/>
      <c r="I373" s="7"/>
      <c r="J373" s="8"/>
      <c r="K373" s="9"/>
    </row>
    <row r="374">
      <c r="A374" s="6"/>
      <c r="B374" s="7"/>
      <c r="C374" s="7"/>
      <c r="D374" s="7"/>
      <c r="E374" s="7"/>
      <c r="F374" s="7"/>
      <c r="G374" s="7"/>
      <c r="H374" s="7"/>
      <c r="I374" s="7"/>
      <c r="J374" s="8"/>
      <c r="K374" s="9"/>
    </row>
    <row r="375">
      <c r="A375" s="6"/>
      <c r="B375" s="7"/>
      <c r="C375" s="7"/>
      <c r="D375" s="7"/>
      <c r="E375" s="7"/>
      <c r="F375" s="7"/>
      <c r="G375" s="7"/>
      <c r="H375" s="7"/>
      <c r="I375" s="7"/>
      <c r="J375" s="8"/>
      <c r="K375" s="9"/>
    </row>
    <row r="376">
      <c r="A376" s="6"/>
      <c r="B376" s="7"/>
      <c r="C376" s="7"/>
      <c r="D376" s="7"/>
      <c r="E376" s="7"/>
      <c r="F376" s="7"/>
      <c r="G376" s="7"/>
      <c r="H376" s="7"/>
      <c r="I376" s="7"/>
      <c r="J376" s="8"/>
      <c r="K376" s="9"/>
    </row>
    <row r="377">
      <c r="A377" s="6"/>
      <c r="B377" s="7"/>
      <c r="C377" s="7"/>
      <c r="D377" s="7"/>
      <c r="E377" s="7"/>
      <c r="F377" s="7"/>
      <c r="G377" s="7"/>
      <c r="H377" s="7"/>
      <c r="I377" s="7"/>
      <c r="J377" s="8"/>
      <c r="K377" s="9"/>
    </row>
    <row r="378">
      <c r="A378" s="6"/>
      <c r="B378" s="7"/>
      <c r="C378" s="7"/>
      <c r="D378" s="7"/>
      <c r="E378" s="7"/>
      <c r="F378" s="7"/>
      <c r="G378" s="7"/>
      <c r="H378" s="7"/>
      <c r="I378" s="7"/>
      <c r="J378" s="8"/>
      <c r="K378" s="9"/>
    </row>
    <row r="379">
      <c r="A379" s="6"/>
      <c r="B379" s="7"/>
      <c r="C379" s="7"/>
      <c r="D379" s="7"/>
      <c r="E379" s="7"/>
      <c r="F379" s="7"/>
      <c r="G379" s="7"/>
      <c r="H379" s="7"/>
      <c r="I379" s="7"/>
      <c r="J379" s="8"/>
      <c r="K379" s="9"/>
    </row>
    <row r="380">
      <c r="A380" s="6"/>
      <c r="B380" s="7"/>
      <c r="C380" s="7"/>
      <c r="D380" s="7"/>
      <c r="E380" s="7"/>
      <c r="F380" s="7"/>
      <c r="G380" s="7"/>
      <c r="H380" s="7"/>
      <c r="I380" s="7"/>
      <c r="J380" s="8"/>
      <c r="K380" s="9"/>
    </row>
    <row r="381">
      <c r="A381" s="6"/>
      <c r="B381" s="7"/>
      <c r="C381" s="7"/>
      <c r="D381" s="7"/>
      <c r="E381" s="7"/>
      <c r="F381" s="7"/>
      <c r="G381" s="7"/>
      <c r="H381" s="7"/>
      <c r="I381" s="7"/>
      <c r="J381" s="8"/>
      <c r="K381" s="9"/>
    </row>
    <row r="382">
      <c r="A382" s="6"/>
      <c r="B382" s="7"/>
      <c r="C382" s="7"/>
      <c r="D382" s="7"/>
      <c r="E382" s="7"/>
      <c r="F382" s="7"/>
      <c r="G382" s="7"/>
      <c r="H382" s="7"/>
      <c r="I382" s="7"/>
      <c r="J382" s="8"/>
      <c r="K382" s="9"/>
    </row>
    <row r="383">
      <c r="A383" s="6"/>
      <c r="B383" s="7"/>
      <c r="C383" s="7"/>
      <c r="D383" s="7"/>
      <c r="E383" s="7"/>
      <c r="F383" s="7"/>
      <c r="G383" s="7"/>
      <c r="H383" s="7"/>
      <c r="I383" s="7"/>
      <c r="J383" s="8"/>
      <c r="K383" s="9"/>
    </row>
    <row r="384">
      <c r="A384" s="6"/>
      <c r="B384" s="7"/>
      <c r="C384" s="7"/>
      <c r="D384" s="7"/>
      <c r="E384" s="7"/>
      <c r="F384" s="7"/>
      <c r="G384" s="7"/>
      <c r="H384" s="7"/>
      <c r="I384" s="7"/>
      <c r="J384" s="8"/>
      <c r="K384" s="9"/>
    </row>
    <row r="385">
      <c r="A385" s="6"/>
      <c r="B385" s="7"/>
      <c r="C385" s="7"/>
      <c r="D385" s="7"/>
      <c r="E385" s="7"/>
      <c r="F385" s="7"/>
      <c r="G385" s="7"/>
      <c r="H385" s="7"/>
      <c r="I385" s="7"/>
      <c r="J385" s="8"/>
      <c r="K385" s="9"/>
    </row>
    <row r="386">
      <c r="A386" s="6"/>
      <c r="B386" s="7"/>
      <c r="C386" s="7"/>
      <c r="D386" s="7"/>
      <c r="E386" s="7"/>
      <c r="F386" s="7"/>
      <c r="G386" s="7"/>
      <c r="H386" s="7"/>
      <c r="I386" s="7"/>
      <c r="J386" s="8"/>
      <c r="K386" s="9"/>
    </row>
    <row r="387">
      <c r="A387" s="6"/>
      <c r="B387" s="7"/>
      <c r="C387" s="7"/>
      <c r="D387" s="7"/>
      <c r="E387" s="7"/>
      <c r="F387" s="7"/>
      <c r="G387" s="7"/>
      <c r="H387" s="7"/>
      <c r="I387" s="7"/>
      <c r="J387" s="8"/>
      <c r="K387" s="9"/>
    </row>
    <row r="388">
      <c r="A388" s="6"/>
      <c r="B388" s="7"/>
      <c r="C388" s="7"/>
      <c r="D388" s="7"/>
      <c r="E388" s="7"/>
      <c r="F388" s="7"/>
      <c r="G388" s="7"/>
      <c r="H388" s="7"/>
      <c r="I388" s="7"/>
      <c r="J388" s="8"/>
      <c r="K388" s="9"/>
    </row>
    <row r="389">
      <c r="A389" s="6"/>
      <c r="B389" s="7"/>
      <c r="C389" s="7"/>
      <c r="D389" s="7"/>
      <c r="E389" s="7"/>
      <c r="F389" s="7"/>
      <c r="G389" s="7"/>
      <c r="H389" s="7"/>
      <c r="I389" s="7"/>
      <c r="J389" s="8"/>
      <c r="K389" s="9"/>
    </row>
    <row r="390">
      <c r="A390" s="6"/>
      <c r="B390" s="7"/>
      <c r="C390" s="7"/>
      <c r="D390" s="7"/>
      <c r="E390" s="7"/>
      <c r="F390" s="7"/>
      <c r="G390" s="7"/>
      <c r="H390" s="7"/>
      <c r="I390" s="7"/>
      <c r="J390" s="8"/>
      <c r="K390" s="9"/>
    </row>
    <row r="391">
      <c r="A391" s="6"/>
      <c r="B391" s="7"/>
      <c r="C391" s="7"/>
      <c r="D391" s="7"/>
      <c r="E391" s="7"/>
      <c r="F391" s="7"/>
      <c r="G391" s="7"/>
      <c r="H391" s="7"/>
      <c r="I391" s="7"/>
      <c r="J391" s="8"/>
      <c r="K391" s="9"/>
    </row>
    <row r="392">
      <c r="A392" s="6"/>
      <c r="B392" s="7"/>
      <c r="C392" s="7"/>
      <c r="D392" s="7"/>
      <c r="E392" s="7"/>
      <c r="F392" s="7"/>
      <c r="G392" s="7"/>
      <c r="H392" s="7"/>
      <c r="I392" s="7"/>
      <c r="J392" s="8"/>
      <c r="K392" s="9"/>
    </row>
    <row r="393">
      <c r="A393" s="6"/>
      <c r="B393" s="7"/>
      <c r="C393" s="7"/>
      <c r="D393" s="7"/>
      <c r="E393" s="7"/>
      <c r="F393" s="7"/>
      <c r="G393" s="7"/>
      <c r="H393" s="7"/>
      <c r="I393" s="7"/>
      <c r="J393" s="8"/>
      <c r="K393" s="9"/>
    </row>
    <row r="394">
      <c r="A394" s="6"/>
      <c r="B394" s="7"/>
      <c r="C394" s="7"/>
      <c r="D394" s="7"/>
      <c r="E394" s="7"/>
      <c r="F394" s="7"/>
      <c r="G394" s="7"/>
      <c r="H394" s="7"/>
      <c r="I394" s="7"/>
      <c r="J394" s="8"/>
      <c r="K394" s="9"/>
    </row>
    <row r="395">
      <c r="A395" s="6"/>
      <c r="B395" s="7"/>
      <c r="C395" s="7"/>
      <c r="D395" s="7"/>
      <c r="E395" s="7"/>
      <c r="F395" s="7"/>
      <c r="G395" s="7"/>
      <c r="H395" s="7"/>
      <c r="I395" s="7"/>
      <c r="J395" s="8"/>
      <c r="K395" s="9"/>
    </row>
    <row r="396">
      <c r="A396" s="6"/>
      <c r="B396" s="7"/>
      <c r="C396" s="7"/>
      <c r="D396" s="7"/>
      <c r="E396" s="7"/>
      <c r="F396" s="7"/>
      <c r="G396" s="7"/>
      <c r="H396" s="7"/>
      <c r="I396" s="7"/>
      <c r="J396" s="8"/>
      <c r="K396" s="9"/>
    </row>
    <row r="397">
      <c r="A397" s="6"/>
      <c r="B397" s="7"/>
      <c r="C397" s="7"/>
      <c r="D397" s="7"/>
      <c r="E397" s="7"/>
      <c r="F397" s="7"/>
      <c r="G397" s="7"/>
      <c r="H397" s="7"/>
      <c r="I397" s="7"/>
      <c r="J397" s="8"/>
      <c r="K397" s="9"/>
    </row>
    <row r="398">
      <c r="A398" s="6"/>
      <c r="B398" s="7"/>
      <c r="C398" s="7"/>
      <c r="D398" s="7"/>
      <c r="E398" s="7"/>
      <c r="F398" s="7"/>
      <c r="G398" s="7"/>
      <c r="H398" s="7"/>
      <c r="I398" s="7"/>
      <c r="J398" s="8"/>
      <c r="K398" s="9"/>
    </row>
    <row r="399">
      <c r="A399" s="6"/>
      <c r="B399" s="7"/>
      <c r="C399" s="7"/>
      <c r="D399" s="7"/>
      <c r="E399" s="7"/>
      <c r="F399" s="7"/>
      <c r="G399" s="7"/>
      <c r="H399" s="7"/>
      <c r="I399" s="7"/>
      <c r="J399" s="8"/>
      <c r="K399" s="9"/>
    </row>
    <row r="400">
      <c r="A400" s="6"/>
      <c r="B400" s="7"/>
      <c r="C400" s="7"/>
      <c r="D400" s="7"/>
      <c r="E400" s="7"/>
      <c r="F400" s="7"/>
      <c r="G400" s="7"/>
      <c r="H400" s="7"/>
      <c r="I400" s="7"/>
      <c r="J400" s="8"/>
      <c r="K400" s="9"/>
    </row>
    <row r="401">
      <c r="A401" s="6"/>
      <c r="B401" s="7"/>
      <c r="C401" s="7"/>
      <c r="D401" s="7"/>
      <c r="E401" s="7"/>
      <c r="F401" s="7"/>
      <c r="G401" s="7"/>
      <c r="H401" s="7"/>
      <c r="I401" s="7"/>
      <c r="J401" s="8"/>
      <c r="K401" s="9"/>
    </row>
    <row r="402">
      <c r="A402" s="6"/>
      <c r="B402" s="7"/>
      <c r="C402" s="7"/>
      <c r="D402" s="7"/>
      <c r="E402" s="7"/>
      <c r="F402" s="7"/>
      <c r="G402" s="7"/>
      <c r="H402" s="7"/>
      <c r="I402" s="7"/>
      <c r="J402" s="8"/>
      <c r="K402" s="9"/>
    </row>
    <row r="403">
      <c r="A403" s="6"/>
      <c r="B403" s="7"/>
      <c r="C403" s="7"/>
      <c r="D403" s="7"/>
      <c r="E403" s="7"/>
      <c r="F403" s="7"/>
      <c r="G403" s="7"/>
      <c r="H403" s="7"/>
      <c r="I403" s="7"/>
      <c r="J403" s="8"/>
      <c r="K403" s="9"/>
    </row>
    <row r="404">
      <c r="A404" s="6"/>
      <c r="B404" s="7"/>
      <c r="C404" s="7"/>
      <c r="D404" s="7"/>
      <c r="E404" s="7"/>
      <c r="F404" s="7"/>
      <c r="G404" s="7"/>
      <c r="H404" s="7"/>
      <c r="I404" s="7"/>
      <c r="J404" s="8"/>
      <c r="K404" s="9"/>
    </row>
    <row r="405">
      <c r="A405" s="6"/>
      <c r="B405" s="7"/>
      <c r="C405" s="7"/>
      <c r="D405" s="7"/>
      <c r="E405" s="7"/>
      <c r="F405" s="7"/>
      <c r="G405" s="7"/>
      <c r="H405" s="7"/>
      <c r="I405" s="7"/>
      <c r="J405" s="8"/>
      <c r="K405" s="9"/>
    </row>
    <row r="406">
      <c r="A406" s="6"/>
      <c r="B406" s="7"/>
      <c r="C406" s="7"/>
      <c r="D406" s="7"/>
      <c r="E406" s="7"/>
      <c r="F406" s="7"/>
      <c r="G406" s="7"/>
      <c r="H406" s="7"/>
      <c r="I406" s="7"/>
      <c r="J406" s="8"/>
      <c r="K406" s="9"/>
    </row>
    <row r="407">
      <c r="A407" s="6"/>
      <c r="B407" s="7"/>
      <c r="C407" s="7"/>
      <c r="D407" s="7"/>
      <c r="E407" s="7"/>
      <c r="F407" s="7"/>
      <c r="G407" s="7"/>
      <c r="H407" s="7"/>
      <c r="I407" s="7"/>
      <c r="J407" s="8"/>
      <c r="K407" s="9"/>
    </row>
    <row r="408">
      <c r="A408" s="6"/>
      <c r="B408" s="7"/>
      <c r="C408" s="7"/>
      <c r="D408" s="7"/>
      <c r="E408" s="7"/>
      <c r="F408" s="7"/>
      <c r="G408" s="7"/>
      <c r="H408" s="7"/>
      <c r="I408" s="7"/>
      <c r="J408" s="8"/>
      <c r="K408" s="9"/>
    </row>
    <row r="409">
      <c r="A409" s="6"/>
      <c r="B409" s="7"/>
      <c r="C409" s="7"/>
      <c r="D409" s="7"/>
      <c r="E409" s="7"/>
      <c r="F409" s="7"/>
      <c r="G409" s="7"/>
      <c r="H409" s="7"/>
      <c r="I409" s="7"/>
      <c r="J409" s="8"/>
      <c r="K409" s="9"/>
    </row>
    <row r="410">
      <c r="A410" s="6"/>
      <c r="B410" s="7"/>
      <c r="C410" s="7"/>
      <c r="D410" s="7"/>
      <c r="E410" s="7"/>
      <c r="F410" s="7"/>
      <c r="G410" s="7"/>
      <c r="H410" s="7"/>
      <c r="I410" s="7"/>
      <c r="J410" s="8"/>
      <c r="K410" s="9"/>
    </row>
    <row r="411">
      <c r="A411" s="6"/>
      <c r="B411" s="7"/>
      <c r="C411" s="7"/>
      <c r="D411" s="7"/>
      <c r="E411" s="7"/>
      <c r="F411" s="7"/>
      <c r="G411" s="7"/>
      <c r="H411" s="7"/>
      <c r="I411" s="7"/>
      <c r="J411" s="8"/>
      <c r="K411" s="9"/>
    </row>
    <row r="412">
      <c r="A412" s="6"/>
      <c r="B412" s="7"/>
      <c r="C412" s="7"/>
      <c r="D412" s="7"/>
      <c r="E412" s="7"/>
      <c r="F412" s="7"/>
      <c r="G412" s="7"/>
      <c r="H412" s="7"/>
      <c r="I412" s="7"/>
      <c r="J412" s="8"/>
      <c r="K412" s="9"/>
    </row>
    <row r="413">
      <c r="A413" s="6"/>
      <c r="B413" s="7"/>
      <c r="C413" s="7"/>
      <c r="D413" s="7"/>
      <c r="E413" s="7"/>
      <c r="F413" s="7"/>
      <c r="G413" s="7"/>
      <c r="H413" s="7"/>
      <c r="I413" s="7"/>
      <c r="J413" s="8"/>
      <c r="K413" s="9"/>
    </row>
    <row r="414">
      <c r="A414" s="6"/>
      <c r="B414" s="7"/>
      <c r="C414" s="7"/>
      <c r="D414" s="7"/>
      <c r="E414" s="7"/>
      <c r="F414" s="7"/>
      <c r="G414" s="7"/>
      <c r="H414" s="7"/>
      <c r="I414" s="7"/>
      <c r="J414" s="8"/>
      <c r="K414" s="9"/>
    </row>
    <row r="415">
      <c r="A415" s="6"/>
      <c r="B415" s="7"/>
      <c r="C415" s="7"/>
      <c r="D415" s="7"/>
      <c r="E415" s="7"/>
      <c r="F415" s="7"/>
      <c r="G415" s="7"/>
      <c r="H415" s="7"/>
      <c r="I415" s="7"/>
      <c r="J415" s="8"/>
      <c r="K415" s="9"/>
    </row>
    <row r="416">
      <c r="A416" s="6"/>
      <c r="B416" s="7"/>
      <c r="C416" s="7"/>
      <c r="D416" s="7"/>
      <c r="E416" s="7"/>
      <c r="F416" s="7"/>
      <c r="G416" s="7"/>
      <c r="H416" s="7"/>
      <c r="I416" s="7"/>
      <c r="J416" s="8"/>
      <c r="K416" s="9"/>
    </row>
    <row r="417">
      <c r="A417" s="6"/>
      <c r="B417" s="7"/>
      <c r="C417" s="7"/>
      <c r="D417" s="7"/>
      <c r="E417" s="7"/>
      <c r="F417" s="7"/>
      <c r="G417" s="7"/>
      <c r="H417" s="7"/>
      <c r="I417" s="7"/>
      <c r="J417" s="8"/>
      <c r="K417" s="9"/>
    </row>
    <row r="418">
      <c r="A418" s="6"/>
      <c r="B418" s="7"/>
      <c r="C418" s="7"/>
      <c r="D418" s="7"/>
      <c r="E418" s="7"/>
      <c r="F418" s="7"/>
      <c r="G418" s="7"/>
      <c r="H418" s="7"/>
      <c r="I418" s="7"/>
      <c r="J418" s="8"/>
      <c r="K418" s="9"/>
    </row>
    <row r="419">
      <c r="A419" s="6"/>
      <c r="B419" s="7"/>
      <c r="C419" s="7"/>
      <c r="D419" s="7"/>
      <c r="E419" s="7"/>
      <c r="F419" s="7"/>
      <c r="G419" s="7"/>
      <c r="H419" s="7"/>
      <c r="I419" s="7"/>
      <c r="J419" s="8"/>
      <c r="K419" s="9"/>
    </row>
    <row r="420">
      <c r="A420" s="6"/>
      <c r="B420" s="7"/>
      <c r="C420" s="7"/>
      <c r="D420" s="7"/>
      <c r="E420" s="7"/>
      <c r="F420" s="7"/>
      <c r="G420" s="7"/>
      <c r="H420" s="7"/>
      <c r="I420" s="7"/>
      <c r="J420" s="8"/>
      <c r="K420" s="9"/>
    </row>
    <row r="421">
      <c r="A421" s="6"/>
      <c r="B421" s="7"/>
      <c r="C421" s="7"/>
      <c r="D421" s="7"/>
      <c r="E421" s="7"/>
      <c r="F421" s="7"/>
      <c r="G421" s="7"/>
      <c r="H421" s="7"/>
      <c r="I421" s="7"/>
      <c r="J421" s="8"/>
      <c r="K421" s="9"/>
    </row>
    <row r="422">
      <c r="A422" s="6"/>
      <c r="B422" s="7"/>
      <c r="C422" s="7"/>
      <c r="D422" s="7"/>
      <c r="E422" s="7"/>
      <c r="F422" s="7"/>
      <c r="G422" s="7"/>
      <c r="H422" s="7"/>
      <c r="I422" s="7"/>
      <c r="J422" s="8"/>
      <c r="K422" s="9"/>
    </row>
    <row r="423">
      <c r="A423" s="6"/>
      <c r="B423" s="7"/>
      <c r="C423" s="7"/>
      <c r="D423" s="7"/>
      <c r="E423" s="7"/>
      <c r="F423" s="7"/>
      <c r="G423" s="7"/>
      <c r="H423" s="7"/>
      <c r="I423" s="7"/>
      <c r="J423" s="8"/>
      <c r="K423" s="9"/>
    </row>
    <row r="424">
      <c r="A424" s="6"/>
      <c r="B424" s="7"/>
      <c r="C424" s="7"/>
      <c r="D424" s="7"/>
      <c r="E424" s="7"/>
      <c r="F424" s="7"/>
      <c r="G424" s="7"/>
      <c r="H424" s="7"/>
      <c r="I424" s="7"/>
      <c r="J424" s="8"/>
      <c r="K424" s="9"/>
    </row>
    <row r="425">
      <c r="A425" s="6"/>
      <c r="B425" s="7"/>
      <c r="C425" s="7"/>
      <c r="D425" s="7"/>
      <c r="E425" s="7"/>
      <c r="F425" s="7"/>
      <c r="G425" s="7"/>
      <c r="H425" s="7"/>
      <c r="I425" s="7"/>
      <c r="J425" s="8"/>
      <c r="K425" s="9"/>
    </row>
    <row r="426">
      <c r="A426" s="6"/>
      <c r="B426" s="7"/>
      <c r="C426" s="7"/>
      <c r="D426" s="7"/>
      <c r="E426" s="7"/>
      <c r="F426" s="7"/>
      <c r="G426" s="7"/>
      <c r="H426" s="7"/>
      <c r="I426" s="7"/>
      <c r="J426" s="8"/>
      <c r="K426" s="9"/>
    </row>
    <row r="427">
      <c r="A427" s="6"/>
      <c r="B427" s="7"/>
      <c r="C427" s="7"/>
      <c r="D427" s="7"/>
      <c r="E427" s="7"/>
      <c r="F427" s="7"/>
      <c r="G427" s="7"/>
      <c r="H427" s="7"/>
      <c r="I427" s="7"/>
      <c r="J427" s="8"/>
      <c r="K427" s="9"/>
    </row>
    <row r="428">
      <c r="A428" s="6"/>
      <c r="B428" s="7"/>
      <c r="C428" s="7"/>
      <c r="D428" s="7"/>
      <c r="E428" s="7"/>
      <c r="F428" s="7"/>
      <c r="G428" s="7"/>
      <c r="H428" s="7"/>
      <c r="I428" s="7"/>
      <c r="J428" s="8"/>
      <c r="K428" s="9"/>
    </row>
    <row r="429">
      <c r="A429" s="6"/>
      <c r="B429" s="7"/>
      <c r="C429" s="7"/>
      <c r="D429" s="7"/>
      <c r="E429" s="7"/>
      <c r="F429" s="7"/>
      <c r="G429" s="7"/>
      <c r="H429" s="7"/>
      <c r="I429" s="7"/>
      <c r="J429" s="8"/>
      <c r="K429" s="9"/>
    </row>
    <row r="430">
      <c r="A430" s="6"/>
      <c r="B430" s="7"/>
      <c r="C430" s="7"/>
      <c r="D430" s="7"/>
      <c r="E430" s="7"/>
      <c r="F430" s="7"/>
      <c r="G430" s="7"/>
      <c r="H430" s="7"/>
      <c r="I430" s="7"/>
      <c r="J430" s="8"/>
      <c r="K430" s="9"/>
    </row>
    <row r="431">
      <c r="A431" s="6"/>
      <c r="B431" s="7"/>
      <c r="C431" s="7"/>
      <c r="D431" s="7"/>
      <c r="E431" s="7"/>
      <c r="F431" s="7"/>
      <c r="G431" s="7"/>
      <c r="H431" s="7"/>
      <c r="I431" s="7"/>
      <c r="J431" s="8"/>
      <c r="K431" s="9"/>
    </row>
    <row r="432">
      <c r="A432" s="6"/>
      <c r="B432" s="7"/>
      <c r="C432" s="7"/>
      <c r="D432" s="7"/>
      <c r="E432" s="7"/>
      <c r="F432" s="7"/>
      <c r="G432" s="7"/>
      <c r="H432" s="7"/>
      <c r="I432" s="7"/>
      <c r="J432" s="8"/>
      <c r="K432" s="9"/>
    </row>
    <row r="433">
      <c r="A433" s="6"/>
      <c r="B433" s="7"/>
      <c r="C433" s="7"/>
      <c r="D433" s="7"/>
      <c r="E433" s="7"/>
      <c r="F433" s="7"/>
      <c r="G433" s="7"/>
      <c r="H433" s="7"/>
      <c r="I433" s="7"/>
      <c r="J433" s="8"/>
      <c r="K433" s="9"/>
    </row>
    <row r="434">
      <c r="A434" s="6"/>
      <c r="B434" s="7"/>
      <c r="C434" s="7"/>
      <c r="D434" s="7"/>
      <c r="E434" s="7"/>
      <c r="F434" s="7"/>
      <c r="G434" s="7"/>
      <c r="H434" s="7"/>
      <c r="I434" s="7"/>
      <c r="J434" s="8"/>
      <c r="K434" s="9"/>
    </row>
    <row r="435">
      <c r="A435" s="6"/>
      <c r="B435" s="7"/>
      <c r="C435" s="7"/>
      <c r="D435" s="7"/>
      <c r="E435" s="7"/>
      <c r="F435" s="7"/>
      <c r="G435" s="7"/>
      <c r="H435" s="7"/>
      <c r="I435" s="7"/>
      <c r="J435" s="8"/>
      <c r="K435" s="9"/>
    </row>
    <row r="436">
      <c r="A436" s="6"/>
      <c r="B436" s="7"/>
      <c r="C436" s="7"/>
      <c r="D436" s="7"/>
      <c r="E436" s="7"/>
      <c r="F436" s="7"/>
      <c r="G436" s="7"/>
      <c r="H436" s="7"/>
      <c r="I436" s="7"/>
      <c r="J436" s="8"/>
      <c r="K436" s="9"/>
    </row>
    <row r="437">
      <c r="A437" s="6"/>
      <c r="B437" s="7"/>
      <c r="C437" s="7"/>
      <c r="D437" s="7"/>
      <c r="E437" s="7"/>
      <c r="F437" s="7"/>
      <c r="G437" s="7"/>
      <c r="H437" s="7"/>
      <c r="I437" s="7"/>
      <c r="J437" s="8"/>
      <c r="K437" s="9"/>
    </row>
    <row r="438">
      <c r="A438" s="6"/>
      <c r="B438" s="7"/>
      <c r="C438" s="7"/>
      <c r="D438" s="7"/>
      <c r="E438" s="7"/>
      <c r="F438" s="7"/>
      <c r="G438" s="7"/>
      <c r="H438" s="7"/>
      <c r="I438" s="7"/>
      <c r="J438" s="8"/>
      <c r="K438" s="9"/>
    </row>
    <row r="439">
      <c r="A439" s="6"/>
      <c r="B439" s="7"/>
      <c r="C439" s="7"/>
      <c r="D439" s="7"/>
      <c r="E439" s="7"/>
      <c r="F439" s="7"/>
      <c r="G439" s="7"/>
      <c r="H439" s="7"/>
      <c r="I439" s="7"/>
      <c r="J439" s="8"/>
      <c r="K439" s="9"/>
    </row>
    <row r="440">
      <c r="A440" s="6"/>
      <c r="B440" s="7"/>
      <c r="C440" s="7"/>
      <c r="D440" s="7"/>
      <c r="E440" s="7"/>
      <c r="F440" s="7"/>
      <c r="G440" s="7"/>
      <c r="H440" s="7"/>
      <c r="I440" s="7"/>
      <c r="J440" s="8"/>
      <c r="K440" s="9"/>
    </row>
    <row r="441">
      <c r="A441" s="6"/>
      <c r="B441" s="7"/>
      <c r="C441" s="7"/>
      <c r="D441" s="7"/>
      <c r="E441" s="7"/>
      <c r="F441" s="7"/>
      <c r="G441" s="7"/>
      <c r="H441" s="7"/>
      <c r="I441" s="7"/>
      <c r="J441" s="8"/>
      <c r="K441" s="9"/>
    </row>
    <row r="442">
      <c r="A442" s="6"/>
      <c r="B442" s="7"/>
      <c r="C442" s="7"/>
      <c r="D442" s="7"/>
      <c r="E442" s="7"/>
      <c r="F442" s="7"/>
      <c r="G442" s="7"/>
      <c r="H442" s="7"/>
      <c r="I442" s="7"/>
      <c r="J442" s="8"/>
      <c r="K442" s="9"/>
    </row>
    <row r="443">
      <c r="A443" s="6"/>
      <c r="B443" s="7"/>
      <c r="C443" s="7"/>
      <c r="D443" s="7"/>
      <c r="E443" s="7"/>
      <c r="F443" s="7"/>
      <c r="G443" s="7"/>
      <c r="H443" s="7"/>
      <c r="I443" s="7"/>
      <c r="J443" s="8"/>
      <c r="K443" s="9"/>
    </row>
    <row r="444">
      <c r="A444" s="6"/>
      <c r="B444" s="7"/>
      <c r="C444" s="7"/>
      <c r="D444" s="7"/>
      <c r="E444" s="7"/>
      <c r="F444" s="7"/>
      <c r="G444" s="7"/>
      <c r="H444" s="7"/>
      <c r="I444" s="7"/>
      <c r="J444" s="8"/>
      <c r="K444" s="9"/>
    </row>
    <row r="445">
      <c r="A445" s="6"/>
      <c r="B445" s="7"/>
      <c r="C445" s="7"/>
      <c r="D445" s="7"/>
      <c r="E445" s="7"/>
      <c r="F445" s="7"/>
      <c r="G445" s="7"/>
      <c r="H445" s="7"/>
      <c r="I445" s="7"/>
      <c r="J445" s="8"/>
      <c r="K445" s="9"/>
    </row>
    <row r="446">
      <c r="A446" s="6"/>
      <c r="B446" s="7"/>
      <c r="C446" s="7"/>
      <c r="D446" s="7"/>
      <c r="E446" s="7"/>
      <c r="F446" s="7"/>
      <c r="G446" s="7"/>
      <c r="H446" s="7"/>
      <c r="I446" s="7"/>
      <c r="J446" s="8"/>
      <c r="K446" s="9"/>
    </row>
    <row r="447">
      <c r="A447" s="6"/>
      <c r="B447" s="7"/>
      <c r="C447" s="7"/>
      <c r="D447" s="7"/>
      <c r="E447" s="7"/>
      <c r="F447" s="7"/>
      <c r="G447" s="7"/>
      <c r="H447" s="7"/>
      <c r="I447" s="7"/>
      <c r="J447" s="8"/>
      <c r="K447" s="9"/>
    </row>
    <row r="448">
      <c r="A448" s="6"/>
      <c r="B448" s="7"/>
      <c r="C448" s="7"/>
      <c r="D448" s="7"/>
      <c r="E448" s="7"/>
      <c r="F448" s="7"/>
      <c r="G448" s="7"/>
      <c r="H448" s="7"/>
      <c r="I448" s="7"/>
      <c r="J448" s="8"/>
      <c r="K448" s="9"/>
    </row>
    <row r="449">
      <c r="A449" s="6"/>
      <c r="B449" s="7"/>
      <c r="C449" s="7"/>
      <c r="D449" s="7"/>
      <c r="E449" s="7"/>
      <c r="F449" s="7"/>
      <c r="G449" s="7"/>
      <c r="H449" s="7"/>
      <c r="I449" s="7"/>
      <c r="J449" s="8"/>
      <c r="K449" s="9"/>
    </row>
    <row r="450">
      <c r="A450" s="6"/>
      <c r="B450" s="7"/>
      <c r="C450" s="7"/>
      <c r="D450" s="7"/>
      <c r="E450" s="7"/>
      <c r="F450" s="7"/>
      <c r="G450" s="7"/>
      <c r="H450" s="7"/>
      <c r="I450" s="7"/>
      <c r="J450" s="8"/>
      <c r="K450" s="9"/>
    </row>
    <row r="451">
      <c r="A451" s="6"/>
      <c r="B451" s="7"/>
      <c r="C451" s="7"/>
      <c r="D451" s="7"/>
      <c r="E451" s="7"/>
      <c r="F451" s="7"/>
      <c r="G451" s="7"/>
      <c r="H451" s="7"/>
      <c r="I451" s="7"/>
      <c r="J451" s="8"/>
      <c r="K451" s="9"/>
    </row>
    <row r="452">
      <c r="A452" s="6"/>
      <c r="B452" s="7"/>
      <c r="C452" s="7"/>
      <c r="D452" s="7"/>
      <c r="E452" s="7"/>
      <c r="F452" s="7"/>
      <c r="G452" s="7"/>
      <c r="H452" s="7"/>
      <c r="I452" s="7"/>
      <c r="J452" s="8"/>
      <c r="K452" s="9"/>
    </row>
    <row r="453">
      <c r="A453" s="6"/>
      <c r="B453" s="7"/>
      <c r="C453" s="7"/>
      <c r="D453" s="7"/>
      <c r="E453" s="7"/>
      <c r="F453" s="7"/>
      <c r="G453" s="7"/>
      <c r="H453" s="7"/>
      <c r="I453" s="7"/>
      <c r="J453" s="8"/>
      <c r="K453" s="9"/>
    </row>
    <row r="454">
      <c r="A454" s="6"/>
      <c r="B454" s="7"/>
      <c r="C454" s="7"/>
      <c r="D454" s="7"/>
      <c r="E454" s="7"/>
      <c r="F454" s="7"/>
      <c r="G454" s="7"/>
      <c r="H454" s="7"/>
      <c r="I454" s="7"/>
      <c r="J454" s="8"/>
      <c r="K454" s="9"/>
    </row>
    <row r="455">
      <c r="A455" s="6"/>
      <c r="B455" s="7"/>
      <c r="C455" s="7"/>
      <c r="D455" s="7"/>
      <c r="E455" s="7"/>
      <c r="F455" s="7"/>
      <c r="G455" s="7"/>
      <c r="H455" s="7"/>
      <c r="I455" s="7"/>
      <c r="J455" s="8"/>
      <c r="K455" s="9"/>
    </row>
    <row r="456">
      <c r="A456" s="6"/>
      <c r="B456" s="7"/>
      <c r="C456" s="7"/>
      <c r="D456" s="7"/>
      <c r="E456" s="7"/>
      <c r="F456" s="7"/>
      <c r="G456" s="7"/>
      <c r="H456" s="7"/>
      <c r="I456" s="7"/>
      <c r="J456" s="8"/>
      <c r="K456" s="9"/>
    </row>
    <row r="457">
      <c r="A457" s="6"/>
      <c r="B457" s="7"/>
      <c r="C457" s="7"/>
      <c r="D457" s="7"/>
      <c r="E457" s="7"/>
      <c r="F457" s="7"/>
      <c r="G457" s="7"/>
      <c r="H457" s="7"/>
      <c r="I457" s="7"/>
      <c r="J457" s="8"/>
      <c r="K457" s="9"/>
    </row>
    <row r="458">
      <c r="A458" s="6"/>
      <c r="B458" s="7"/>
      <c r="C458" s="7"/>
      <c r="D458" s="7"/>
      <c r="E458" s="7"/>
      <c r="F458" s="7"/>
      <c r="G458" s="7"/>
      <c r="H458" s="7"/>
      <c r="I458" s="7"/>
      <c r="J458" s="8"/>
      <c r="K458" s="9"/>
    </row>
    <row r="459">
      <c r="A459" s="6"/>
      <c r="B459" s="7"/>
      <c r="C459" s="7"/>
      <c r="D459" s="7"/>
      <c r="E459" s="7"/>
      <c r="F459" s="7"/>
      <c r="G459" s="7"/>
      <c r="H459" s="7"/>
      <c r="I459" s="7"/>
      <c r="J459" s="8"/>
      <c r="K459" s="9"/>
    </row>
    <row r="460">
      <c r="A460" s="6"/>
      <c r="B460" s="7"/>
      <c r="C460" s="7"/>
      <c r="D460" s="7"/>
      <c r="E460" s="7"/>
      <c r="F460" s="7"/>
      <c r="G460" s="7"/>
      <c r="H460" s="7"/>
      <c r="I460" s="7"/>
      <c r="J460" s="8"/>
      <c r="K460" s="9"/>
    </row>
    <row r="461">
      <c r="A461" s="6"/>
      <c r="B461" s="7"/>
      <c r="C461" s="7"/>
      <c r="D461" s="7"/>
      <c r="E461" s="7"/>
      <c r="F461" s="7"/>
      <c r="G461" s="7"/>
      <c r="H461" s="7"/>
      <c r="I461" s="7"/>
      <c r="J461" s="8"/>
      <c r="K461" s="9"/>
    </row>
    <row r="462">
      <c r="A462" s="6"/>
      <c r="B462" s="7"/>
      <c r="C462" s="7"/>
      <c r="D462" s="7"/>
      <c r="E462" s="7"/>
      <c r="F462" s="7"/>
      <c r="G462" s="7"/>
      <c r="H462" s="7"/>
      <c r="I462" s="7"/>
      <c r="J462" s="8"/>
      <c r="K462" s="9"/>
    </row>
    <row r="463">
      <c r="A463" s="6"/>
      <c r="B463" s="7"/>
      <c r="C463" s="7"/>
      <c r="D463" s="7"/>
      <c r="E463" s="7"/>
      <c r="F463" s="7"/>
      <c r="G463" s="7"/>
      <c r="H463" s="7"/>
      <c r="I463" s="7"/>
      <c r="J463" s="8"/>
      <c r="K463" s="9"/>
    </row>
    <row r="464">
      <c r="A464" s="6"/>
      <c r="B464" s="7"/>
      <c r="C464" s="7"/>
      <c r="D464" s="7"/>
      <c r="E464" s="7"/>
      <c r="F464" s="7"/>
      <c r="G464" s="7"/>
      <c r="H464" s="7"/>
      <c r="I464" s="7"/>
      <c r="J464" s="8"/>
      <c r="K464" s="9"/>
    </row>
    <row r="465">
      <c r="A465" s="6"/>
      <c r="B465" s="7"/>
      <c r="C465" s="7"/>
      <c r="D465" s="7"/>
      <c r="E465" s="7"/>
      <c r="F465" s="7"/>
      <c r="G465" s="7"/>
      <c r="H465" s="7"/>
      <c r="I465" s="7"/>
      <c r="J465" s="8"/>
      <c r="K465" s="9"/>
    </row>
    <row r="466">
      <c r="A466" s="6"/>
      <c r="B466" s="7"/>
      <c r="C466" s="7"/>
      <c r="D466" s="7"/>
      <c r="E466" s="7"/>
      <c r="F466" s="7"/>
      <c r="G466" s="7"/>
      <c r="H466" s="7"/>
      <c r="I466" s="7"/>
      <c r="J466" s="8"/>
      <c r="K466" s="9"/>
    </row>
    <row r="467">
      <c r="A467" s="6"/>
      <c r="B467" s="7"/>
      <c r="C467" s="7"/>
      <c r="D467" s="7"/>
      <c r="E467" s="7"/>
      <c r="F467" s="7"/>
      <c r="G467" s="7"/>
      <c r="H467" s="7"/>
      <c r="I467" s="7"/>
      <c r="J467" s="8"/>
      <c r="K467" s="9"/>
    </row>
    <row r="468">
      <c r="A468" s="6"/>
      <c r="B468" s="7"/>
      <c r="C468" s="7"/>
      <c r="D468" s="7"/>
      <c r="E468" s="7"/>
      <c r="F468" s="7"/>
      <c r="G468" s="7"/>
      <c r="H468" s="7"/>
      <c r="I468" s="7"/>
      <c r="J468" s="8"/>
      <c r="K468" s="9"/>
    </row>
    <row r="469">
      <c r="A469" s="6"/>
      <c r="B469" s="7"/>
      <c r="C469" s="7"/>
      <c r="D469" s="7"/>
      <c r="E469" s="7"/>
      <c r="F469" s="7"/>
      <c r="G469" s="7"/>
      <c r="H469" s="7"/>
      <c r="I469" s="7"/>
      <c r="J469" s="8"/>
      <c r="K469" s="9"/>
    </row>
    <row r="470">
      <c r="A470" s="6"/>
      <c r="B470" s="7"/>
      <c r="C470" s="7"/>
      <c r="D470" s="7"/>
      <c r="E470" s="7"/>
      <c r="F470" s="7"/>
      <c r="G470" s="7"/>
      <c r="H470" s="7"/>
      <c r="I470" s="7"/>
      <c r="J470" s="8"/>
      <c r="K470" s="9"/>
    </row>
    <row r="471">
      <c r="A471" s="6"/>
      <c r="B471" s="7"/>
      <c r="C471" s="7"/>
      <c r="D471" s="7"/>
      <c r="E471" s="7"/>
      <c r="F471" s="7"/>
      <c r="G471" s="7"/>
      <c r="H471" s="7"/>
      <c r="I471" s="7"/>
      <c r="J471" s="8"/>
      <c r="K471" s="9"/>
    </row>
    <row r="472">
      <c r="A472" s="6"/>
      <c r="B472" s="7"/>
      <c r="C472" s="7"/>
      <c r="D472" s="7"/>
      <c r="E472" s="7"/>
      <c r="F472" s="7"/>
      <c r="G472" s="7"/>
      <c r="H472" s="7"/>
      <c r="I472" s="7"/>
      <c r="J472" s="8"/>
      <c r="K472" s="9"/>
    </row>
    <row r="473">
      <c r="A473" s="6"/>
      <c r="B473" s="7"/>
      <c r="C473" s="7"/>
      <c r="D473" s="7"/>
      <c r="E473" s="7"/>
      <c r="F473" s="7"/>
      <c r="G473" s="7"/>
      <c r="H473" s="7"/>
      <c r="I473" s="7"/>
      <c r="J473" s="8"/>
      <c r="K473" s="9"/>
    </row>
    <row r="474">
      <c r="A474" s="6"/>
      <c r="B474" s="7"/>
      <c r="C474" s="7"/>
      <c r="D474" s="7"/>
      <c r="E474" s="7"/>
      <c r="F474" s="7"/>
      <c r="G474" s="7"/>
      <c r="H474" s="7"/>
      <c r="I474" s="7"/>
      <c r="J474" s="8"/>
      <c r="K474" s="9"/>
    </row>
    <row r="475">
      <c r="A475" s="6"/>
      <c r="B475" s="7"/>
      <c r="C475" s="7"/>
      <c r="D475" s="7"/>
      <c r="E475" s="7"/>
      <c r="F475" s="7"/>
      <c r="G475" s="7"/>
      <c r="H475" s="7"/>
      <c r="I475" s="7"/>
      <c r="J475" s="8"/>
      <c r="K475" s="9"/>
    </row>
    <row r="476">
      <c r="A476" s="6"/>
      <c r="B476" s="7"/>
      <c r="C476" s="7"/>
      <c r="D476" s="7"/>
      <c r="E476" s="7"/>
      <c r="F476" s="7"/>
      <c r="G476" s="7"/>
      <c r="H476" s="7"/>
      <c r="I476" s="7"/>
      <c r="J476" s="8"/>
      <c r="K476" s="9"/>
    </row>
    <row r="477">
      <c r="A477" s="6"/>
      <c r="B477" s="7"/>
      <c r="C477" s="7"/>
      <c r="D477" s="7"/>
      <c r="E477" s="7"/>
      <c r="F477" s="7"/>
      <c r="G477" s="7"/>
      <c r="H477" s="7"/>
      <c r="I477" s="7"/>
      <c r="J477" s="8"/>
      <c r="K477" s="9"/>
    </row>
    <row r="478">
      <c r="A478" s="6"/>
      <c r="B478" s="7"/>
      <c r="C478" s="7"/>
      <c r="D478" s="7"/>
      <c r="E478" s="7"/>
      <c r="F478" s="7"/>
      <c r="G478" s="7"/>
      <c r="H478" s="7"/>
      <c r="I478" s="7"/>
      <c r="J478" s="8"/>
      <c r="K478" s="9"/>
    </row>
    <row r="479">
      <c r="A479" s="6"/>
      <c r="B479" s="7"/>
      <c r="C479" s="7"/>
      <c r="D479" s="7"/>
      <c r="E479" s="7"/>
      <c r="F479" s="7"/>
      <c r="G479" s="7"/>
      <c r="H479" s="7"/>
      <c r="I479" s="7"/>
      <c r="J479" s="8"/>
      <c r="K479" s="9"/>
    </row>
    <row r="480">
      <c r="A480" s="6"/>
      <c r="B480" s="7"/>
      <c r="C480" s="7"/>
      <c r="D480" s="7"/>
      <c r="E480" s="7"/>
      <c r="F480" s="7"/>
      <c r="G480" s="7"/>
      <c r="H480" s="7"/>
      <c r="I480" s="7"/>
      <c r="J480" s="8"/>
      <c r="K480" s="9"/>
    </row>
    <row r="481">
      <c r="A481" s="6"/>
      <c r="B481" s="7"/>
      <c r="C481" s="7"/>
      <c r="D481" s="7"/>
      <c r="E481" s="7"/>
      <c r="F481" s="7"/>
      <c r="G481" s="7"/>
      <c r="H481" s="7"/>
      <c r="I481" s="7"/>
      <c r="J481" s="8"/>
      <c r="K481" s="9"/>
    </row>
    <row r="482">
      <c r="A482" s="6"/>
      <c r="B482" s="7"/>
      <c r="C482" s="7"/>
      <c r="D482" s="7"/>
      <c r="E482" s="7"/>
      <c r="F482" s="7"/>
      <c r="G482" s="7"/>
      <c r="H482" s="7"/>
      <c r="I482" s="7"/>
      <c r="J482" s="8"/>
      <c r="K482" s="9"/>
    </row>
    <row r="483">
      <c r="A483" s="6"/>
      <c r="B483" s="7"/>
      <c r="C483" s="7"/>
      <c r="D483" s="7"/>
      <c r="E483" s="7"/>
      <c r="F483" s="7"/>
      <c r="G483" s="7"/>
      <c r="H483" s="7"/>
      <c r="I483" s="7"/>
      <c r="J483" s="8"/>
      <c r="K483" s="9"/>
    </row>
    <row r="484">
      <c r="A484" s="6"/>
      <c r="B484" s="7"/>
      <c r="C484" s="7"/>
      <c r="D484" s="7"/>
      <c r="E484" s="7"/>
      <c r="F484" s="7"/>
      <c r="G484" s="7"/>
      <c r="H484" s="7"/>
      <c r="I484" s="7"/>
      <c r="J484" s="8"/>
      <c r="K484" s="9"/>
    </row>
    <row r="485">
      <c r="A485" s="6"/>
      <c r="B485" s="7"/>
      <c r="C485" s="7"/>
      <c r="D485" s="7"/>
      <c r="E485" s="7"/>
      <c r="F485" s="7"/>
      <c r="G485" s="7"/>
      <c r="H485" s="7"/>
      <c r="I485" s="7"/>
      <c r="J485" s="8"/>
      <c r="K485" s="9"/>
    </row>
    <row r="486">
      <c r="A486" s="6"/>
      <c r="B486" s="7"/>
      <c r="C486" s="7"/>
      <c r="D486" s="7"/>
      <c r="E486" s="7"/>
      <c r="F486" s="7"/>
      <c r="G486" s="7"/>
      <c r="H486" s="7"/>
      <c r="I486" s="7"/>
      <c r="J486" s="8"/>
      <c r="K486" s="9"/>
    </row>
    <row r="487">
      <c r="A487" s="6"/>
      <c r="B487" s="7"/>
      <c r="C487" s="7"/>
      <c r="D487" s="7"/>
      <c r="E487" s="7"/>
      <c r="F487" s="7"/>
      <c r="G487" s="7"/>
      <c r="H487" s="7"/>
      <c r="I487" s="7"/>
      <c r="J487" s="8"/>
      <c r="K487" s="9"/>
    </row>
    <row r="488">
      <c r="A488" s="6"/>
      <c r="B488" s="7"/>
      <c r="C488" s="7"/>
      <c r="D488" s="7"/>
      <c r="E488" s="7"/>
      <c r="F488" s="7"/>
      <c r="G488" s="7"/>
      <c r="H488" s="7"/>
      <c r="I488" s="7"/>
      <c r="J488" s="8"/>
      <c r="K488" s="9"/>
    </row>
    <row r="489">
      <c r="A489" s="6"/>
      <c r="B489" s="7"/>
      <c r="C489" s="7"/>
      <c r="D489" s="7"/>
      <c r="E489" s="7"/>
      <c r="F489" s="7"/>
      <c r="G489" s="7"/>
      <c r="H489" s="7"/>
      <c r="I489" s="7"/>
      <c r="J489" s="8"/>
      <c r="K489" s="9"/>
    </row>
    <row r="490">
      <c r="A490" s="6"/>
      <c r="B490" s="7"/>
      <c r="C490" s="7"/>
      <c r="D490" s="7"/>
      <c r="E490" s="7"/>
      <c r="F490" s="7"/>
      <c r="G490" s="7"/>
      <c r="H490" s="7"/>
      <c r="I490" s="7"/>
      <c r="J490" s="8"/>
      <c r="K490" s="9"/>
    </row>
    <row r="491">
      <c r="A491" s="6"/>
      <c r="B491" s="7"/>
      <c r="C491" s="7"/>
      <c r="D491" s="7"/>
      <c r="E491" s="7"/>
      <c r="F491" s="7"/>
      <c r="G491" s="7"/>
      <c r="H491" s="7"/>
      <c r="I491" s="7"/>
      <c r="J491" s="8"/>
      <c r="K491" s="9"/>
    </row>
    <row r="492">
      <c r="A492" s="6"/>
      <c r="B492" s="7"/>
      <c r="C492" s="7"/>
      <c r="D492" s="7"/>
      <c r="E492" s="7"/>
      <c r="F492" s="7"/>
      <c r="G492" s="7"/>
      <c r="H492" s="7"/>
      <c r="I492" s="7"/>
      <c r="J492" s="8"/>
      <c r="K492" s="9"/>
    </row>
    <row r="493">
      <c r="A493" s="6"/>
      <c r="B493" s="7"/>
      <c r="C493" s="7"/>
      <c r="D493" s="7"/>
      <c r="E493" s="7"/>
      <c r="F493" s="7"/>
      <c r="G493" s="7"/>
      <c r="H493" s="7"/>
      <c r="I493" s="7"/>
      <c r="J493" s="8"/>
      <c r="K493" s="9"/>
    </row>
    <row r="494">
      <c r="A494" s="6"/>
      <c r="B494" s="7"/>
      <c r="C494" s="7"/>
      <c r="D494" s="7"/>
      <c r="E494" s="7"/>
      <c r="F494" s="7"/>
      <c r="G494" s="7"/>
      <c r="H494" s="7"/>
      <c r="I494" s="7"/>
      <c r="J494" s="8"/>
      <c r="K494" s="9"/>
    </row>
    <row r="495">
      <c r="A495" s="6"/>
      <c r="B495" s="7"/>
      <c r="C495" s="7"/>
      <c r="D495" s="7"/>
      <c r="E495" s="7"/>
      <c r="F495" s="7"/>
      <c r="G495" s="7"/>
      <c r="H495" s="7"/>
      <c r="I495" s="7"/>
      <c r="J495" s="8"/>
      <c r="K495" s="9"/>
    </row>
    <row r="496">
      <c r="A496" s="6"/>
      <c r="B496" s="7"/>
      <c r="C496" s="7"/>
      <c r="D496" s="7"/>
      <c r="E496" s="7"/>
      <c r="F496" s="7"/>
      <c r="G496" s="7"/>
      <c r="H496" s="7"/>
      <c r="I496" s="7"/>
      <c r="J496" s="8"/>
      <c r="K496" s="9"/>
    </row>
    <row r="497">
      <c r="A497" s="6"/>
      <c r="B497" s="7"/>
      <c r="C497" s="7"/>
      <c r="D497" s="7"/>
      <c r="E497" s="7"/>
      <c r="F497" s="7"/>
      <c r="G497" s="7"/>
      <c r="H497" s="7"/>
      <c r="I497" s="7"/>
      <c r="J497" s="8"/>
      <c r="K497" s="9"/>
    </row>
    <row r="498">
      <c r="A498" s="6"/>
      <c r="B498" s="7"/>
      <c r="C498" s="7"/>
      <c r="D498" s="7"/>
      <c r="E498" s="7"/>
      <c r="F498" s="7"/>
      <c r="G498" s="7"/>
      <c r="H498" s="7"/>
      <c r="I498" s="7"/>
      <c r="J498" s="8"/>
      <c r="K498" s="9"/>
    </row>
    <row r="499">
      <c r="A499" s="6"/>
      <c r="B499" s="7"/>
      <c r="C499" s="7"/>
      <c r="D499" s="7"/>
      <c r="E499" s="7"/>
      <c r="F499" s="7"/>
      <c r="G499" s="7"/>
      <c r="H499" s="7"/>
      <c r="I499" s="7"/>
      <c r="J499" s="8"/>
      <c r="K499" s="9"/>
    </row>
    <row r="500">
      <c r="A500" s="6"/>
      <c r="B500" s="7"/>
      <c r="C500" s="7"/>
      <c r="D500" s="7"/>
      <c r="E500" s="7"/>
      <c r="F500" s="7"/>
      <c r="G500" s="7"/>
      <c r="H500" s="7"/>
      <c r="I500" s="7"/>
      <c r="J500" s="8"/>
      <c r="K500" s="9"/>
    </row>
    <row r="501">
      <c r="A501" s="6"/>
      <c r="B501" s="7"/>
      <c r="C501" s="7"/>
      <c r="D501" s="7"/>
      <c r="E501" s="7"/>
      <c r="F501" s="7"/>
      <c r="G501" s="7"/>
      <c r="H501" s="7"/>
      <c r="I501" s="7"/>
      <c r="J501" s="8"/>
      <c r="K501" s="9"/>
    </row>
    <row r="502">
      <c r="A502" s="6"/>
      <c r="B502" s="7"/>
      <c r="C502" s="7"/>
      <c r="D502" s="7"/>
      <c r="E502" s="7"/>
      <c r="F502" s="7"/>
      <c r="G502" s="7"/>
      <c r="H502" s="7"/>
      <c r="I502" s="7"/>
      <c r="J502" s="8"/>
      <c r="K502" s="9"/>
    </row>
    <row r="503">
      <c r="A503" s="6"/>
      <c r="B503" s="7"/>
      <c r="C503" s="7"/>
      <c r="D503" s="7"/>
      <c r="E503" s="7"/>
      <c r="F503" s="7"/>
      <c r="G503" s="7"/>
      <c r="H503" s="7"/>
      <c r="I503" s="7"/>
      <c r="J503" s="8"/>
      <c r="K503" s="9"/>
    </row>
    <row r="504">
      <c r="A504" s="6"/>
      <c r="B504" s="7"/>
      <c r="C504" s="7"/>
      <c r="D504" s="7"/>
      <c r="E504" s="7"/>
      <c r="F504" s="7"/>
      <c r="G504" s="7"/>
      <c r="H504" s="7"/>
      <c r="I504" s="7"/>
      <c r="J504" s="8"/>
      <c r="K504" s="9"/>
    </row>
    <row r="505">
      <c r="A505" s="6"/>
      <c r="B505" s="7"/>
      <c r="C505" s="7"/>
      <c r="D505" s="7"/>
      <c r="E505" s="7"/>
      <c r="F505" s="7"/>
      <c r="G505" s="7"/>
      <c r="H505" s="7"/>
      <c r="I505" s="7"/>
      <c r="J505" s="8"/>
      <c r="K505" s="9"/>
    </row>
    <row r="506">
      <c r="A506" s="6"/>
      <c r="B506" s="7"/>
      <c r="C506" s="7"/>
      <c r="D506" s="7"/>
      <c r="E506" s="7"/>
      <c r="F506" s="7"/>
      <c r="G506" s="7"/>
      <c r="H506" s="7"/>
      <c r="I506" s="7"/>
      <c r="J506" s="8"/>
      <c r="K506" s="9"/>
    </row>
    <row r="507">
      <c r="A507" s="6"/>
      <c r="B507" s="7"/>
      <c r="C507" s="7"/>
      <c r="D507" s="7"/>
      <c r="E507" s="7"/>
      <c r="F507" s="7"/>
      <c r="G507" s="7"/>
      <c r="H507" s="7"/>
      <c r="I507" s="7"/>
      <c r="J507" s="8"/>
      <c r="K507" s="9"/>
    </row>
    <row r="508">
      <c r="A508" s="6"/>
      <c r="B508" s="7"/>
      <c r="C508" s="7"/>
      <c r="D508" s="7"/>
      <c r="E508" s="7"/>
      <c r="F508" s="7"/>
      <c r="G508" s="7"/>
      <c r="H508" s="7"/>
      <c r="I508" s="7"/>
      <c r="J508" s="8"/>
      <c r="K508" s="9"/>
    </row>
    <row r="509">
      <c r="A509" s="6"/>
      <c r="B509" s="7"/>
      <c r="C509" s="7"/>
      <c r="D509" s="7"/>
      <c r="E509" s="7"/>
      <c r="F509" s="7"/>
      <c r="G509" s="7"/>
      <c r="H509" s="7"/>
      <c r="I509" s="7"/>
      <c r="J509" s="8"/>
      <c r="K509" s="9"/>
    </row>
    <row r="510">
      <c r="A510" s="6"/>
      <c r="B510" s="7"/>
      <c r="C510" s="7"/>
      <c r="D510" s="7"/>
      <c r="E510" s="7"/>
      <c r="F510" s="7"/>
      <c r="G510" s="7"/>
      <c r="H510" s="7"/>
      <c r="I510" s="7"/>
      <c r="J510" s="8"/>
      <c r="K510" s="9"/>
    </row>
    <row r="511">
      <c r="A511" s="6"/>
      <c r="B511" s="7"/>
      <c r="C511" s="7"/>
      <c r="D511" s="7"/>
      <c r="E511" s="7"/>
      <c r="F511" s="7"/>
      <c r="G511" s="7"/>
      <c r="H511" s="7"/>
      <c r="I511" s="7"/>
      <c r="J511" s="8"/>
      <c r="K511" s="9"/>
    </row>
    <row r="512">
      <c r="A512" s="6"/>
      <c r="B512" s="7"/>
      <c r="C512" s="7"/>
      <c r="D512" s="7"/>
      <c r="E512" s="7"/>
      <c r="F512" s="7"/>
      <c r="G512" s="7"/>
      <c r="H512" s="7"/>
      <c r="I512" s="7"/>
      <c r="J512" s="8"/>
      <c r="K512" s="9"/>
    </row>
    <row r="513">
      <c r="A513" s="6"/>
      <c r="B513" s="7"/>
      <c r="C513" s="7"/>
      <c r="D513" s="7"/>
      <c r="E513" s="7"/>
      <c r="F513" s="7"/>
      <c r="G513" s="7"/>
      <c r="H513" s="7"/>
      <c r="I513" s="7"/>
      <c r="J513" s="8"/>
      <c r="K513" s="9"/>
    </row>
    <row r="514">
      <c r="A514" s="6"/>
      <c r="B514" s="7"/>
      <c r="C514" s="7"/>
      <c r="D514" s="7"/>
      <c r="E514" s="7"/>
      <c r="F514" s="7"/>
      <c r="G514" s="7"/>
      <c r="H514" s="7"/>
      <c r="I514" s="7"/>
      <c r="J514" s="8"/>
      <c r="K514" s="9"/>
    </row>
    <row r="515">
      <c r="A515" s="6"/>
      <c r="B515" s="7"/>
      <c r="C515" s="7"/>
      <c r="D515" s="7"/>
      <c r="E515" s="7"/>
      <c r="F515" s="7"/>
      <c r="G515" s="7"/>
      <c r="H515" s="7"/>
      <c r="I515" s="7"/>
      <c r="J515" s="8"/>
      <c r="K515" s="9"/>
    </row>
    <row r="516">
      <c r="A516" s="6"/>
      <c r="B516" s="7"/>
      <c r="C516" s="7"/>
      <c r="D516" s="7"/>
      <c r="E516" s="7"/>
      <c r="F516" s="7"/>
      <c r="G516" s="7"/>
      <c r="H516" s="7"/>
      <c r="I516" s="7"/>
      <c r="J516" s="8"/>
      <c r="K516" s="9"/>
    </row>
    <row r="517">
      <c r="A517" s="6"/>
      <c r="B517" s="7"/>
      <c r="C517" s="7"/>
      <c r="D517" s="7"/>
      <c r="E517" s="7"/>
      <c r="F517" s="7"/>
      <c r="G517" s="7"/>
      <c r="H517" s="7"/>
      <c r="I517" s="7"/>
      <c r="J517" s="8"/>
      <c r="K517" s="9"/>
    </row>
    <row r="518">
      <c r="A518" s="6"/>
      <c r="B518" s="7"/>
      <c r="C518" s="7"/>
      <c r="D518" s="7"/>
      <c r="E518" s="7"/>
      <c r="F518" s="7"/>
      <c r="G518" s="7"/>
      <c r="H518" s="7"/>
      <c r="I518" s="7"/>
      <c r="J518" s="8"/>
      <c r="K518" s="9"/>
    </row>
    <row r="519">
      <c r="A519" s="6"/>
      <c r="B519" s="7"/>
      <c r="C519" s="7"/>
      <c r="D519" s="7"/>
      <c r="E519" s="7"/>
      <c r="F519" s="7"/>
      <c r="G519" s="7"/>
      <c r="H519" s="7"/>
      <c r="I519" s="7"/>
      <c r="J519" s="8"/>
      <c r="K519" s="9"/>
    </row>
    <row r="520">
      <c r="A520" s="6"/>
      <c r="B520" s="7"/>
      <c r="C520" s="7"/>
      <c r="D520" s="7"/>
      <c r="E520" s="7"/>
      <c r="F520" s="7"/>
      <c r="G520" s="7"/>
      <c r="H520" s="7"/>
      <c r="I520" s="7"/>
      <c r="J520" s="8"/>
      <c r="K520" s="9"/>
    </row>
    <row r="521">
      <c r="A521" s="6"/>
      <c r="B521" s="7"/>
      <c r="C521" s="7"/>
      <c r="D521" s="7"/>
      <c r="E521" s="7"/>
      <c r="F521" s="7"/>
      <c r="G521" s="7"/>
      <c r="H521" s="7"/>
      <c r="I521" s="7"/>
      <c r="J521" s="8"/>
      <c r="K521" s="9"/>
    </row>
    <row r="522">
      <c r="A522" s="6"/>
      <c r="B522" s="7"/>
      <c r="C522" s="7"/>
      <c r="D522" s="7"/>
      <c r="E522" s="7"/>
      <c r="F522" s="7"/>
      <c r="G522" s="7"/>
      <c r="H522" s="7"/>
      <c r="I522" s="7"/>
      <c r="J522" s="8"/>
      <c r="K522" s="9"/>
    </row>
    <row r="523">
      <c r="A523" s="6"/>
      <c r="B523" s="7"/>
      <c r="C523" s="7"/>
      <c r="D523" s="7"/>
      <c r="E523" s="7"/>
      <c r="F523" s="7"/>
      <c r="G523" s="7"/>
      <c r="H523" s="7"/>
      <c r="I523" s="7"/>
      <c r="J523" s="8"/>
      <c r="K523" s="9"/>
    </row>
    <row r="524">
      <c r="A524" s="6"/>
      <c r="B524" s="7"/>
      <c r="C524" s="7"/>
      <c r="D524" s="7"/>
      <c r="E524" s="7"/>
      <c r="F524" s="7"/>
      <c r="G524" s="7"/>
      <c r="H524" s="7"/>
      <c r="I524" s="7"/>
      <c r="J524" s="8"/>
      <c r="K524" s="9"/>
    </row>
    <row r="525">
      <c r="A525" s="6"/>
      <c r="B525" s="7"/>
      <c r="C525" s="7"/>
      <c r="D525" s="7"/>
      <c r="E525" s="7"/>
      <c r="F525" s="7"/>
      <c r="G525" s="7"/>
      <c r="H525" s="7"/>
      <c r="I525" s="7"/>
      <c r="J525" s="8"/>
      <c r="K525" s="9"/>
    </row>
    <row r="526">
      <c r="A526" s="6"/>
      <c r="B526" s="7"/>
      <c r="C526" s="7"/>
      <c r="D526" s="7"/>
      <c r="E526" s="7"/>
      <c r="F526" s="7"/>
      <c r="G526" s="7"/>
      <c r="H526" s="7"/>
      <c r="I526" s="7"/>
      <c r="J526" s="8"/>
      <c r="K526" s="9"/>
    </row>
    <row r="527">
      <c r="A527" s="6"/>
      <c r="B527" s="7"/>
      <c r="C527" s="7"/>
      <c r="D527" s="7"/>
      <c r="E527" s="7"/>
      <c r="F527" s="7"/>
      <c r="G527" s="7"/>
      <c r="H527" s="7"/>
      <c r="I527" s="7"/>
      <c r="J527" s="8"/>
      <c r="K527" s="9"/>
    </row>
    <row r="528">
      <c r="A528" s="6"/>
      <c r="B528" s="7"/>
      <c r="C528" s="7"/>
      <c r="D528" s="7"/>
      <c r="E528" s="7"/>
      <c r="F528" s="7"/>
      <c r="G528" s="7"/>
      <c r="H528" s="7"/>
      <c r="I528" s="7"/>
      <c r="J528" s="8"/>
      <c r="K528" s="9"/>
    </row>
    <row r="529">
      <c r="A529" s="6"/>
      <c r="B529" s="7"/>
      <c r="C529" s="7"/>
      <c r="D529" s="7"/>
      <c r="E529" s="7"/>
      <c r="F529" s="7"/>
      <c r="G529" s="7"/>
      <c r="H529" s="7"/>
      <c r="I529" s="7"/>
      <c r="J529" s="8"/>
      <c r="K529" s="9"/>
    </row>
    <row r="530">
      <c r="A530" s="6"/>
      <c r="B530" s="7"/>
      <c r="C530" s="7"/>
      <c r="D530" s="7"/>
      <c r="E530" s="7"/>
      <c r="F530" s="7"/>
      <c r="G530" s="7"/>
      <c r="H530" s="7"/>
      <c r="I530" s="7"/>
      <c r="J530" s="8"/>
      <c r="K530" s="9"/>
    </row>
    <row r="531">
      <c r="A531" s="6"/>
      <c r="B531" s="7"/>
      <c r="C531" s="7"/>
      <c r="D531" s="7"/>
      <c r="E531" s="7"/>
      <c r="F531" s="7"/>
      <c r="G531" s="7"/>
      <c r="H531" s="7"/>
      <c r="I531" s="7"/>
      <c r="J531" s="8"/>
      <c r="K531" s="9"/>
    </row>
    <row r="532">
      <c r="A532" s="6"/>
      <c r="B532" s="7"/>
      <c r="C532" s="7"/>
      <c r="D532" s="7"/>
      <c r="E532" s="7"/>
      <c r="F532" s="7"/>
      <c r="G532" s="7"/>
      <c r="H532" s="7"/>
      <c r="I532" s="7"/>
      <c r="J532" s="8"/>
      <c r="K532" s="9"/>
    </row>
    <row r="533">
      <c r="A533" s="6"/>
      <c r="B533" s="7"/>
      <c r="C533" s="7"/>
      <c r="D533" s="7"/>
      <c r="E533" s="7"/>
      <c r="F533" s="7"/>
      <c r="G533" s="7"/>
      <c r="H533" s="7"/>
      <c r="I533" s="7"/>
      <c r="J533" s="8"/>
      <c r="K533" s="9"/>
    </row>
    <row r="534">
      <c r="A534" s="6"/>
      <c r="B534" s="7"/>
      <c r="C534" s="7"/>
      <c r="D534" s="7"/>
      <c r="E534" s="7"/>
      <c r="F534" s="7"/>
      <c r="G534" s="7"/>
      <c r="H534" s="7"/>
      <c r="I534" s="7"/>
      <c r="J534" s="8"/>
      <c r="K534" s="9"/>
    </row>
    <row r="535">
      <c r="A535" s="6"/>
      <c r="B535" s="7"/>
      <c r="C535" s="7"/>
      <c r="D535" s="7"/>
      <c r="E535" s="7"/>
      <c r="F535" s="7"/>
      <c r="G535" s="7"/>
      <c r="H535" s="7"/>
      <c r="I535" s="7"/>
      <c r="J535" s="8"/>
      <c r="K535" s="9"/>
    </row>
    <row r="536">
      <c r="A536" s="6"/>
      <c r="B536" s="7"/>
      <c r="C536" s="7"/>
      <c r="D536" s="7"/>
      <c r="E536" s="7"/>
      <c r="F536" s="7"/>
      <c r="G536" s="7"/>
      <c r="H536" s="7"/>
      <c r="I536" s="7"/>
      <c r="J536" s="8"/>
      <c r="K536" s="9"/>
    </row>
    <row r="537">
      <c r="A537" s="6"/>
      <c r="B537" s="7"/>
      <c r="C537" s="7"/>
      <c r="D537" s="7"/>
      <c r="E537" s="7"/>
      <c r="F537" s="7"/>
      <c r="G537" s="7"/>
      <c r="H537" s="7"/>
      <c r="I537" s="7"/>
      <c r="J537" s="8"/>
      <c r="K537" s="9"/>
    </row>
    <row r="538">
      <c r="A538" s="6"/>
      <c r="B538" s="7"/>
      <c r="C538" s="7"/>
      <c r="D538" s="7"/>
      <c r="E538" s="7"/>
      <c r="F538" s="7"/>
      <c r="G538" s="7"/>
      <c r="H538" s="7"/>
      <c r="I538" s="7"/>
      <c r="J538" s="8"/>
      <c r="K538" s="9"/>
    </row>
    <row r="539">
      <c r="A539" s="6"/>
      <c r="B539" s="7"/>
      <c r="C539" s="7"/>
      <c r="D539" s="7"/>
      <c r="E539" s="7"/>
      <c r="F539" s="7"/>
      <c r="G539" s="7"/>
      <c r="H539" s="7"/>
      <c r="I539" s="7"/>
      <c r="J539" s="8"/>
      <c r="K539" s="9"/>
    </row>
    <row r="540">
      <c r="A540" s="6"/>
      <c r="B540" s="7"/>
      <c r="C540" s="7"/>
      <c r="D540" s="7"/>
      <c r="E540" s="7"/>
      <c r="F540" s="7"/>
      <c r="G540" s="7"/>
      <c r="H540" s="7"/>
      <c r="I540" s="7"/>
      <c r="J540" s="8"/>
      <c r="K540" s="9"/>
    </row>
    <row r="541">
      <c r="A541" s="6"/>
      <c r="B541" s="7"/>
      <c r="C541" s="7"/>
      <c r="D541" s="7"/>
      <c r="E541" s="7"/>
      <c r="F541" s="7"/>
      <c r="G541" s="7"/>
      <c r="H541" s="7"/>
      <c r="I541" s="7"/>
      <c r="J541" s="8"/>
      <c r="K541" s="9"/>
    </row>
    <row r="542">
      <c r="A542" s="6"/>
      <c r="B542" s="7"/>
      <c r="C542" s="7"/>
      <c r="D542" s="7"/>
      <c r="E542" s="7"/>
      <c r="F542" s="7"/>
      <c r="G542" s="7"/>
      <c r="H542" s="7"/>
      <c r="I542" s="7"/>
      <c r="J542" s="8"/>
      <c r="K542" s="9"/>
    </row>
    <row r="543">
      <c r="A543" s="6"/>
      <c r="B543" s="7"/>
      <c r="C543" s="7"/>
      <c r="D543" s="7"/>
      <c r="E543" s="7"/>
      <c r="F543" s="7"/>
      <c r="G543" s="7"/>
      <c r="H543" s="7"/>
      <c r="I543" s="7"/>
      <c r="J543" s="8"/>
      <c r="K543" s="9"/>
    </row>
    <row r="544">
      <c r="A544" s="6"/>
      <c r="B544" s="7"/>
      <c r="C544" s="7"/>
      <c r="D544" s="7"/>
      <c r="E544" s="7"/>
      <c r="F544" s="7"/>
      <c r="G544" s="7"/>
      <c r="H544" s="7"/>
      <c r="I544" s="7"/>
      <c r="J544" s="8"/>
      <c r="K544" s="9"/>
    </row>
    <row r="545">
      <c r="A545" s="6"/>
      <c r="B545" s="7"/>
      <c r="C545" s="7"/>
      <c r="D545" s="7"/>
      <c r="E545" s="7"/>
      <c r="F545" s="7"/>
      <c r="G545" s="7"/>
      <c r="H545" s="7"/>
      <c r="I545" s="7"/>
      <c r="J545" s="8"/>
      <c r="K545" s="9"/>
    </row>
    <row r="546">
      <c r="A546" s="6"/>
      <c r="B546" s="7"/>
      <c r="C546" s="7"/>
      <c r="D546" s="7"/>
      <c r="E546" s="7"/>
      <c r="F546" s="7"/>
      <c r="G546" s="7"/>
      <c r="H546" s="7"/>
      <c r="I546" s="7"/>
      <c r="J546" s="8"/>
      <c r="K546" s="9"/>
    </row>
    <row r="547">
      <c r="A547" s="6"/>
      <c r="B547" s="7"/>
      <c r="C547" s="7"/>
      <c r="D547" s="7"/>
      <c r="E547" s="7"/>
      <c r="F547" s="7"/>
      <c r="G547" s="7"/>
      <c r="H547" s="7"/>
      <c r="I547" s="7"/>
      <c r="J547" s="8"/>
      <c r="K547" s="9"/>
    </row>
    <row r="548">
      <c r="A548" s="6"/>
      <c r="B548" s="7"/>
      <c r="C548" s="7"/>
      <c r="D548" s="7"/>
      <c r="E548" s="7"/>
      <c r="F548" s="7"/>
      <c r="G548" s="7"/>
      <c r="H548" s="7"/>
      <c r="I548" s="7"/>
      <c r="J548" s="8"/>
      <c r="K548" s="9"/>
    </row>
    <row r="549">
      <c r="A549" s="6"/>
      <c r="B549" s="7"/>
      <c r="C549" s="7"/>
      <c r="D549" s="7"/>
      <c r="E549" s="7"/>
      <c r="F549" s="7"/>
      <c r="G549" s="7"/>
      <c r="H549" s="7"/>
      <c r="I549" s="7"/>
      <c r="J549" s="8"/>
      <c r="K549" s="9"/>
    </row>
    <row r="550">
      <c r="A550" s="6"/>
      <c r="B550" s="7"/>
      <c r="C550" s="7"/>
      <c r="D550" s="7"/>
      <c r="E550" s="7"/>
      <c r="F550" s="7"/>
      <c r="G550" s="7"/>
      <c r="H550" s="7"/>
      <c r="I550" s="7"/>
      <c r="J550" s="8"/>
      <c r="K550" s="9"/>
    </row>
    <row r="551">
      <c r="A551" s="6"/>
      <c r="B551" s="7"/>
      <c r="C551" s="7"/>
      <c r="D551" s="7"/>
      <c r="E551" s="7"/>
      <c r="F551" s="7"/>
      <c r="G551" s="7"/>
      <c r="H551" s="7"/>
      <c r="I551" s="7"/>
      <c r="J551" s="8"/>
      <c r="K551" s="9"/>
    </row>
    <row r="552">
      <c r="A552" s="6"/>
      <c r="B552" s="7"/>
      <c r="C552" s="7"/>
      <c r="D552" s="7"/>
      <c r="E552" s="7"/>
      <c r="F552" s="7"/>
      <c r="G552" s="7"/>
      <c r="H552" s="7"/>
      <c r="I552" s="7"/>
      <c r="J552" s="8"/>
      <c r="K552" s="9"/>
    </row>
    <row r="553">
      <c r="A553" s="6"/>
      <c r="B553" s="7"/>
      <c r="C553" s="7"/>
      <c r="D553" s="7"/>
      <c r="E553" s="7"/>
      <c r="F553" s="7"/>
      <c r="G553" s="7"/>
      <c r="H553" s="7"/>
      <c r="I553" s="7"/>
      <c r="J553" s="8"/>
      <c r="K553" s="9"/>
    </row>
    <row r="554">
      <c r="A554" s="6"/>
      <c r="B554" s="7"/>
      <c r="C554" s="7"/>
      <c r="D554" s="7"/>
      <c r="E554" s="7"/>
      <c r="F554" s="7"/>
      <c r="G554" s="7"/>
      <c r="H554" s="7"/>
      <c r="I554" s="7"/>
      <c r="J554" s="8"/>
      <c r="K554" s="9"/>
    </row>
    <row r="555">
      <c r="A555" s="6"/>
      <c r="B555" s="7"/>
      <c r="C555" s="7"/>
      <c r="D555" s="7"/>
      <c r="E555" s="7"/>
      <c r="F555" s="7"/>
      <c r="G555" s="7"/>
      <c r="H555" s="7"/>
      <c r="I555" s="7"/>
      <c r="J555" s="8"/>
      <c r="K555" s="9"/>
    </row>
    <row r="556">
      <c r="A556" s="6"/>
      <c r="B556" s="7"/>
      <c r="C556" s="7"/>
      <c r="D556" s="7"/>
      <c r="E556" s="7"/>
      <c r="F556" s="7"/>
      <c r="G556" s="7"/>
      <c r="H556" s="7"/>
      <c r="I556" s="7"/>
      <c r="J556" s="8"/>
      <c r="K556" s="9"/>
    </row>
    <row r="557">
      <c r="A557" s="6"/>
      <c r="B557" s="7"/>
      <c r="C557" s="7"/>
      <c r="D557" s="7"/>
      <c r="E557" s="7"/>
      <c r="F557" s="7"/>
      <c r="G557" s="7"/>
      <c r="H557" s="7"/>
      <c r="I557" s="7"/>
      <c r="J557" s="8"/>
      <c r="K557" s="9"/>
    </row>
    <row r="558">
      <c r="A558" s="6"/>
      <c r="B558" s="7"/>
      <c r="C558" s="7"/>
      <c r="D558" s="7"/>
      <c r="E558" s="7"/>
      <c r="F558" s="7"/>
      <c r="G558" s="7"/>
      <c r="H558" s="7"/>
      <c r="I558" s="7"/>
      <c r="J558" s="8"/>
      <c r="K558" s="9"/>
    </row>
    <row r="559">
      <c r="A559" s="6"/>
      <c r="B559" s="7"/>
      <c r="C559" s="7"/>
      <c r="D559" s="7"/>
      <c r="E559" s="7"/>
      <c r="F559" s="7"/>
      <c r="G559" s="7"/>
      <c r="H559" s="7"/>
      <c r="I559" s="7"/>
      <c r="J559" s="8"/>
      <c r="K559" s="9"/>
    </row>
    <row r="560">
      <c r="A560" s="6"/>
      <c r="B560" s="7"/>
      <c r="C560" s="7"/>
      <c r="D560" s="7"/>
      <c r="E560" s="7"/>
      <c r="F560" s="7"/>
      <c r="G560" s="7"/>
      <c r="H560" s="7"/>
      <c r="I560" s="7"/>
      <c r="J560" s="8"/>
      <c r="K560" s="9"/>
    </row>
    <row r="561">
      <c r="A561" s="6"/>
      <c r="B561" s="7"/>
      <c r="C561" s="7"/>
      <c r="D561" s="7"/>
      <c r="E561" s="7"/>
      <c r="F561" s="7"/>
      <c r="G561" s="7"/>
      <c r="H561" s="7"/>
      <c r="I561" s="7"/>
      <c r="J561" s="8"/>
      <c r="K561" s="9"/>
    </row>
    <row r="562">
      <c r="A562" s="6"/>
      <c r="B562" s="7"/>
      <c r="C562" s="7"/>
      <c r="D562" s="7"/>
      <c r="E562" s="7"/>
      <c r="F562" s="7"/>
      <c r="G562" s="7"/>
      <c r="H562" s="7"/>
      <c r="I562" s="7"/>
      <c r="J562" s="8"/>
      <c r="K562" s="9"/>
    </row>
    <row r="563">
      <c r="A563" s="6"/>
      <c r="B563" s="7"/>
      <c r="C563" s="7"/>
      <c r="D563" s="7"/>
      <c r="E563" s="7"/>
      <c r="F563" s="7"/>
      <c r="G563" s="7"/>
      <c r="H563" s="7"/>
      <c r="I563" s="7"/>
      <c r="J563" s="8"/>
      <c r="K563" s="9"/>
    </row>
    <row r="564">
      <c r="A564" s="6"/>
      <c r="B564" s="7"/>
      <c r="C564" s="7"/>
      <c r="D564" s="7"/>
      <c r="E564" s="7"/>
      <c r="F564" s="7"/>
      <c r="G564" s="7"/>
      <c r="H564" s="7"/>
      <c r="I564" s="7"/>
      <c r="J564" s="8"/>
      <c r="K564" s="9"/>
    </row>
    <row r="565">
      <c r="A565" s="6"/>
      <c r="B565" s="7"/>
      <c r="C565" s="7"/>
      <c r="D565" s="7"/>
      <c r="E565" s="7"/>
      <c r="F565" s="7"/>
      <c r="G565" s="7"/>
      <c r="H565" s="7"/>
      <c r="I565" s="7"/>
      <c r="J565" s="8"/>
      <c r="K565" s="9"/>
    </row>
    <row r="566">
      <c r="A566" s="6"/>
      <c r="B566" s="7"/>
      <c r="C566" s="7"/>
      <c r="D566" s="7"/>
      <c r="E566" s="7"/>
      <c r="F566" s="7"/>
      <c r="G566" s="7"/>
      <c r="H566" s="7"/>
      <c r="I566" s="7"/>
      <c r="J566" s="8"/>
      <c r="K566" s="9"/>
    </row>
    <row r="567">
      <c r="A567" s="6"/>
      <c r="B567" s="7"/>
      <c r="C567" s="7"/>
      <c r="D567" s="7"/>
      <c r="E567" s="7"/>
      <c r="F567" s="7"/>
      <c r="G567" s="7"/>
      <c r="H567" s="7"/>
      <c r="I567" s="7"/>
      <c r="J567" s="8"/>
      <c r="K567" s="9"/>
    </row>
    <row r="568">
      <c r="A568" s="6"/>
      <c r="B568" s="7"/>
      <c r="C568" s="7"/>
      <c r="D568" s="7"/>
      <c r="E568" s="7"/>
      <c r="F568" s="7"/>
      <c r="G568" s="7"/>
      <c r="H568" s="7"/>
      <c r="I568" s="7"/>
      <c r="J568" s="8"/>
      <c r="K568" s="9"/>
    </row>
    <row r="569">
      <c r="A569" s="6"/>
      <c r="B569" s="7"/>
      <c r="C569" s="7"/>
      <c r="D569" s="7"/>
      <c r="E569" s="7"/>
      <c r="F569" s="7"/>
      <c r="G569" s="7"/>
      <c r="H569" s="7"/>
      <c r="I569" s="7"/>
      <c r="J569" s="8"/>
      <c r="K569" s="9"/>
    </row>
    <row r="570">
      <c r="A570" s="6"/>
      <c r="B570" s="7"/>
      <c r="C570" s="7"/>
      <c r="D570" s="7"/>
      <c r="E570" s="7"/>
      <c r="F570" s="7"/>
      <c r="G570" s="7"/>
      <c r="H570" s="7"/>
      <c r="I570" s="7"/>
      <c r="J570" s="8"/>
      <c r="K570" s="9"/>
    </row>
    <row r="571">
      <c r="A571" s="6"/>
      <c r="B571" s="7"/>
      <c r="C571" s="7"/>
      <c r="D571" s="7"/>
      <c r="E571" s="7"/>
      <c r="F571" s="7"/>
      <c r="G571" s="7"/>
      <c r="H571" s="7"/>
      <c r="I571" s="7"/>
      <c r="J571" s="8"/>
      <c r="K571" s="9"/>
    </row>
    <row r="572">
      <c r="A572" s="6"/>
      <c r="B572" s="7"/>
      <c r="C572" s="7"/>
      <c r="D572" s="7"/>
      <c r="E572" s="7"/>
      <c r="F572" s="7"/>
      <c r="G572" s="7"/>
      <c r="H572" s="7"/>
      <c r="I572" s="7"/>
      <c r="J572" s="8"/>
      <c r="K572" s="9"/>
    </row>
    <row r="573">
      <c r="A573" s="6"/>
      <c r="B573" s="7"/>
      <c r="C573" s="7"/>
      <c r="D573" s="7"/>
      <c r="E573" s="7"/>
      <c r="F573" s="7"/>
      <c r="G573" s="7"/>
      <c r="H573" s="7"/>
      <c r="I573" s="7"/>
      <c r="J573" s="8"/>
      <c r="K573" s="9"/>
    </row>
    <row r="574">
      <c r="A574" s="6"/>
      <c r="B574" s="7"/>
      <c r="C574" s="7"/>
      <c r="D574" s="7"/>
      <c r="E574" s="7"/>
      <c r="F574" s="7"/>
      <c r="G574" s="7"/>
      <c r="H574" s="7"/>
      <c r="I574" s="7"/>
      <c r="J574" s="8"/>
      <c r="K574" s="9"/>
    </row>
    <row r="575">
      <c r="A575" s="6"/>
      <c r="B575" s="7"/>
      <c r="C575" s="7"/>
      <c r="D575" s="7"/>
      <c r="E575" s="7"/>
      <c r="F575" s="7"/>
      <c r="G575" s="7"/>
      <c r="H575" s="7"/>
      <c r="I575" s="7"/>
      <c r="J575" s="8"/>
      <c r="K575" s="9"/>
    </row>
    <row r="576">
      <c r="A576" s="6"/>
      <c r="B576" s="7"/>
      <c r="C576" s="7"/>
      <c r="D576" s="7"/>
      <c r="E576" s="7"/>
      <c r="F576" s="7"/>
      <c r="G576" s="7"/>
      <c r="H576" s="7"/>
      <c r="I576" s="7"/>
      <c r="J576" s="8"/>
      <c r="K576" s="9"/>
    </row>
    <row r="577">
      <c r="A577" s="6"/>
      <c r="B577" s="7"/>
      <c r="C577" s="7"/>
      <c r="D577" s="7"/>
      <c r="E577" s="7"/>
      <c r="F577" s="7"/>
      <c r="G577" s="7"/>
      <c r="H577" s="7"/>
      <c r="I577" s="7"/>
      <c r="J577" s="8"/>
      <c r="K577" s="9"/>
    </row>
    <row r="578">
      <c r="A578" s="6"/>
      <c r="B578" s="7"/>
      <c r="C578" s="7"/>
      <c r="D578" s="7"/>
      <c r="E578" s="7"/>
      <c r="F578" s="7"/>
      <c r="G578" s="7"/>
      <c r="H578" s="7"/>
      <c r="I578" s="7"/>
      <c r="J578" s="8"/>
      <c r="K578" s="9"/>
    </row>
    <row r="579">
      <c r="A579" s="6"/>
      <c r="B579" s="7"/>
      <c r="C579" s="7"/>
      <c r="D579" s="7"/>
      <c r="E579" s="7"/>
      <c r="F579" s="7"/>
      <c r="G579" s="7"/>
      <c r="H579" s="7"/>
      <c r="I579" s="7"/>
      <c r="J579" s="8"/>
      <c r="K579" s="9"/>
    </row>
    <row r="580">
      <c r="A580" s="6"/>
      <c r="B580" s="7"/>
      <c r="C580" s="7"/>
      <c r="D580" s="7"/>
      <c r="E580" s="7"/>
      <c r="F580" s="7"/>
      <c r="G580" s="7"/>
      <c r="H580" s="7"/>
      <c r="I580" s="7"/>
      <c r="J580" s="8"/>
      <c r="K580" s="9"/>
    </row>
    <row r="581">
      <c r="A581" s="6"/>
      <c r="B581" s="7"/>
      <c r="C581" s="7"/>
      <c r="D581" s="7"/>
      <c r="E581" s="7"/>
      <c r="F581" s="7"/>
      <c r="G581" s="7"/>
      <c r="H581" s="7"/>
      <c r="I581" s="7"/>
      <c r="J581" s="8"/>
      <c r="K581" s="9"/>
    </row>
    <row r="582">
      <c r="A582" s="6"/>
      <c r="B582" s="7"/>
      <c r="C582" s="7"/>
      <c r="D582" s="7"/>
      <c r="E582" s="7"/>
      <c r="F582" s="7"/>
      <c r="G582" s="7"/>
      <c r="H582" s="7"/>
      <c r="I582" s="7"/>
      <c r="J582" s="8"/>
      <c r="K582" s="9"/>
    </row>
    <row r="583">
      <c r="A583" s="6"/>
      <c r="B583" s="7"/>
      <c r="C583" s="7"/>
      <c r="D583" s="7"/>
      <c r="E583" s="7"/>
      <c r="F583" s="7"/>
      <c r="G583" s="7"/>
      <c r="H583" s="7"/>
      <c r="I583" s="7"/>
      <c r="J583" s="8"/>
      <c r="K583" s="9"/>
    </row>
    <row r="584">
      <c r="A584" s="6"/>
      <c r="B584" s="7"/>
      <c r="C584" s="7"/>
      <c r="D584" s="7"/>
      <c r="E584" s="7"/>
      <c r="F584" s="7"/>
      <c r="G584" s="7"/>
      <c r="H584" s="7"/>
      <c r="I584" s="7"/>
      <c r="J584" s="8"/>
      <c r="K584" s="9"/>
    </row>
    <row r="585">
      <c r="A585" s="6"/>
      <c r="B585" s="7"/>
      <c r="C585" s="7"/>
      <c r="D585" s="7"/>
      <c r="E585" s="7"/>
      <c r="F585" s="7"/>
      <c r="G585" s="7"/>
      <c r="H585" s="7"/>
      <c r="I585" s="7"/>
      <c r="J585" s="8"/>
      <c r="K585" s="9"/>
    </row>
    <row r="586">
      <c r="A586" s="6"/>
      <c r="B586" s="7"/>
      <c r="C586" s="7"/>
      <c r="D586" s="7"/>
      <c r="E586" s="7"/>
      <c r="F586" s="7"/>
      <c r="G586" s="7"/>
      <c r="H586" s="7"/>
      <c r="I586" s="7"/>
      <c r="J586" s="8"/>
      <c r="K586" s="9"/>
    </row>
    <row r="587">
      <c r="A587" s="6"/>
      <c r="B587" s="7"/>
      <c r="C587" s="7"/>
      <c r="D587" s="7"/>
      <c r="E587" s="7"/>
      <c r="F587" s="7"/>
      <c r="G587" s="7"/>
      <c r="H587" s="7"/>
      <c r="I587" s="7"/>
      <c r="J587" s="8"/>
      <c r="K587" s="9"/>
    </row>
    <row r="588">
      <c r="A588" s="6"/>
      <c r="B588" s="7"/>
      <c r="C588" s="7"/>
      <c r="D588" s="7"/>
      <c r="E588" s="7"/>
      <c r="F588" s="7"/>
      <c r="G588" s="7"/>
      <c r="H588" s="7"/>
      <c r="I588" s="7"/>
      <c r="J588" s="8"/>
      <c r="K588" s="9"/>
    </row>
    <row r="589">
      <c r="A589" s="6"/>
      <c r="B589" s="7"/>
      <c r="C589" s="7"/>
      <c r="D589" s="7"/>
      <c r="E589" s="7"/>
      <c r="F589" s="7"/>
      <c r="G589" s="7"/>
      <c r="H589" s="7"/>
      <c r="I589" s="7"/>
      <c r="J589" s="8"/>
      <c r="K589" s="9"/>
    </row>
    <row r="590">
      <c r="A590" s="6"/>
      <c r="B590" s="7"/>
      <c r="C590" s="7"/>
      <c r="D590" s="7"/>
      <c r="E590" s="7"/>
      <c r="F590" s="7"/>
      <c r="G590" s="7"/>
      <c r="H590" s="7"/>
      <c r="I590" s="7"/>
      <c r="J590" s="8"/>
      <c r="K590" s="9"/>
    </row>
    <row r="591">
      <c r="A591" s="6"/>
      <c r="B591" s="7"/>
      <c r="C591" s="7"/>
      <c r="D591" s="7"/>
      <c r="E591" s="7"/>
      <c r="F591" s="7"/>
      <c r="G591" s="7"/>
      <c r="H591" s="7"/>
      <c r="I591" s="7"/>
      <c r="J591" s="8"/>
      <c r="K591" s="9"/>
    </row>
    <row r="592">
      <c r="A592" s="6"/>
      <c r="B592" s="7"/>
      <c r="C592" s="7"/>
      <c r="D592" s="7"/>
      <c r="E592" s="7"/>
      <c r="F592" s="7"/>
      <c r="G592" s="7"/>
      <c r="H592" s="7"/>
      <c r="I592" s="7"/>
      <c r="J592" s="8"/>
      <c r="K592" s="9"/>
    </row>
    <row r="593">
      <c r="A593" s="6"/>
      <c r="B593" s="7"/>
      <c r="C593" s="7"/>
      <c r="D593" s="7"/>
      <c r="E593" s="7"/>
      <c r="F593" s="7"/>
      <c r="G593" s="7"/>
      <c r="H593" s="7"/>
      <c r="I593" s="7"/>
      <c r="J593" s="8"/>
      <c r="K593" s="9"/>
    </row>
    <row r="594">
      <c r="A594" s="6"/>
      <c r="B594" s="7"/>
      <c r="C594" s="7"/>
      <c r="D594" s="7"/>
      <c r="E594" s="7"/>
      <c r="F594" s="7"/>
      <c r="G594" s="7"/>
      <c r="H594" s="7"/>
      <c r="I594" s="7"/>
      <c r="J594" s="8"/>
      <c r="K594" s="9"/>
    </row>
    <row r="595">
      <c r="A595" s="6"/>
      <c r="B595" s="7"/>
      <c r="C595" s="7"/>
      <c r="D595" s="7"/>
      <c r="E595" s="7"/>
      <c r="F595" s="7"/>
      <c r="G595" s="7"/>
      <c r="H595" s="7"/>
      <c r="I595" s="7"/>
      <c r="J595" s="8"/>
      <c r="K595" s="9"/>
    </row>
    <row r="596">
      <c r="A596" s="6"/>
      <c r="B596" s="7"/>
      <c r="C596" s="7"/>
      <c r="D596" s="7"/>
      <c r="E596" s="7"/>
      <c r="F596" s="7"/>
      <c r="G596" s="7"/>
      <c r="H596" s="7"/>
      <c r="I596" s="7"/>
      <c r="J596" s="8"/>
      <c r="K596" s="9"/>
    </row>
    <row r="597">
      <c r="A597" s="6"/>
      <c r="B597" s="7"/>
      <c r="C597" s="7"/>
      <c r="D597" s="7"/>
      <c r="E597" s="7"/>
      <c r="F597" s="7"/>
      <c r="G597" s="7"/>
      <c r="H597" s="7"/>
      <c r="I597" s="7"/>
      <c r="J597" s="8"/>
      <c r="K597" s="9"/>
    </row>
    <row r="598">
      <c r="A598" s="6"/>
      <c r="B598" s="7"/>
      <c r="C598" s="7"/>
      <c r="D598" s="7"/>
      <c r="E598" s="7"/>
      <c r="F598" s="7"/>
      <c r="G598" s="7"/>
      <c r="H598" s="7"/>
      <c r="I598" s="7"/>
      <c r="J598" s="8"/>
      <c r="K598" s="9"/>
    </row>
    <row r="599">
      <c r="A599" s="6"/>
      <c r="B599" s="7"/>
      <c r="C599" s="7"/>
      <c r="D599" s="7"/>
      <c r="E599" s="7"/>
      <c r="F599" s="7"/>
      <c r="G599" s="7"/>
      <c r="H599" s="7"/>
      <c r="I599" s="7"/>
      <c r="J599" s="8"/>
      <c r="K599" s="9"/>
    </row>
    <row r="600">
      <c r="A600" s="6"/>
      <c r="B600" s="7"/>
      <c r="C600" s="7"/>
      <c r="D600" s="7"/>
      <c r="E600" s="7"/>
      <c r="F600" s="7"/>
      <c r="G600" s="7"/>
      <c r="H600" s="7"/>
      <c r="I600" s="7"/>
      <c r="J600" s="8"/>
      <c r="K600" s="9"/>
    </row>
    <row r="601">
      <c r="A601" s="6"/>
      <c r="B601" s="7"/>
      <c r="C601" s="7"/>
      <c r="D601" s="7"/>
      <c r="E601" s="7"/>
      <c r="F601" s="7"/>
      <c r="G601" s="7"/>
      <c r="H601" s="7"/>
      <c r="I601" s="7"/>
      <c r="J601" s="8"/>
      <c r="K601" s="9"/>
    </row>
    <row r="602">
      <c r="A602" s="6"/>
      <c r="B602" s="7"/>
      <c r="C602" s="7"/>
      <c r="D602" s="7"/>
      <c r="E602" s="7"/>
      <c r="F602" s="7"/>
      <c r="G602" s="7"/>
      <c r="H602" s="7"/>
      <c r="I602" s="7"/>
      <c r="J602" s="8"/>
      <c r="K602" s="9"/>
    </row>
    <row r="603">
      <c r="A603" s="6"/>
      <c r="B603" s="7"/>
      <c r="C603" s="7"/>
      <c r="D603" s="7"/>
      <c r="E603" s="7"/>
      <c r="F603" s="7"/>
      <c r="G603" s="7"/>
      <c r="H603" s="7"/>
      <c r="I603" s="7"/>
      <c r="J603" s="8"/>
      <c r="K603" s="9"/>
    </row>
    <row r="604">
      <c r="A604" s="6"/>
      <c r="B604" s="7"/>
      <c r="C604" s="7"/>
      <c r="D604" s="7"/>
      <c r="E604" s="7"/>
      <c r="F604" s="7"/>
      <c r="G604" s="7"/>
      <c r="H604" s="7"/>
      <c r="I604" s="7"/>
      <c r="J604" s="8"/>
      <c r="K604" s="9"/>
    </row>
    <row r="605">
      <c r="A605" s="6"/>
      <c r="B605" s="7"/>
      <c r="C605" s="7"/>
      <c r="D605" s="7"/>
      <c r="E605" s="7"/>
      <c r="F605" s="7"/>
      <c r="G605" s="7"/>
      <c r="H605" s="7"/>
      <c r="I605" s="7"/>
      <c r="J605" s="8"/>
      <c r="K605" s="9"/>
    </row>
    <row r="606">
      <c r="A606" s="6"/>
      <c r="B606" s="7"/>
      <c r="C606" s="7"/>
      <c r="D606" s="7"/>
      <c r="E606" s="7"/>
      <c r="F606" s="7"/>
      <c r="G606" s="7"/>
      <c r="H606" s="7"/>
      <c r="I606" s="7"/>
      <c r="J606" s="8"/>
      <c r="K606" s="9"/>
    </row>
    <row r="607">
      <c r="A607" s="6"/>
      <c r="B607" s="7"/>
      <c r="C607" s="7"/>
      <c r="D607" s="7"/>
      <c r="E607" s="7"/>
      <c r="F607" s="7"/>
      <c r="G607" s="7"/>
      <c r="H607" s="7"/>
      <c r="I607" s="7"/>
      <c r="J607" s="8"/>
      <c r="K607" s="9"/>
    </row>
    <row r="608">
      <c r="A608" s="6"/>
      <c r="B608" s="7"/>
      <c r="C608" s="7"/>
      <c r="D608" s="7"/>
      <c r="E608" s="7"/>
      <c r="F608" s="7"/>
      <c r="G608" s="7"/>
      <c r="H608" s="7"/>
      <c r="I608" s="7"/>
      <c r="J608" s="8"/>
      <c r="K608" s="9"/>
    </row>
    <row r="609">
      <c r="A609" s="6"/>
      <c r="B609" s="7"/>
      <c r="C609" s="7"/>
      <c r="D609" s="7"/>
      <c r="E609" s="7"/>
      <c r="F609" s="7"/>
      <c r="G609" s="7"/>
      <c r="H609" s="7"/>
      <c r="I609" s="7"/>
      <c r="J609" s="8"/>
      <c r="K609" s="9"/>
    </row>
    <row r="610">
      <c r="A610" s="6"/>
      <c r="B610" s="7"/>
      <c r="C610" s="7"/>
      <c r="D610" s="7"/>
      <c r="E610" s="7"/>
      <c r="F610" s="7"/>
      <c r="G610" s="7"/>
      <c r="H610" s="7"/>
      <c r="I610" s="7"/>
      <c r="J610" s="8"/>
      <c r="K610" s="9"/>
    </row>
    <row r="611">
      <c r="A611" s="6"/>
      <c r="B611" s="7"/>
      <c r="C611" s="7"/>
      <c r="D611" s="7"/>
      <c r="E611" s="7"/>
      <c r="F611" s="7"/>
      <c r="G611" s="7"/>
      <c r="H611" s="7"/>
      <c r="I611" s="7"/>
      <c r="J611" s="8"/>
      <c r="K611" s="9"/>
    </row>
    <row r="612">
      <c r="A612" s="6"/>
      <c r="B612" s="7"/>
      <c r="C612" s="7"/>
      <c r="D612" s="7"/>
      <c r="E612" s="7"/>
      <c r="F612" s="7"/>
      <c r="G612" s="7"/>
      <c r="H612" s="7"/>
      <c r="I612" s="7"/>
      <c r="J612" s="8"/>
      <c r="K612" s="9"/>
    </row>
    <row r="613">
      <c r="A613" s="6"/>
      <c r="B613" s="7"/>
      <c r="C613" s="7"/>
      <c r="D613" s="7"/>
      <c r="E613" s="7"/>
      <c r="F613" s="7"/>
      <c r="G613" s="7"/>
      <c r="H613" s="7"/>
      <c r="I613" s="7"/>
      <c r="J613" s="8"/>
      <c r="K613" s="9"/>
    </row>
    <row r="614">
      <c r="A614" s="6"/>
      <c r="B614" s="7"/>
      <c r="C614" s="7"/>
      <c r="D614" s="7"/>
      <c r="E614" s="7"/>
      <c r="F614" s="7"/>
      <c r="G614" s="7"/>
      <c r="H614" s="7"/>
      <c r="I614" s="7"/>
      <c r="J614" s="8"/>
      <c r="K614" s="9"/>
    </row>
    <row r="615">
      <c r="A615" s="6"/>
      <c r="B615" s="7"/>
      <c r="C615" s="7"/>
      <c r="D615" s="7"/>
      <c r="E615" s="7"/>
      <c r="F615" s="7"/>
      <c r="G615" s="7"/>
      <c r="H615" s="7"/>
      <c r="I615" s="7"/>
      <c r="J615" s="8"/>
      <c r="K615" s="9"/>
    </row>
    <row r="616">
      <c r="A616" s="6"/>
      <c r="B616" s="7"/>
      <c r="C616" s="7"/>
      <c r="D616" s="7"/>
      <c r="E616" s="7"/>
      <c r="F616" s="7"/>
      <c r="G616" s="7"/>
      <c r="H616" s="7"/>
      <c r="I616" s="7"/>
      <c r="J616" s="8"/>
      <c r="K616" s="9"/>
    </row>
    <row r="617">
      <c r="A617" s="6"/>
      <c r="B617" s="7"/>
      <c r="C617" s="7"/>
      <c r="D617" s="7"/>
      <c r="E617" s="7"/>
      <c r="F617" s="7"/>
      <c r="G617" s="7"/>
      <c r="H617" s="7"/>
      <c r="I617" s="7"/>
      <c r="J617" s="8"/>
      <c r="K617" s="9"/>
    </row>
    <row r="618">
      <c r="A618" s="6"/>
      <c r="B618" s="7"/>
      <c r="C618" s="7"/>
      <c r="D618" s="7"/>
      <c r="E618" s="7"/>
      <c r="F618" s="7"/>
      <c r="G618" s="7"/>
      <c r="H618" s="7"/>
      <c r="I618" s="7"/>
      <c r="J618" s="8"/>
      <c r="K618" s="9"/>
    </row>
    <row r="619">
      <c r="A619" s="6"/>
      <c r="B619" s="7"/>
      <c r="C619" s="7"/>
      <c r="D619" s="7"/>
      <c r="E619" s="7"/>
      <c r="F619" s="7"/>
      <c r="G619" s="7"/>
      <c r="H619" s="7"/>
      <c r="I619" s="7"/>
      <c r="J619" s="8"/>
      <c r="K619" s="9"/>
    </row>
    <row r="620">
      <c r="A620" s="6"/>
      <c r="B620" s="7"/>
      <c r="C620" s="7"/>
      <c r="D620" s="7"/>
      <c r="E620" s="7"/>
      <c r="F620" s="7"/>
      <c r="G620" s="7"/>
      <c r="H620" s="7"/>
      <c r="I620" s="7"/>
      <c r="J620" s="8"/>
      <c r="K620" s="9"/>
    </row>
    <row r="621">
      <c r="A621" s="6"/>
      <c r="B621" s="7"/>
      <c r="C621" s="7"/>
      <c r="D621" s="7"/>
      <c r="E621" s="7"/>
      <c r="F621" s="7"/>
      <c r="G621" s="7"/>
      <c r="H621" s="7"/>
      <c r="I621" s="7"/>
      <c r="J621" s="8"/>
      <c r="K621" s="9"/>
    </row>
    <row r="622">
      <c r="A622" s="6"/>
      <c r="B622" s="7"/>
      <c r="C622" s="7"/>
      <c r="D622" s="7"/>
      <c r="E622" s="7"/>
      <c r="F622" s="7"/>
      <c r="G622" s="7"/>
      <c r="H622" s="7"/>
      <c r="I622" s="7"/>
      <c r="J622" s="8"/>
      <c r="K622" s="9"/>
    </row>
    <row r="623">
      <c r="A623" s="6"/>
      <c r="B623" s="7"/>
      <c r="C623" s="7"/>
      <c r="D623" s="7"/>
      <c r="E623" s="7"/>
      <c r="F623" s="7"/>
      <c r="G623" s="7"/>
      <c r="H623" s="7"/>
      <c r="I623" s="7"/>
      <c r="J623" s="8"/>
      <c r="K623" s="9"/>
    </row>
    <row r="624">
      <c r="A624" s="6"/>
      <c r="B624" s="7"/>
      <c r="C624" s="7"/>
      <c r="D624" s="7"/>
      <c r="E624" s="7"/>
      <c r="F624" s="7"/>
      <c r="G624" s="7"/>
      <c r="H624" s="7"/>
      <c r="I624" s="7"/>
      <c r="J624" s="8"/>
      <c r="K624" s="9"/>
    </row>
    <row r="625">
      <c r="A625" s="6"/>
      <c r="B625" s="7"/>
      <c r="C625" s="7"/>
      <c r="D625" s="7"/>
      <c r="E625" s="7"/>
      <c r="F625" s="7"/>
      <c r="G625" s="7"/>
      <c r="H625" s="7"/>
      <c r="I625" s="7"/>
      <c r="J625" s="8"/>
      <c r="K625" s="9"/>
    </row>
    <row r="626">
      <c r="A626" s="6"/>
      <c r="B626" s="7"/>
      <c r="C626" s="7"/>
      <c r="D626" s="7"/>
      <c r="E626" s="7"/>
      <c r="F626" s="7"/>
      <c r="G626" s="7"/>
      <c r="H626" s="7"/>
      <c r="I626" s="7"/>
      <c r="J626" s="8"/>
      <c r="K626" s="9"/>
    </row>
    <row r="627">
      <c r="A627" s="6"/>
      <c r="B627" s="7"/>
      <c r="C627" s="7"/>
      <c r="D627" s="7"/>
      <c r="E627" s="7"/>
      <c r="F627" s="7"/>
      <c r="G627" s="7"/>
      <c r="H627" s="7"/>
      <c r="I627" s="7"/>
      <c r="J627" s="8"/>
      <c r="K627" s="9"/>
    </row>
    <row r="628">
      <c r="A628" s="6"/>
      <c r="B628" s="7"/>
      <c r="C628" s="7"/>
      <c r="D628" s="7"/>
      <c r="E628" s="7"/>
      <c r="F628" s="7"/>
      <c r="G628" s="7"/>
      <c r="H628" s="7"/>
      <c r="I628" s="7"/>
      <c r="J628" s="8"/>
      <c r="K628" s="9"/>
    </row>
    <row r="629">
      <c r="A629" s="6"/>
      <c r="B629" s="7"/>
      <c r="C629" s="7"/>
      <c r="D629" s="7"/>
      <c r="E629" s="7"/>
      <c r="F629" s="7"/>
      <c r="G629" s="7"/>
      <c r="H629" s="7"/>
      <c r="I629" s="7"/>
      <c r="J629" s="8"/>
      <c r="K629" s="9"/>
    </row>
    <row r="630">
      <c r="A630" s="6"/>
      <c r="B630" s="7"/>
      <c r="C630" s="7"/>
      <c r="D630" s="7"/>
      <c r="E630" s="7"/>
      <c r="F630" s="7"/>
      <c r="G630" s="7"/>
      <c r="H630" s="7"/>
      <c r="I630" s="7"/>
      <c r="J630" s="8"/>
      <c r="K630" s="9"/>
    </row>
    <row r="631">
      <c r="A631" s="6"/>
      <c r="B631" s="7"/>
      <c r="C631" s="7"/>
      <c r="D631" s="7"/>
      <c r="E631" s="7"/>
      <c r="F631" s="7"/>
      <c r="G631" s="7"/>
      <c r="H631" s="7"/>
      <c r="I631" s="7"/>
      <c r="J631" s="8"/>
      <c r="K631" s="9"/>
    </row>
    <row r="632">
      <c r="A632" s="6"/>
      <c r="B632" s="7"/>
      <c r="C632" s="7"/>
      <c r="D632" s="7"/>
      <c r="E632" s="7"/>
      <c r="F632" s="7"/>
      <c r="G632" s="7"/>
      <c r="H632" s="7"/>
      <c r="I632" s="7"/>
      <c r="J632" s="8"/>
      <c r="K632" s="9"/>
    </row>
    <row r="633">
      <c r="A633" s="6"/>
      <c r="B633" s="7"/>
      <c r="C633" s="7"/>
      <c r="D633" s="7"/>
      <c r="E633" s="7"/>
      <c r="F633" s="7"/>
      <c r="G633" s="7"/>
      <c r="H633" s="7"/>
      <c r="I633" s="7"/>
      <c r="J633" s="8"/>
      <c r="K633" s="9"/>
    </row>
    <row r="634">
      <c r="A634" s="6"/>
      <c r="B634" s="7"/>
      <c r="C634" s="7"/>
      <c r="D634" s="7"/>
      <c r="E634" s="7"/>
      <c r="F634" s="7"/>
      <c r="G634" s="7"/>
      <c r="H634" s="7"/>
      <c r="I634" s="7"/>
      <c r="J634" s="8"/>
      <c r="K634" s="9"/>
    </row>
    <row r="635">
      <c r="A635" s="6"/>
      <c r="B635" s="7"/>
      <c r="C635" s="7"/>
      <c r="D635" s="7"/>
      <c r="E635" s="7"/>
      <c r="F635" s="7"/>
      <c r="G635" s="7"/>
      <c r="H635" s="7"/>
      <c r="I635" s="7"/>
      <c r="J635" s="8"/>
      <c r="K635" s="9"/>
    </row>
    <row r="636">
      <c r="A636" s="6"/>
      <c r="B636" s="7"/>
      <c r="C636" s="7"/>
      <c r="D636" s="7"/>
      <c r="E636" s="7"/>
      <c r="F636" s="7"/>
      <c r="G636" s="7"/>
      <c r="H636" s="7"/>
      <c r="I636" s="7"/>
      <c r="J636" s="8"/>
      <c r="K636" s="9"/>
    </row>
    <row r="637">
      <c r="A637" s="6"/>
      <c r="B637" s="7"/>
      <c r="C637" s="7"/>
      <c r="D637" s="7"/>
      <c r="E637" s="7"/>
      <c r="F637" s="7"/>
      <c r="G637" s="7"/>
      <c r="H637" s="7"/>
      <c r="I637" s="7"/>
      <c r="J637" s="8"/>
      <c r="K637" s="9"/>
    </row>
    <row r="638">
      <c r="A638" s="6"/>
      <c r="B638" s="7"/>
      <c r="C638" s="7"/>
      <c r="D638" s="7"/>
      <c r="E638" s="7"/>
      <c r="F638" s="7"/>
      <c r="G638" s="7"/>
      <c r="H638" s="7"/>
      <c r="I638" s="7"/>
      <c r="J638" s="8"/>
      <c r="K638" s="9"/>
    </row>
    <row r="639">
      <c r="A639" s="6"/>
      <c r="B639" s="7"/>
      <c r="C639" s="7"/>
      <c r="D639" s="7"/>
      <c r="E639" s="7"/>
      <c r="F639" s="7"/>
      <c r="G639" s="7"/>
      <c r="H639" s="7"/>
      <c r="I639" s="7"/>
      <c r="J639" s="8"/>
      <c r="K639" s="9"/>
    </row>
    <row r="640">
      <c r="A640" s="6"/>
      <c r="B640" s="7"/>
      <c r="C640" s="7"/>
      <c r="D640" s="7"/>
      <c r="E640" s="7"/>
      <c r="F640" s="7"/>
      <c r="G640" s="7"/>
      <c r="H640" s="7"/>
      <c r="I640" s="7"/>
      <c r="J640" s="8"/>
      <c r="K640" s="9"/>
    </row>
    <row r="641">
      <c r="A641" s="6"/>
      <c r="B641" s="7"/>
      <c r="C641" s="7"/>
      <c r="D641" s="7"/>
      <c r="E641" s="7"/>
      <c r="F641" s="7"/>
      <c r="G641" s="7"/>
      <c r="H641" s="7"/>
      <c r="I641" s="7"/>
      <c r="J641" s="8"/>
      <c r="K641" s="9"/>
    </row>
    <row r="642">
      <c r="A642" s="6"/>
      <c r="B642" s="7"/>
      <c r="C642" s="7"/>
      <c r="D642" s="7"/>
      <c r="E642" s="7"/>
      <c r="F642" s="7"/>
      <c r="G642" s="7"/>
      <c r="H642" s="7"/>
      <c r="I642" s="7"/>
      <c r="J642" s="8"/>
      <c r="K642" s="9"/>
    </row>
    <row r="643">
      <c r="A643" s="6"/>
      <c r="B643" s="7"/>
      <c r="C643" s="7"/>
      <c r="D643" s="7"/>
      <c r="E643" s="7"/>
      <c r="F643" s="7"/>
      <c r="G643" s="7"/>
      <c r="H643" s="7"/>
      <c r="I643" s="7"/>
      <c r="J643" s="8"/>
      <c r="K643" s="9"/>
    </row>
    <row r="644">
      <c r="A644" s="6"/>
      <c r="B644" s="7"/>
      <c r="C644" s="7"/>
      <c r="D644" s="7"/>
      <c r="E644" s="7"/>
      <c r="F644" s="7"/>
      <c r="G644" s="7"/>
      <c r="H644" s="7"/>
      <c r="I644" s="7"/>
      <c r="J644" s="8"/>
      <c r="K644" s="9"/>
    </row>
    <row r="645">
      <c r="A645" s="6"/>
      <c r="B645" s="7"/>
      <c r="C645" s="7"/>
      <c r="D645" s="7"/>
      <c r="E645" s="7"/>
      <c r="F645" s="7"/>
      <c r="G645" s="7"/>
      <c r="H645" s="7"/>
      <c r="I645" s="7"/>
      <c r="J645" s="8"/>
      <c r="K645" s="9"/>
    </row>
    <row r="646">
      <c r="A646" s="6"/>
      <c r="B646" s="7"/>
      <c r="C646" s="7"/>
      <c r="D646" s="7"/>
      <c r="E646" s="7"/>
      <c r="F646" s="7"/>
      <c r="G646" s="7"/>
      <c r="H646" s="7"/>
      <c r="I646" s="7"/>
      <c r="J646" s="8"/>
      <c r="K646" s="9"/>
    </row>
    <row r="647">
      <c r="A647" s="6"/>
      <c r="B647" s="7"/>
      <c r="C647" s="7"/>
      <c r="D647" s="7"/>
      <c r="E647" s="7"/>
      <c r="F647" s="7"/>
      <c r="G647" s="7"/>
      <c r="H647" s="7"/>
      <c r="I647" s="7"/>
      <c r="J647" s="8"/>
      <c r="K647" s="9"/>
    </row>
    <row r="648">
      <c r="A648" s="6"/>
      <c r="B648" s="7"/>
      <c r="C648" s="7"/>
      <c r="D648" s="7"/>
      <c r="E648" s="7"/>
      <c r="F648" s="7"/>
      <c r="G648" s="7"/>
      <c r="H648" s="7"/>
      <c r="I648" s="7"/>
      <c r="J648" s="8"/>
      <c r="K648" s="9"/>
    </row>
    <row r="649">
      <c r="A649" s="6"/>
      <c r="B649" s="7"/>
      <c r="C649" s="7"/>
      <c r="D649" s="7"/>
      <c r="E649" s="7"/>
      <c r="F649" s="7"/>
      <c r="G649" s="7"/>
      <c r="H649" s="7"/>
      <c r="I649" s="7"/>
      <c r="J649" s="8"/>
      <c r="K649" s="9"/>
    </row>
    <row r="650">
      <c r="A650" s="6"/>
      <c r="B650" s="7"/>
      <c r="C650" s="7"/>
      <c r="D650" s="7"/>
      <c r="E650" s="7"/>
      <c r="F650" s="7"/>
      <c r="G650" s="7"/>
      <c r="H650" s="7"/>
      <c r="I650" s="7"/>
      <c r="J650" s="8"/>
      <c r="K650" s="9"/>
    </row>
    <row r="651">
      <c r="A651" s="6"/>
      <c r="B651" s="7"/>
      <c r="C651" s="7"/>
      <c r="D651" s="7"/>
      <c r="E651" s="7"/>
      <c r="F651" s="7"/>
      <c r="G651" s="7"/>
      <c r="H651" s="7"/>
      <c r="I651" s="7"/>
      <c r="J651" s="8"/>
      <c r="K651" s="9"/>
    </row>
    <row r="652">
      <c r="A652" s="6"/>
      <c r="B652" s="7"/>
      <c r="C652" s="7"/>
      <c r="D652" s="7"/>
      <c r="E652" s="7"/>
      <c r="F652" s="7"/>
      <c r="G652" s="7"/>
      <c r="H652" s="7"/>
      <c r="I652" s="7"/>
      <c r="J652" s="8"/>
      <c r="K652" s="9"/>
    </row>
    <row r="653">
      <c r="A653" s="6"/>
      <c r="B653" s="7"/>
      <c r="C653" s="7"/>
      <c r="D653" s="7"/>
      <c r="E653" s="7"/>
      <c r="F653" s="7"/>
      <c r="G653" s="7"/>
      <c r="H653" s="7"/>
      <c r="I653" s="7"/>
      <c r="J653" s="8"/>
      <c r="K653" s="9"/>
    </row>
    <row r="654">
      <c r="A654" s="6"/>
      <c r="B654" s="7"/>
      <c r="C654" s="7"/>
      <c r="D654" s="7"/>
      <c r="E654" s="7"/>
      <c r="F654" s="7"/>
      <c r="G654" s="7"/>
      <c r="H654" s="7"/>
      <c r="I654" s="7"/>
      <c r="J654" s="8"/>
      <c r="K654" s="9"/>
    </row>
    <row r="655">
      <c r="A655" s="6"/>
      <c r="B655" s="7"/>
      <c r="C655" s="7"/>
      <c r="D655" s="7"/>
      <c r="E655" s="7"/>
      <c r="F655" s="7"/>
      <c r="G655" s="7"/>
      <c r="H655" s="7"/>
      <c r="I655" s="7"/>
      <c r="J655" s="8"/>
      <c r="K655" s="9"/>
    </row>
    <row r="656">
      <c r="A656" s="6"/>
      <c r="B656" s="7"/>
      <c r="C656" s="7"/>
      <c r="D656" s="7"/>
      <c r="E656" s="7"/>
      <c r="F656" s="7"/>
      <c r="G656" s="7"/>
      <c r="H656" s="7"/>
      <c r="I656" s="7"/>
      <c r="J656" s="8"/>
      <c r="K656" s="9"/>
    </row>
    <row r="657">
      <c r="A657" s="6"/>
      <c r="B657" s="7"/>
      <c r="C657" s="7"/>
      <c r="D657" s="7"/>
      <c r="E657" s="7"/>
      <c r="F657" s="7"/>
      <c r="G657" s="7"/>
      <c r="H657" s="7"/>
      <c r="I657" s="7"/>
      <c r="J657" s="8"/>
      <c r="K657" s="9"/>
    </row>
    <row r="658">
      <c r="A658" s="6"/>
      <c r="B658" s="7"/>
      <c r="C658" s="7"/>
      <c r="D658" s="7"/>
      <c r="E658" s="7"/>
      <c r="F658" s="7"/>
      <c r="G658" s="7"/>
      <c r="H658" s="7"/>
      <c r="I658" s="7"/>
      <c r="J658" s="8"/>
      <c r="K658" s="9"/>
    </row>
    <row r="659">
      <c r="A659" s="6"/>
      <c r="B659" s="7"/>
      <c r="C659" s="7"/>
      <c r="D659" s="7"/>
      <c r="E659" s="7"/>
      <c r="F659" s="7"/>
      <c r="G659" s="7"/>
      <c r="H659" s="7"/>
      <c r="I659" s="7"/>
      <c r="J659" s="8"/>
      <c r="K659" s="9"/>
    </row>
    <row r="660">
      <c r="A660" s="6"/>
      <c r="B660" s="7"/>
      <c r="C660" s="7"/>
      <c r="D660" s="7"/>
      <c r="E660" s="7"/>
      <c r="F660" s="7"/>
      <c r="G660" s="7"/>
      <c r="H660" s="7"/>
      <c r="I660" s="7"/>
      <c r="J660" s="8"/>
      <c r="K660" s="9"/>
    </row>
    <row r="661">
      <c r="A661" s="6"/>
      <c r="B661" s="7"/>
      <c r="C661" s="7"/>
      <c r="D661" s="7"/>
      <c r="E661" s="7"/>
      <c r="F661" s="7"/>
      <c r="G661" s="7"/>
      <c r="H661" s="7"/>
      <c r="I661" s="7"/>
      <c r="J661" s="8"/>
      <c r="K661" s="9"/>
    </row>
    <row r="662">
      <c r="A662" s="6"/>
      <c r="B662" s="7"/>
      <c r="C662" s="7"/>
      <c r="D662" s="7"/>
      <c r="E662" s="7"/>
      <c r="F662" s="7"/>
      <c r="G662" s="7"/>
      <c r="H662" s="7"/>
      <c r="I662" s="7"/>
      <c r="J662" s="8"/>
      <c r="K662" s="9"/>
    </row>
    <row r="663">
      <c r="A663" s="6"/>
      <c r="B663" s="7"/>
      <c r="C663" s="7"/>
      <c r="D663" s="7"/>
      <c r="E663" s="7"/>
      <c r="F663" s="7"/>
      <c r="G663" s="7"/>
      <c r="H663" s="7"/>
      <c r="I663" s="7"/>
      <c r="J663" s="8"/>
      <c r="K663" s="9"/>
    </row>
    <row r="664">
      <c r="A664" s="6"/>
      <c r="B664" s="7"/>
      <c r="C664" s="7"/>
      <c r="D664" s="7"/>
      <c r="E664" s="7"/>
      <c r="F664" s="7"/>
      <c r="G664" s="7"/>
      <c r="H664" s="7"/>
      <c r="I664" s="7"/>
      <c r="J664" s="8"/>
      <c r="K664" s="9"/>
    </row>
    <row r="665">
      <c r="A665" s="6"/>
      <c r="B665" s="7"/>
      <c r="C665" s="7"/>
      <c r="D665" s="7"/>
      <c r="E665" s="7"/>
      <c r="F665" s="7"/>
      <c r="G665" s="7"/>
      <c r="H665" s="7"/>
      <c r="I665" s="7"/>
      <c r="J665" s="8"/>
      <c r="K665" s="9"/>
    </row>
    <row r="666">
      <c r="A666" s="6"/>
      <c r="B666" s="7"/>
      <c r="C666" s="7"/>
      <c r="D666" s="7"/>
      <c r="E666" s="7"/>
      <c r="F666" s="7"/>
      <c r="G666" s="7"/>
      <c r="H666" s="7"/>
      <c r="I666" s="7"/>
      <c r="J666" s="8"/>
      <c r="K666" s="9"/>
    </row>
    <row r="667">
      <c r="A667" s="6"/>
      <c r="B667" s="7"/>
      <c r="C667" s="7"/>
      <c r="D667" s="7"/>
      <c r="E667" s="7"/>
      <c r="F667" s="7"/>
      <c r="G667" s="7"/>
      <c r="H667" s="7"/>
      <c r="I667" s="7"/>
      <c r="J667" s="8"/>
      <c r="K667" s="9"/>
    </row>
    <row r="668">
      <c r="A668" s="6"/>
      <c r="B668" s="7"/>
      <c r="C668" s="7"/>
      <c r="D668" s="7"/>
      <c r="E668" s="7"/>
      <c r="F668" s="7"/>
      <c r="G668" s="7"/>
      <c r="H668" s="7"/>
      <c r="I668" s="7"/>
      <c r="J668" s="8"/>
      <c r="K668" s="9"/>
    </row>
    <row r="669">
      <c r="A669" s="6"/>
      <c r="B669" s="7"/>
      <c r="C669" s="7"/>
      <c r="D669" s="7"/>
      <c r="E669" s="7"/>
      <c r="F669" s="7"/>
      <c r="G669" s="7"/>
      <c r="H669" s="7"/>
      <c r="I669" s="7"/>
      <c r="J669" s="8"/>
      <c r="K669" s="9"/>
    </row>
    <row r="670">
      <c r="A670" s="6"/>
      <c r="B670" s="7"/>
      <c r="C670" s="7"/>
      <c r="D670" s="7"/>
      <c r="E670" s="7"/>
      <c r="F670" s="7"/>
      <c r="G670" s="7"/>
      <c r="H670" s="7"/>
      <c r="I670" s="7"/>
      <c r="J670" s="8"/>
      <c r="K670" s="9"/>
    </row>
    <row r="671">
      <c r="A671" s="6"/>
      <c r="B671" s="7"/>
      <c r="C671" s="7"/>
      <c r="D671" s="7"/>
      <c r="E671" s="7"/>
      <c r="F671" s="7"/>
      <c r="G671" s="7"/>
      <c r="H671" s="7"/>
      <c r="I671" s="7"/>
      <c r="J671" s="8"/>
      <c r="K671" s="9"/>
    </row>
    <row r="672">
      <c r="A672" s="6"/>
      <c r="B672" s="7"/>
      <c r="C672" s="7"/>
      <c r="D672" s="7"/>
      <c r="E672" s="7"/>
      <c r="F672" s="7"/>
      <c r="G672" s="7"/>
      <c r="H672" s="7"/>
      <c r="I672" s="7"/>
      <c r="J672" s="8"/>
      <c r="K672" s="9"/>
    </row>
    <row r="673">
      <c r="A673" s="6"/>
      <c r="B673" s="7"/>
      <c r="C673" s="7"/>
      <c r="D673" s="7"/>
      <c r="E673" s="7"/>
      <c r="F673" s="7"/>
      <c r="G673" s="7"/>
      <c r="H673" s="7"/>
      <c r="I673" s="7"/>
      <c r="J673" s="8"/>
      <c r="K673" s="9"/>
    </row>
    <row r="674">
      <c r="A674" s="6"/>
      <c r="B674" s="7"/>
      <c r="C674" s="7"/>
      <c r="D674" s="7"/>
      <c r="E674" s="7"/>
      <c r="F674" s="7"/>
      <c r="G674" s="7"/>
      <c r="H674" s="7"/>
      <c r="I674" s="7"/>
      <c r="J674" s="8"/>
      <c r="K674" s="9"/>
    </row>
    <row r="675">
      <c r="A675" s="6"/>
      <c r="B675" s="7"/>
      <c r="C675" s="7"/>
      <c r="D675" s="7"/>
      <c r="E675" s="7"/>
      <c r="F675" s="7"/>
      <c r="G675" s="7"/>
      <c r="H675" s="7"/>
      <c r="I675" s="7"/>
      <c r="J675" s="8"/>
      <c r="K675" s="9"/>
    </row>
    <row r="676">
      <c r="A676" s="6"/>
      <c r="B676" s="7"/>
      <c r="C676" s="7"/>
      <c r="D676" s="7"/>
      <c r="E676" s="7"/>
      <c r="F676" s="7"/>
      <c r="G676" s="7"/>
      <c r="H676" s="7"/>
      <c r="I676" s="7"/>
      <c r="J676" s="8"/>
      <c r="K676" s="9"/>
    </row>
    <row r="677">
      <c r="A677" s="6"/>
      <c r="B677" s="7"/>
      <c r="C677" s="7"/>
      <c r="D677" s="7"/>
      <c r="E677" s="7"/>
      <c r="F677" s="7"/>
      <c r="G677" s="7"/>
      <c r="H677" s="7"/>
      <c r="I677" s="7"/>
      <c r="J677" s="8"/>
      <c r="K677" s="9"/>
    </row>
    <row r="678">
      <c r="A678" s="6"/>
      <c r="B678" s="7"/>
      <c r="C678" s="7"/>
      <c r="D678" s="7"/>
      <c r="E678" s="7"/>
      <c r="F678" s="7"/>
      <c r="G678" s="7"/>
      <c r="H678" s="7"/>
      <c r="I678" s="7"/>
      <c r="J678" s="8"/>
      <c r="K678" s="9"/>
    </row>
    <row r="679">
      <c r="A679" s="6"/>
      <c r="B679" s="7"/>
      <c r="C679" s="7"/>
      <c r="D679" s="7"/>
      <c r="E679" s="7"/>
      <c r="F679" s="7"/>
      <c r="G679" s="7"/>
      <c r="H679" s="7"/>
      <c r="I679" s="7"/>
      <c r="J679" s="8"/>
      <c r="K679" s="9"/>
    </row>
    <row r="680">
      <c r="A680" s="6"/>
      <c r="B680" s="7"/>
      <c r="C680" s="7"/>
      <c r="D680" s="7"/>
      <c r="E680" s="7"/>
      <c r="F680" s="7"/>
      <c r="G680" s="7"/>
      <c r="H680" s="7"/>
      <c r="I680" s="7"/>
      <c r="J680" s="8"/>
      <c r="K680" s="9"/>
    </row>
    <row r="681">
      <c r="A681" s="6"/>
      <c r="B681" s="7"/>
      <c r="C681" s="7"/>
      <c r="D681" s="7"/>
      <c r="E681" s="7"/>
      <c r="F681" s="7"/>
      <c r="G681" s="7"/>
      <c r="H681" s="7"/>
      <c r="I681" s="7"/>
      <c r="J681" s="8"/>
      <c r="K681" s="9"/>
    </row>
    <row r="682">
      <c r="A682" s="6"/>
      <c r="B682" s="7"/>
      <c r="C682" s="7"/>
      <c r="D682" s="7"/>
      <c r="E682" s="7"/>
      <c r="F682" s="7"/>
      <c r="G682" s="7"/>
      <c r="H682" s="7"/>
      <c r="I682" s="7"/>
      <c r="J682" s="8"/>
      <c r="K682" s="9"/>
    </row>
    <row r="683">
      <c r="A683" s="6"/>
      <c r="B683" s="7"/>
      <c r="C683" s="7"/>
      <c r="D683" s="7"/>
      <c r="E683" s="7"/>
      <c r="F683" s="7"/>
      <c r="G683" s="7"/>
      <c r="H683" s="7"/>
      <c r="I683" s="7"/>
      <c r="J683" s="8"/>
      <c r="K683" s="9"/>
    </row>
    <row r="684">
      <c r="A684" s="6"/>
      <c r="B684" s="7"/>
      <c r="C684" s="7"/>
      <c r="D684" s="7"/>
      <c r="E684" s="7"/>
      <c r="F684" s="7"/>
      <c r="G684" s="7"/>
      <c r="H684" s="7"/>
      <c r="I684" s="7"/>
      <c r="J684" s="8"/>
      <c r="K684" s="9"/>
    </row>
    <row r="685">
      <c r="A685" s="6"/>
      <c r="B685" s="7"/>
      <c r="C685" s="7"/>
      <c r="D685" s="7"/>
      <c r="E685" s="7"/>
      <c r="F685" s="7"/>
      <c r="G685" s="7"/>
      <c r="H685" s="7"/>
      <c r="I685" s="7"/>
      <c r="J685" s="8"/>
      <c r="K685" s="9"/>
    </row>
    <row r="686">
      <c r="A686" s="6"/>
      <c r="B686" s="7"/>
      <c r="C686" s="7"/>
      <c r="D686" s="7"/>
      <c r="E686" s="7"/>
      <c r="F686" s="7"/>
      <c r="G686" s="7"/>
      <c r="H686" s="7"/>
      <c r="I686" s="7"/>
      <c r="J686" s="8"/>
      <c r="K686" s="9"/>
    </row>
    <row r="687">
      <c r="A687" s="6"/>
      <c r="B687" s="7"/>
      <c r="C687" s="7"/>
      <c r="D687" s="7"/>
      <c r="E687" s="7"/>
      <c r="F687" s="7"/>
      <c r="G687" s="7"/>
      <c r="H687" s="7"/>
      <c r="I687" s="7"/>
      <c r="J687" s="8"/>
      <c r="K687" s="9"/>
    </row>
    <row r="688">
      <c r="A688" s="6"/>
      <c r="B688" s="7"/>
      <c r="C688" s="7"/>
      <c r="D688" s="7"/>
      <c r="E688" s="7"/>
      <c r="F688" s="7"/>
      <c r="G688" s="7"/>
      <c r="H688" s="7"/>
      <c r="I688" s="7"/>
      <c r="J688" s="8"/>
      <c r="K688" s="9"/>
    </row>
    <row r="689">
      <c r="A689" s="6"/>
      <c r="B689" s="7"/>
      <c r="C689" s="7"/>
      <c r="D689" s="7"/>
      <c r="E689" s="7"/>
      <c r="F689" s="7"/>
      <c r="G689" s="7"/>
      <c r="H689" s="7"/>
      <c r="I689" s="7"/>
      <c r="J689" s="8"/>
      <c r="K689" s="9"/>
    </row>
    <row r="690">
      <c r="A690" s="6"/>
      <c r="B690" s="7"/>
      <c r="C690" s="7"/>
      <c r="D690" s="7"/>
      <c r="E690" s="7"/>
      <c r="F690" s="7"/>
      <c r="G690" s="7"/>
      <c r="H690" s="7"/>
      <c r="I690" s="7"/>
      <c r="J690" s="8"/>
      <c r="K690" s="9"/>
    </row>
    <row r="691">
      <c r="A691" s="6"/>
      <c r="B691" s="7"/>
      <c r="C691" s="7"/>
      <c r="D691" s="7"/>
      <c r="E691" s="7"/>
      <c r="F691" s="7"/>
      <c r="G691" s="7"/>
      <c r="H691" s="7"/>
      <c r="I691" s="7"/>
      <c r="J691" s="8"/>
      <c r="K691" s="9"/>
    </row>
    <row r="692">
      <c r="A692" s="6"/>
      <c r="B692" s="7"/>
      <c r="C692" s="7"/>
      <c r="D692" s="7"/>
      <c r="E692" s="7"/>
      <c r="F692" s="7"/>
      <c r="G692" s="7"/>
      <c r="H692" s="7"/>
      <c r="I692" s="7"/>
      <c r="J692" s="8"/>
      <c r="K692" s="9"/>
    </row>
    <row r="693">
      <c r="A693" s="6"/>
      <c r="B693" s="7"/>
      <c r="C693" s="7"/>
      <c r="D693" s="7"/>
      <c r="E693" s="7"/>
      <c r="F693" s="7"/>
      <c r="G693" s="7"/>
      <c r="H693" s="7"/>
      <c r="I693" s="7"/>
      <c r="J693" s="8"/>
      <c r="K693" s="9"/>
    </row>
    <row r="694">
      <c r="A694" s="6"/>
      <c r="B694" s="7"/>
      <c r="C694" s="7"/>
      <c r="D694" s="7"/>
      <c r="E694" s="7"/>
      <c r="F694" s="7"/>
      <c r="G694" s="7"/>
      <c r="H694" s="7"/>
      <c r="I694" s="7"/>
      <c r="J694" s="8"/>
      <c r="K694" s="9"/>
    </row>
    <row r="695">
      <c r="A695" s="6"/>
      <c r="B695" s="7"/>
      <c r="C695" s="7"/>
      <c r="D695" s="7"/>
      <c r="E695" s="7"/>
      <c r="F695" s="7"/>
      <c r="G695" s="7"/>
      <c r="H695" s="7"/>
      <c r="I695" s="7"/>
      <c r="J695" s="8"/>
      <c r="K695" s="9"/>
    </row>
    <row r="696">
      <c r="A696" s="6"/>
      <c r="B696" s="7"/>
      <c r="C696" s="7"/>
      <c r="D696" s="7"/>
      <c r="E696" s="7"/>
      <c r="F696" s="7"/>
      <c r="G696" s="7"/>
      <c r="H696" s="7"/>
      <c r="I696" s="7"/>
      <c r="J696" s="8"/>
      <c r="K696" s="9"/>
    </row>
    <row r="697">
      <c r="A697" s="6"/>
      <c r="B697" s="7"/>
      <c r="C697" s="7"/>
      <c r="D697" s="7"/>
      <c r="E697" s="7"/>
      <c r="F697" s="7"/>
      <c r="G697" s="7"/>
      <c r="H697" s="7"/>
      <c r="I697" s="7"/>
      <c r="J697" s="8"/>
      <c r="K697" s="9"/>
    </row>
    <row r="698">
      <c r="A698" s="6"/>
      <c r="B698" s="7"/>
      <c r="C698" s="7"/>
      <c r="D698" s="7"/>
      <c r="E698" s="7"/>
      <c r="F698" s="7"/>
      <c r="G698" s="7"/>
      <c r="H698" s="7"/>
      <c r="I698" s="7"/>
      <c r="J698" s="8"/>
      <c r="K698" s="9"/>
    </row>
    <row r="699">
      <c r="A699" s="6"/>
      <c r="B699" s="7"/>
      <c r="C699" s="7"/>
      <c r="D699" s="7"/>
      <c r="E699" s="7"/>
      <c r="F699" s="7"/>
      <c r="G699" s="7"/>
      <c r="H699" s="7"/>
      <c r="I699" s="7"/>
      <c r="J699" s="8"/>
      <c r="K699" s="9"/>
    </row>
    <row r="700">
      <c r="A700" s="6"/>
      <c r="B700" s="7"/>
      <c r="C700" s="7"/>
      <c r="D700" s="7"/>
      <c r="E700" s="7"/>
      <c r="F700" s="7"/>
      <c r="G700" s="7"/>
      <c r="H700" s="7"/>
      <c r="I700" s="7"/>
      <c r="J700" s="8"/>
      <c r="K700" s="9"/>
    </row>
    <row r="701">
      <c r="A701" s="6"/>
      <c r="B701" s="7"/>
      <c r="C701" s="7"/>
      <c r="D701" s="7"/>
      <c r="E701" s="7"/>
      <c r="F701" s="7"/>
      <c r="G701" s="7"/>
      <c r="H701" s="7"/>
      <c r="I701" s="7"/>
      <c r="J701" s="8"/>
      <c r="K701" s="9"/>
    </row>
    <row r="702">
      <c r="A702" s="6"/>
      <c r="B702" s="7"/>
      <c r="C702" s="7"/>
      <c r="D702" s="7"/>
      <c r="E702" s="7"/>
      <c r="F702" s="7"/>
      <c r="G702" s="7"/>
      <c r="H702" s="7"/>
      <c r="I702" s="7"/>
      <c r="J702" s="8"/>
      <c r="K702" s="9"/>
    </row>
    <row r="703">
      <c r="A703" s="6"/>
      <c r="B703" s="7"/>
      <c r="C703" s="7"/>
      <c r="D703" s="7"/>
      <c r="E703" s="7"/>
      <c r="F703" s="7"/>
      <c r="G703" s="7"/>
      <c r="H703" s="7"/>
      <c r="I703" s="7"/>
      <c r="J703" s="8"/>
      <c r="K703" s="9"/>
    </row>
    <row r="704">
      <c r="A704" s="6"/>
      <c r="B704" s="7"/>
      <c r="C704" s="7"/>
      <c r="D704" s="7"/>
      <c r="E704" s="7"/>
      <c r="F704" s="7"/>
      <c r="G704" s="7"/>
      <c r="H704" s="7"/>
      <c r="I704" s="7"/>
      <c r="J704" s="8"/>
      <c r="K704" s="9"/>
    </row>
    <row r="705">
      <c r="A705" s="6"/>
      <c r="B705" s="7"/>
      <c r="C705" s="7"/>
      <c r="D705" s="7"/>
      <c r="E705" s="7"/>
      <c r="F705" s="7"/>
      <c r="G705" s="7"/>
      <c r="H705" s="7"/>
      <c r="I705" s="7"/>
      <c r="J705" s="8"/>
      <c r="K705" s="9"/>
    </row>
    <row r="706">
      <c r="A706" s="6"/>
      <c r="B706" s="7"/>
      <c r="C706" s="7"/>
      <c r="D706" s="7"/>
      <c r="E706" s="7"/>
      <c r="F706" s="7"/>
      <c r="G706" s="7"/>
      <c r="H706" s="7"/>
      <c r="I706" s="7"/>
      <c r="J706" s="8"/>
      <c r="K706" s="9"/>
    </row>
    <row r="707">
      <c r="A707" s="6"/>
      <c r="B707" s="7"/>
      <c r="C707" s="7"/>
      <c r="D707" s="7"/>
      <c r="E707" s="7"/>
      <c r="F707" s="7"/>
      <c r="G707" s="7"/>
      <c r="H707" s="7"/>
      <c r="I707" s="7"/>
      <c r="J707" s="8"/>
      <c r="K707" s="9"/>
    </row>
    <row r="708">
      <c r="A708" s="6"/>
      <c r="B708" s="7"/>
      <c r="C708" s="7"/>
      <c r="D708" s="7"/>
      <c r="E708" s="7"/>
      <c r="F708" s="7"/>
      <c r="G708" s="7"/>
      <c r="H708" s="7"/>
      <c r="I708" s="7"/>
      <c r="J708" s="8"/>
      <c r="K708" s="9"/>
    </row>
    <row r="709">
      <c r="A709" s="6"/>
      <c r="B709" s="7"/>
      <c r="C709" s="7"/>
      <c r="D709" s="7"/>
      <c r="E709" s="7"/>
      <c r="F709" s="7"/>
      <c r="G709" s="7"/>
      <c r="H709" s="7"/>
      <c r="I709" s="7"/>
      <c r="J709" s="8"/>
      <c r="K709" s="9"/>
    </row>
    <row r="710">
      <c r="A710" s="6"/>
      <c r="B710" s="7"/>
      <c r="C710" s="7"/>
      <c r="D710" s="7"/>
      <c r="E710" s="7"/>
      <c r="F710" s="7"/>
      <c r="G710" s="7"/>
      <c r="H710" s="7"/>
      <c r="I710" s="7"/>
      <c r="J710" s="8"/>
      <c r="K710" s="9"/>
    </row>
    <row r="711">
      <c r="A711" s="6"/>
      <c r="B711" s="7"/>
      <c r="C711" s="7"/>
      <c r="D711" s="7"/>
      <c r="E711" s="7"/>
      <c r="F711" s="7"/>
      <c r="G711" s="7"/>
      <c r="H711" s="7"/>
      <c r="I711" s="7"/>
      <c r="J711" s="8"/>
      <c r="K711" s="9"/>
    </row>
    <row r="712">
      <c r="A712" s="6"/>
      <c r="B712" s="7"/>
      <c r="C712" s="7"/>
      <c r="D712" s="7"/>
      <c r="E712" s="7"/>
      <c r="F712" s="7"/>
      <c r="G712" s="7"/>
      <c r="H712" s="7"/>
      <c r="I712" s="7"/>
      <c r="J712" s="8"/>
      <c r="K712" s="9"/>
    </row>
    <row r="713">
      <c r="A713" s="6"/>
      <c r="B713" s="7"/>
      <c r="C713" s="7"/>
      <c r="D713" s="7"/>
      <c r="E713" s="7"/>
      <c r="F713" s="7"/>
      <c r="G713" s="7"/>
      <c r="H713" s="7"/>
      <c r="I713" s="7"/>
      <c r="J713" s="8"/>
      <c r="K713" s="9"/>
    </row>
    <row r="714">
      <c r="A714" s="6"/>
      <c r="B714" s="7"/>
      <c r="C714" s="7"/>
      <c r="D714" s="7"/>
      <c r="E714" s="7"/>
      <c r="F714" s="7"/>
      <c r="G714" s="7"/>
      <c r="H714" s="7"/>
      <c r="I714" s="7"/>
      <c r="J714" s="8"/>
      <c r="K714" s="9"/>
    </row>
    <row r="715">
      <c r="A715" s="6"/>
      <c r="B715" s="7"/>
      <c r="C715" s="7"/>
      <c r="D715" s="7"/>
      <c r="E715" s="7"/>
      <c r="F715" s="7"/>
      <c r="G715" s="7"/>
      <c r="H715" s="7"/>
      <c r="I715" s="7"/>
      <c r="J715" s="8"/>
      <c r="K715" s="9"/>
    </row>
    <row r="716">
      <c r="A716" s="6"/>
      <c r="B716" s="7"/>
      <c r="C716" s="7"/>
      <c r="D716" s="7"/>
      <c r="E716" s="7"/>
      <c r="F716" s="7"/>
      <c r="G716" s="7"/>
      <c r="H716" s="7"/>
      <c r="I716" s="7"/>
      <c r="J716" s="8"/>
      <c r="K716" s="9"/>
    </row>
    <row r="717">
      <c r="A717" s="6"/>
      <c r="B717" s="7"/>
      <c r="C717" s="7"/>
      <c r="D717" s="7"/>
      <c r="E717" s="7"/>
      <c r="F717" s="7"/>
      <c r="G717" s="7"/>
      <c r="H717" s="7"/>
      <c r="I717" s="7"/>
      <c r="J717" s="8"/>
      <c r="K717" s="9"/>
    </row>
    <row r="718">
      <c r="A718" s="6"/>
      <c r="B718" s="7"/>
      <c r="C718" s="7"/>
      <c r="D718" s="7"/>
      <c r="E718" s="7"/>
      <c r="F718" s="7"/>
      <c r="G718" s="7"/>
      <c r="H718" s="7"/>
      <c r="I718" s="7"/>
      <c r="J718" s="8"/>
      <c r="K718" s="9"/>
    </row>
    <row r="719">
      <c r="A719" s="6"/>
      <c r="B719" s="7"/>
      <c r="C719" s="7"/>
      <c r="D719" s="7"/>
      <c r="E719" s="7"/>
      <c r="F719" s="7"/>
      <c r="G719" s="7"/>
      <c r="H719" s="7"/>
      <c r="I719" s="7"/>
      <c r="J719" s="8"/>
      <c r="K719" s="9"/>
    </row>
    <row r="720">
      <c r="A720" s="6"/>
      <c r="B720" s="7"/>
      <c r="C720" s="7"/>
      <c r="D720" s="7"/>
      <c r="E720" s="7"/>
      <c r="F720" s="7"/>
      <c r="G720" s="7"/>
      <c r="H720" s="7"/>
      <c r="I720" s="7"/>
      <c r="J720" s="8"/>
      <c r="K720" s="9"/>
    </row>
    <row r="721">
      <c r="A721" s="6"/>
      <c r="B721" s="7"/>
      <c r="C721" s="7"/>
      <c r="D721" s="7"/>
      <c r="E721" s="7"/>
      <c r="F721" s="7"/>
      <c r="G721" s="7"/>
      <c r="H721" s="7"/>
      <c r="I721" s="7"/>
      <c r="J721" s="8"/>
      <c r="K721" s="9"/>
    </row>
    <row r="722">
      <c r="A722" s="6"/>
      <c r="B722" s="7"/>
      <c r="C722" s="7"/>
      <c r="D722" s="7"/>
      <c r="E722" s="7"/>
      <c r="F722" s="7"/>
      <c r="G722" s="7"/>
      <c r="H722" s="7"/>
      <c r="I722" s="7"/>
      <c r="J722" s="8"/>
      <c r="K722" s="9"/>
    </row>
    <row r="723">
      <c r="A723" s="6"/>
      <c r="B723" s="7"/>
      <c r="C723" s="7"/>
      <c r="D723" s="7"/>
      <c r="E723" s="7"/>
      <c r="F723" s="7"/>
      <c r="G723" s="7"/>
      <c r="H723" s="7"/>
      <c r="I723" s="7"/>
      <c r="J723" s="8"/>
      <c r="K723" s="9"/>
    </row>
    <row r="724">
      <c r="A724" s="6"/>
      <c r="B724" s="7"/>
      <c r="C724" s="7"/>
      <c r="D724" s="7"/>
      <c r="E724" s="7"/>
      <c r="F724" s="7"/>
      <c r="G724" s="7"/>
      <c r="H724" s="7"/>
      <c r="I724" s="7"/>
      <c r="J724" s="8"/>
      <c r="K724" s="9"/>
    </row>
    <row r="725">
      <c r="A725" s="6"/>
      <c r="B725" s="7"/>
      <c r="C725" s="7"/>
      <c r="D725" s="7"/>
      <c r="E725" s="7"/>
      <c r="F725" s="7"/>
      <c r="G725" s="7"/>
      <c r="H725" s="7"/>
      <c r="I725" s="7"/>
      <c r="J725" s="8"/>
      <c r="K725" s="9"/>
    </row>
    <row r="726">
      <c r="A726" s="6"/>
      <c r="B726" s="7"/>
      <c r="C726" s="7"/>
      <c r="D726" s="7"/>
      <c r="E726" s="7"/>
      <c r="F726" s="7"/>
      <c r="G726" s="7"/>
      <c r="H726" s="7"/>
      <c r="I726" s="7"/>
      <c r="J726" s="8"/>
      <c r="K726" s="9"/>
    </row>
    <row r="727">
      <c r="A727" s="6"/>
      <c r="B727" s="7"/>
      <c r="C727" s="7"/>
      <c r="D727" s="7"/>
      <c r="E727" s="7"/>
      <c r="F727" s="7"/>
      <c r="G727" s="7"/>
      <c r="H727" s="7"/>
      <c r="I727" s="7"/>
      <c r="J727" s="8"/>
      <c r="K727" s="9"/>
    </row>
    <row r="728">
      <c r="A728" s="6"/>
      <c r="B728" s="7"/>
      <c r="C728" s="7"/>
      <c r="D728" s="7"/>
      <c r="E728" s="7"/>
      <c r="F728" s="7"/>
      <c r="G728" s="7"/>
      <c r="H728" s="7"/>
      <c r="I728" s="7"/>
      <c r="J728" s="8"/>
      <c r="K728" s="9"/>
    </row>
    <row r="729">
      <c r="A729" s="6"/>
      <c r="B729" s="7"/>
      <c r="C729" s="7"/>
      <c r="D729" s="7"/>
      <c r="E729" s="7"/>
      <c r="F729" s="7"/>
      <c r="G729" s="7"/>
      <c r="H729" s="7"/>
      <c r="I729" s="7"/>
      <c r="J729" s="8"/>
      <c r="K729" s="9"/>
    </row>
    <row r="730">
      <c r="A730" s="6"/>
      <c r="B730" s="7"/>
      <c r="C730" s="7"/>
      <c r="D730" s="7"/>
      <c r="E730" s="7"/>
      <c r="F730" s="7"/>
      <c r="G730" s="7"/>
      <c r="H730" s="7"/>
      <c r="I730" s="7"/>
      <c r="J730" s="8"/>
      <c r="K730" s="9"/>
    </row>
    <row r="731">
      <c r="A731" s="6"/>
      <c r="B731" s="7"/>
      <c r="C731" s="7"/>
      <c r="D731" s="7"/>
      <c r="E731" s="7"/>
      <c r="F731" s="7"/>
      <c r="G731" s="7"/>
      <c r="H731" s="7"/>
      <c r="I731" s="7"/>
      <c r="J731" s="8"/>
      <c r="K731" s="9"/>
    </row>
    <row r="732">
      <c r="A732" s="6"/>
      <c r="B732" s="7"/>
      <c r="C732" s="7"/>
      <c r="D732" s="7"/>
      <c r="E732" s="7"/>
      <c r="F732" s="7"/>
      <c r="G732" s="7"/>
      <c r="H732" s="7"/>
      <c r="I732" s="7"/>
      <c r="J732" s="8"/>
      <c r="K732" s="9"/>
    </row>
    <row r="733">
      <c r="A733" s="6"/>
      <c r="B733" s="7"/>
      <c r="C733" s="7"/>
      <c r="D733" s="7"/>
      <c r="E733" s="7"/>
      <c r="F733" s="7"/>
      <c r="G733" s="7"/>
      <c r="H733" s="7"/>
      <c r="I733" s="7"/>
      <c r="J733" s="8"/>
      <c r="K733" s="9"/>
    </row>
    <row r="734">
      <c r="A734" s="6"/>
      <c r="B734" s="7"/>
      <c r="C734" s="7"/>
      <c r="D734" s="7"/>
      <c r="E734" s="7"/>
      <c r="F734" s="7"/>
      <c r="G734" s="7"/>
      <c r="H734" s="7"/>
      <c r="I734" s="7"/>
      <c r="J734" s="8"/>
      <c r="K734" s="9"/>
    </row>
    <row r="735">
      <c r="A735" s="6"/>
      <c r="B735" s="7"/>
      <c r="C735" s="7"/>
      <c r="D735" s="7"/>
      <c r="E735" s="7"/>
      <c r="F735" s="7"/>
      <c r="G735" s="7"/>
      <c r="H735" s="7"/>
      <c r="I735" s="7"/>
      <c r="J735" s="8"/>
      <c r="K735" s="9"/>
    </row>
    <row r="736">
      <c r="A736" s="6"/>
      <c r="B736" s="7"/>
      <c r="C736" s="7"/>
      <c r="D736" s="7"/>
      <c r="E736" s="7"/>
      <c r="F736" s="7"/>
      <c r="G736" s="7"/>
      <c r="H736" s="7"/>
      <c r="I736" s="7"/>
      <c r="J736" s="8"/>
      <c r="K736" s="9"/>
    </row>
    <row r="737">
      <c r="A737" s="6"/>
      <c r="B737" s="7"/>
      <c r="C737" s="7"/>
      <c r="D737" s="7"/>
      <c r="E737" s="7"/>
      <c r="F737" s="7"/>
      <c r="G737" s="7"/>
      <c r="H737" s="7"/>
      <c r="I737" s="7"/>
      <c r="J737" s="8"/>
      <c r="K737" s="9"/>
    </row>
    <row r="738">
      <c r="A738" s="6"/>
      <c r="B738" s="7"/>
      <c r="C738" s="7"/>
      <c r="D738" s="7"/>
      <c r="E738" s="7"/>
      <c r="F738" s="7"/>
      <c r="G738" s="7"/>
      <c r="H738" s="7"/>
      <c r="I738" s="7"/>
      <c r="J738" s="8"/>
      <c r="K738" s="9"/>
    </row>
    <row r="739">
      <c r="A739" s="6"/>
      <c r="B739" s="7"/>
      <c r="C739" s="7"/>
      <c r="D739" s="7"/>
      <c r="E739" s="7"/>
      <c r="F739" s="7"/>
      <c r="G739" s="7"/>
      <c r="H739" s="7"/>
      <c r="I739" s="7"/>
      <c r="J739" s="8"/>
      <c r="K739" s="9"/>
    </row>
    <row r="740">
      <c r="A740" s="6"/>
      <c r="B740" s="7"/>
      <c r="C740" s="7"/>
      <c r="D740" s="7"/>
      <c r="E740" s="7"/>
      <c r="F740" s="7"/>
      <c r="G740" s="7"/>
      <c r="H740" s="7"/>
      <c r="I740" s="7"/>
      <c r="J740" s="8"/>
      <c r="K740" s="9"/>
    </row>
    <row r="741">
      <c r="A741" s="6"/>
      <c r="B741" s="7"/>
      <c r="C741" s="7"/>
      <c r="D741" s="7"/>
      <c r="E741" s="7"/>
      <c r="F741" s="7"/>
      <c r="G741" s="7"/>
      <c r="H741" s="7"/>
      <c r="I741" s="7"/>
      <c r="J741" s="8"/>
      <c r="K741" s="9"/>
    </row>
    <row r="742">
      <c r="A742" s="6"/>
      <c r="B742" s="7"/>
      <c r="C742" s="7"/>
      <c r="D742" s="7"/>
      <c r="E742" s="7"/>
      <c r="F742" s="7"/>
      <c r="G742" s="7"/>
      <c r="H742" s="7"/>
      <c r="I742" s="7"/>
      <c r="J742" s="8"/>
      <c r="K742" s="9"/>
    </row>
    <row r="743">
      <c r="A743" s="6"/>
      <c r="B743" s="7"/>
      <c r="C743" s="7"/>
      <c r="D743" s="7"/>
      <c r="E743" s="7"/>
      <c r="F743" s="7"/>
      <c r="G743" s="7"/>
      <c r="H743" s="7"/>
      <c r="I743" s="7"/>
      <c r="J743" s="8"/>
      <c r="K743" s="9"/>
    </row>
    <row r="744">
      <c r="A744" s="6"/>
      <c r="B744" s="7"/>
      <c r="C744" s="7"/>
      <c r="D744" s="7"/>
      <c r="E744" s="7"/>
      <c r="F744" s="7"/>
      <c r="G744" s="7"/>
      <c r="H744" s="7"/>
      <c r="I744" s="7"/>
      <c r="J744" s="8"/>
      <c r="K744" s="9"/>
    </row>
    <row r="745">
      <c r="A745" s="6"/>
      <c r="B745" s="7"/>
      <c r="C745" s="7"/>
      <c r="D745" s="7"/>
      <c r="E745" s="7"/>
      <c r="F745" s="7"/>
      <c r="G745" s="7"/>
      <c r="H745" s="7"/>
      <c r="I745" s="7"/>
      <c r="J745" s="8"/>
      <c r="K745" s="9"/>
    </row>
    <row r="746">
      <c r="A746" s="6"/>
      <c r="B746" s="7"/>
      <c r="C746" s="7"/>
      <c r="D746" s="7"/>
      <c r="E746" s="7"/>
      <c r="F746" s="7"/>
      <c r="G746" s="7"/>
      <c r="H746" s="7"/>
      <c r="I746" s="7"/>
      <c r="J746" s="8"/>
      <c r="K746" s="9"/>
    </row>
    <row r="747">
      <c r="A747" s="6"/>
      <c r="B747" s="7"/>
      <c r="C747" s="7"/>
      <c r="D747" s="7"/>
      <c r="E747" s="7"/>
      <c r="F747" s="7"/>
      <c r="G747" s="7"/>
      <c r="H747" s="7"/>
      <c r="I747" s="7"/>
      <c r="J747" s="8"/>
      <c r="K747" s="9"/>
    </row>
    <row r="748">
      <c r="A748" s="6"/>
      <c r="B748" s="7"/>
      <c r="C748" s="7"/>
      <c r="D748" s="7"/>
      <c r="E748" s="7"/>
      <c r="F748" s="7"/>
      <c r="G748" s="7"/>
      <c r="H748" s="7"/>
      <c r="I748" s="7"/>
      <c r="J748" s="8"/>
      <c r="K748" s="9"/>
    </row>
    <row r="749">
      <c r="A749" s="6"/>
      <c r="B749" s="7"/>
      <c r="C749" s="7"/>
      <c r="D749" s="7"/>
      <c r="E749" s="7"/>
      <c r="F749" s="7"/>
      <c r="G749" s="7"/>
      <c r="H749" s="7"/>
      <c r="I749" s="7"/>
      <c r="J749" s="8"/>
      <c r="K749" s="9"/>
    </row>
    <row r="750">
      <c r="A750" s="6"/>
      <c r="B750" s="7"/>
      <c r="C750" s="7"/>
      <c r="D750" s="7"/>
      <c r="E750" s="7"/>
      <c r="F750" s="7"/>
      <c r="G750" s="7"/>
      <c r="H750" s="7"/>
      <c r="I750" s="7"/>
      <c r="J750" s="8"/>
      <c r="K750" s="9"/>
    </row>
    <row r="751">
      <c r="A751" s="6"/>
      <c r="B751" s="7"/>
      <c r="C751" s="7"/>
      <c r="D751" s="7"/>
      <c r="E751" s="7"/>
      <c r="F751" s="7"/>
      <c r="G751" s="7"/>
      <c r="H751" s="7"/>
      <c r="I751" s="7"/>
      <c r="J751" s="8"/>
      <c r="K751" s="9"/>
    </row>
    <row r="752">
      <c r="A752" s="6"/>
      <c r="B752" s="7"/>
      <c r="C752" s="7"/>
      <c r="D752" s="7"/>
      <c r="E752" s="7"/>
      <c r="F752" s="7"/>
      <c r="G752" s="7"/>
      <c r="H752" s="7"/>
      <c r="I752" s="7"/>
      <c r="J752" s="8"/>
      <c r="K752" s="9"/>
    </row>
    <row r="753">
      <c r="A753" s="6"/>
      <c r="B753" s="7"/>
      <c r="C753" s="7"/>
      <c r="D753" s="7"/>
      <c r="E753" s="7"/>
      <c r="F753" s="7"/>
      <c r="G753" s="7"/>
      <c r="H753" s="7"/>
      <c r="I753" s="7"/>
      <c r="J753" s="8"/>
      <c r="K753" s="9"/>
    </row>
    <row r="754">
      <c r="A754" s="6"/>
      <c r="B754" s="7"/>
      <c r="C754" s="7"/>
      <c r="D754" s="7"/>
      <c r="E754" s="7"/>
      <c r="F754" s="7"/>
      <c r="G754" s="7"/>
      <c r="H754" s="7"/>
      <c r="I754" s="7"/>
      <c r="J754" s="8"/>
      <c r="K754" s="9"/>
    </row>
    <row r="755">
      <c r="A755" s="6"/>
      <c r="B755" s="7"/>
      <c r="C755" s="7"/>
      <c r="D755" s="7"/>
      <c r="E755" s="7"/>
      <c r="F755" s="7"/>
      <c r="G755" s="7"/>
      <c r="H755" s="7"/>
      <c r="I755" s="7"/>
      <c r="J755" s="8"/>
      <c r="K755" s="9"/>
    </row>
    <row r="756">
      <c r="A756" s="6"/>
      <c r="B756" s="7"/>
      <c r="C756" s="7"/>
      <c r="D756" s="7"/>
      <c r="E756" s="7"/>
      <c r="F756" s="7"/>
      <c r="G756" s="7"/>
      <c r="H756" s="7"/>
      <c r="I756" s="7"/>
      <c r="J756" s="8"/>
      <c r="K756" s="9"/>
    </row>
    <row r="757">
      <c r="A757" s="6"/>
      <c r="B757" s="7"/>
      <c r="C757" s="7"/>
      <c r="D757" s="7"/>
      <c r="E757" s="7"/>
      <c r="F757" s="7"/>
      <c r="G757" s="7"/>
      <c r="H757" s="7"/>
      <c r="I757" s="7"/>
      <c r="J757" s="8"/>
      <c r="K757" s="9"/>
    </row>
    <row r="758">
      <c r="A758" s="6"/>
      <c r="B758" s="7"/>
      <c r="C758" s="7"/>
      <c r="D758" s="7"/>
      <c r="E758" s="7"/>
      <c r="F758" s="7"/>
      <c r="G758" s="7"/>
      <c r="H758" s="7"/>
      <c r="I758" s="7"/>
      <c r="J758" s="8"/>
      <c r="K758" s="9"/>
    </row>
    <row r="759">
      <c r="A759" s="6"/>
      <c r="B759" s="7"/>
      <c r="C759" s="7"/>
      <c r="D759" s="7"/>
      <c r="E759" s="7"/>
      <c r="F759" s="7"/>
      <c r="G759" s="7"/>
      <c r="H759" s="7"/>
      <c r="I759" s="7"/>
      <c r="J759" s="8"/>
      <c r="K759" s="9"/>
    </row>
    <row r="760">
      <c r="A760" s="6"/>
      <c r="B760" s="7"/>
      <c r="C760" s="7"/>
      <c r="D760" s="7"/>
      <c r="E760" s="7"/>
      <c r="F760" s="7"/>
      <c r="G760" s="7"/>
      <c r="H760" s="7"/>
      <c r="I760" s="7"/>
      <c r="J760" s="8"/>
      <c r="K760" s="9"/>
    </row>
    <row r="761">
      <c r="A761" s="6"/>
      <c r="B761" s="7"/>
      <c r="C761" s="7"/>
      <c r="D761" s="7"/>
      <c r="E761" s="7"/>
      <c r="F761" s="7"/>
      <c r="G761" s="7"/>
      <c r="H761" s="7"/>
      <c r="I761" s="7"/>
      <c r="J761" s="8"/>
      <c r="K761" s="9"/>
    </row>
    <row r="762">
      <c r="A762" s="6"/>
      <c r="B762" s="7"/>
      <c r="C762" s="7"/>
      <c r="D762" s="7"/>
      <c r="E762" s="7"/>
      <c r="F762" s="7"/>
      <c r="G762" s="7"/>
      <c r="H762" s="7"/>
      <c r="I762" s="7"/>
      <c r="J762" s="8"/>
      <c r="K762" s="9"/>
    </row>
    <row r="763">
      <c r="A763" s="6"/>
      <c r="B763" s="7"/>
      <c r="C763" s="7"/>
      <c r="D763" s="7"/>
      <c r="E763" s="7"/>
      <c r="F763" s="7"/>
      <c r="G763" s="7"/>
      <c r="H763" s="7"/>
      <c r="I763" s="7"/>
      <c r="J763" s="8"/>
      <c r="K763" s="9"/>
    </row>
    <row r="764">
      <c r="A764" s="6"/>
      <c r="B764" s="7"/>
      <c r="C764" s="7"/>
      <c r="D764" s="7"/>
      <c r="E764" s="7"/>
      <c r="F764" s="7"/>
      <c r="G764" s="7"/>
      <c r="H764" s="7"/>
      <c r="I764" s="7"/>
      <c r="J764" s="8"/>
      <c r="K764" s="9"/>
    </row>
    <row r="765">
      <c r="A765" s="6"/>
      <c r="B765" s="7"/>
      <c r="C765" s="7"/>
      <c r="D765" s="7"/>
      <c r="E765" s="7"/>
      <c r="F765" s="7"/>
      <c r="G765" s="7"/>
      <c r="H765" s="7"/>
      <c r="I765" s="7"/>
      <c r="J765" s="8"/>
      <c r="K765" s="9"/>
    </row>
    <row r="766">
      <c r="A766" s="6"/>
      <c r="B766" s="7"/>
      <c r="C766" s="7"/>
      <c r="D766" s="7"/>
      <c r="E766" s="7"/>
      <c r="F766" s="7"/>
      <c r="G766" s="7"/>
      <c r="H766" s="7"/>
      <c r="I766" s="7"/>
      <c r="J766" s="8"/>
      <c r="K766" s="9"/>
    </row>
    <row r="767">
      <c r="A767" s="6"/>
      <c r="B767" s="7"/>
      <c r="C767" s="7"/>
      <c r="D767" s="7"/>
      <c r="E767" s="7"/>
      <c r="F767" s="7"/>
      <c r="G767" s="7"/>
      <c r="H767" s="7"/>
      <c r="I767" s="7"/>
      <c r="J767" s="8"/>
      <c r="K767" s="9"/>
    </row>
    <row r="768">
      <c r="A768" s="6"/>
      <c r="B768" s="7"/>
      <c r="C768" s="7"/>
      <c r="D768" s="7"/>
      <c r="E768" s="7"/>
      <c r="F768" s="7"/>
      <c r="G768" s="7"/>
      <c r="H768" s="7"/>
      <c r="I768" s="7"/>
      <c r="J768" s="8"/>
      <c r="K768" s="9"/>
    </row>
    <row r="769">
      <c r="A769" s="6"/>
      <c r="B769" s="7"/>
      <c r="C769" s="7"/>
      <c r="D769" s="7"/>
      <c r="E769" s="7"/>
      <c r="F769" s="7"/>
      <c r="G769" s="7"/>
      <c r="H769" s="7"/>
      <c r="I769" s="7"/>
      <c r="J769" s="8"/>
      <c r="K769" s="9"/>
    </row>
    <row r="770">
      <c r="A770" s="6"/>
      <c r="B770" s="7"/>
      <c r="C770" s="7"/>
      <c r="D770" s="7"/>
      <c r="E770" s="7"/>
      <c r="F770" s="7"/>
      <c r="G770" s="7"/>
      <c r="H770" s="7"/>
      <c r="I770" s="7"/>
      <c r="J770" s="8"/>
      <c r="K770" s="9"/>
    </row>
    <row r="771">
      <c r="A771" s="6"/>
      <c r="B771" s="7"/>
      <c r="C771" s="7"/>
      <c r="D771" s="7"/>
      <c r="E771" s="7"/>
      <c r="F771" s="7"/>
      <c r="G771" s="7"/>
      <c r="H771" s="7"/>
      <c r="I771" s="7"/>
      <c r="J771" s="8"/>
      <c r="K771" s="9"/>
    </row>
    <row r="772">
      <c r="A772" s="6"/>
      <c r="B772" s="7"/>
      <c r="C772" s="7"/>
      <c r="D772" s="7"/>
      <c r="E772" s="7"/>
      <c r="F772" s="7"/>
      <c r="G772" s="7"/>
      <c r="H772" s="7"/>
      <c r="I772" s="7"/>
      <c r="J772" s="8"/>
      <c r="K772" s="9"/>
    </row>
    <row r="773">
      <c r="A773" s="6"/>
      <c r="B773" s="7"/>
      <c r="C773" s="7"/>
      <c r="D773" s="7"/>
      <c r="E773" s="7"/>
      <c r="F773" s="7"/>
      <c r="G773" s="7"/>
      <c r="H773" s="7"/>
      <c r="I773" s="7"/>
      <c r="J773" s="8"/>
      <c r="K773" s="9"/>
    </row>
    <row r="774">
      <c r="A774" s="6"/>
      <c r="B774" s="7"/>
      <c r="C774" s="7"/>
      <c r="D774" s="7"/>
      <c r="E774" s="7"/>
      <c r="F774" s="7"/>
      <c r="G774" s="7"/>
      <c r="H774" s="7"/>
      <c r="I774" s="7"/>
      <c r="J774" s="8"/>
      <c r="K774" s="9"/>
    </row>
    <row r="775">
      <c r="A775" s="6"/>
      <c r="B775" s="7"/>
      <c r="C775" s="7"/>
      <c r="D775" s="7"/>
      <c r="E775" s="7"/>
      <c r="F775" s="7"/>
      <c r="G775" s="7"/>
      <c r="H775" s="7"/>
      <c r="I775" s="7"/>
      <c r="J775" s="8"/>
      <c r="K775" s="9"/>
    </row>
    <row r="776">
      <c r="A776" s="6"/>
      <c r="B776" s="7"/>
      <c r="C776" s="7"/>
      <c r="D776" s="7"/>
      <c r="E776" s="7"/>
      <c r="F776" s="7"/>
      <c r="G776" s="7"/>
      <c r="H776" s="7"/>
      <c r="I776" s="7"/>
      <c r="J776" s="8"/>
      <c r="K776" s="9"/>
    </row>
    <row r="777">
      <c r="A777" s="6"/>
      <c r="B777" s="7"/>
      <c r="C777" s="7"/>
      <c r="D777" s="7"/>
      <c r="E777" s="7"/>
      <c r="F777" s="7"/>
      <c r="G777" s="7"/>
      <c r="H777" s="7"/>
      <c r="I777" s="7"/>
      <c r="J777" s="8"/>
      <c r="K777" s="9"/>
    </row>
    <row r="778">
      <c r="A778" s="6"/>
      <c r="B778" s="7"/>
      <c r="C778" s="7"/>
      <c r="D778" s="7"/>
      <c r="E778" s="7"/>
      <c r="F778" s="7"/>
      <c r="G778" s="7"/>
      <c r="H778" s="7"/>
      <c r="I778" s="7"/>
      <c r="J778" s="8"/>
      <c r="K778" s="9"/>
    </row>
    <row r="779">
      <c r="A779" s="6"/>
      <c r="B779" s="7"/>
      <c r="C779" s="7"/>
      <c r="D779" s="7"/>
      <c r="E779" s="7"/>
      <c r="F779" s="7"/>
      <c r="G779" s="7"/>
      <c r="H779" s="7"/>
      <c r="I779" s="7"/>
      <c r="J779" s="8"/>
      <c r="K779" s="9"/>
    </row>
    <row r="780">
      <c r="A780" s="6"/>
      <c r="B780" s="7"/>
      <c r="C780" s="7"/>
      <c r="D780" s="7"/>
      <c r="E780" s="7"/>
      <c r="F780" s="7"/>
      <c r="G780" s="7"/>
      <c r="H780" s="7"/>
      <c r="I780" s="7"/>
      <c r="J780" s="8"/>
      <c r="K780" s="9"/>
    </row>
    <row r="781">
      <c r="A781" s="6"/>
      <c r="B781" s="7"/>
      <c r="C781" s="7"/>
      <c r="D781" s="7"/>
      <c r="E781" s="7"/>
      <c r="F781" s="7"/>
      <c r="G781" s="7"/>
      <c r="H781" s="7"/>
      <c r="I781" s="7"/>
      <c r="J781" s="8"/>
      <c r="K781" s="9"/>
    </row>
    <row r="782">
      <c r="A782" s="6"/>
      <c r="B782" s="7"/>
      <c r="C782" s="7"/>
      <c r="D782" s="7"/>
      <c r="E782" s="7"/>
      <c r="F782" s="7"/>
      <c r="G782" s="7"/>
      <c r="H782" s="7"/>
      <c r="I782" s="7"/>
      <c r="J782" s="8"/>
      <c r="K782" s="9"/>
    </row>
    <row r="783">
      <c r="A783" s="6"/>
      <c r="B783" s="7"/>
      <c r="C783" s="7"/>
      <c r="D783" s="7"/>
      <c r="E783" s="7"/>
      <c r="F783" s="7"/>
      <c r="G783" s="7"/>
      <c r="H783" s="7"/>
      <c r="I783" s="7"/>
      <c r="J783" s="8"/>
      <c r="K783" s="9"/>
    </row>
    <row r="784">
      <c r="A784" s="6"/>
      <c r="B784" s="7"/>
      <c r="C784" s="7"/>
      <c r="D784" s="7"/>
      <c r="E784" s="7"/>
      <c r="F784" s="7"/>
      <c r="G784" s="7"/>
      <c r="H784" s="7"/>
      <c r="I784" s="7"/>
      <c r="J784" s="8"/>
      <c r="K784" s="9"/>
    </row>
    <row r="785">
      <c r="A785" s="6"/>
      <c r="B785" s="7"/>
      <c r="C785" s="7"/>
      <c r="D785" s="7"/>
      <c r="E785" s="7"/>
      <c r="F785" s="7"/>
      <c r="G785" s="7"/>
      <c r="H785" s="7"/>
      <c r="I785" s="7"/>
      <c r="J785" s="8"/>
      <c r="K785" s="9"/>
    </row>
    <row r="786">
      <c r="A786" s="6"/>
      <c r="B786" s="7"/>
      <c r="C786" s="7"/>
      <c r="D786" s="7"/>
      <c r="E786" s="7"/>
      <c r="F786" s="7"/>
      <c r="G786" s="7"/>
      <c r="H786" s="7"/>
      <c r="I786" s="7"/>
      <c r="J786" s="8"/>
      <c r="K786" s="9"/>
    </row>
    <row r="787">
      <c r="A787" s="6"/>
      <c r="B787" s="7"/>
      <c r="C787" s="7"/>
      <c r="D787" s="7"/>
      <c r="E787" s="7"/>
      <c r="F787" s="7"/>
      <c r="G787" s="7"/>
      <c r="H787" s="7"/>
      <c r="I787" s="7"/>
      <c r="J787" s="8"/>
      <c r="K787" s="9"/>
    </row>
    <row r="788">
      <c r="A788" s="6"/>
      <c r="B788" s="7"/>
      <c r="C788" s="7"/>
      <c r="D788" s="7"/>
      <c r="E788" s="7"/>
      <c r="F788" s="7"/>
      <c r="G788" s="7"/>
      <c r="H788" s="7"/>
      <c r="I788" s="7"/>
      <c r="J788" s="8"/>
      <c r="K788" s="9"/>
    </row>
    <row r="789">
      <c r="A789" s="6"/>
      <c r="B789" s="7"/>
      <c r="C789" s="7"/>
      <c r="D789" s="7"/>
      <c r="E789" s="7"/>
      <c r="F789" s="7"/>
      <c r="G789" s="7"/>
      <c r="H789" s="7"/>
      <c r="I789" s="7"/>
      <c r="J789" s="8"/>
      <c r="K789" s="9"/>
    </row>
    <row r="790">
      <c r="A790" s="6"/>
      <c r="B790" s="7"/>
      <c r="C790" s="7"/>
      <c r="D790" s="7"/>
      <c r="E790" s="7"/>
      <c r="F790" s="7"/>
      <c r="G790" s="7"/>
      <c r="H790" s="7"/>
      <c r="I790" s="7"/>
      <c r="J790" s="8"/>
      <c r="K790" s="9"/>
    </row>
    <row r="791">
      <c r="A791" s="6"/>
      <c r="B791" s="7"/>
      <c r="C791" s="7"/>
      <c r="D791" s="7"/>
      <c r="E791" s="7"/>
      <c r="F791" s="7"/>
      <c r="G791" s="7"/>
      <c r="H791" s="7"/>
      <c r="I791" s="7"/>
      <c r="J791" s="8"/>
      <c r="K791" s="9"/>
    </row>
    <row r="792">
      <c r="A792" s="6"/>
      <c r="B792" s="7"/>
      <c r="C792" s="7"/>
      <c r="D792" s="7"/>
      <c r="E792" s="7"/>
      <c r="F792" s="7"/>
      <c r="G792" s="7"/>
      <c r="H792" s="7"/>
      <c r="I792" s="7"/>
      <c r="J792" s="8"/>
      <c r="K792" s="9"/>
    </row>
    <row r="793">
      <c r="A793" s="6"/>
      <c r="B793" s="7"/>
      <c r="C793" s="7"/>
      <c r="D793" s="7"/>
      <c r="E793" s="7"/>
      <c r="F793" s="7"/>
      <c r="G793" s="7"/>
      <c r="H793" s="7"/>
      <c r="I793" s="7"/>
      <c r="J793" s="8"/>
      <c r="K793" s="9"/>
    </row>
    <row r="794">
      <c r="A794" s="6"/>
      <c r="B794" s="7"/>
      <c r="C794" s="7"/>
      <c r="D794" s="7"/>
      <c r="E794" s="7"/>
      <c r="F794" s="7"/>
      <c r="G794" s="7"/>
      <c r="H794" s="7"/>
      <c r="I794" s="7"/>
      <c r="J794" s="8"/>
      <c r="K794" s="9"/>
    </row>
    <row r="795">
      <c r="A795" s="6"/>
      <c r="B795" s="7"/>
      <c r="C795" s="7"/>
      <c r="D795" s="7"/>
      <c r="E795" s="7"/>
      <c r="F795" s="7"/>
      <c r="G795" s="7"/>
      <c r="H795" s="7"/>
      <c r="I795" s="7"/>
      <c r="J795" s="8"/>
      <c r="K795" s="9"/>
    </row>
    <row r="796">
      <c r="A796" s="6"/>
      <c r="B796" s="7"/>
      <c r="C796" s="7"/>
      <c r="D796" s="7"/>
      <c r="E796" s="7"/>
      <c r="F796" s="7"/>
      <c r="G796" s="7"/>
      <c r="H796" s="7"/>
      <c r="I796" s="7"/>
      <c r="J796" s="8"/>
      <c r="K796" s="9"/>
    </row>
    <row r="797">
      <c r="A797" s="6"/>
      <c r="B797" s="7"/>
      <c r="C797" s="7"/>
      <c r="D797" s="7"/>
      <c r="E797" s="7"/>
      <c r="F797" s="7"/>
      <c r="G797" s="7"/>
      <c r="H797" s="7"/>
      <c r="I797" s="7"/>
      <c r="J797" s="8"/>
      <c r="K797" s="9"/>
    </row>
    <row r="798">
      <c r="A798" s="6"/>
      <c r="B798" s="7"/>
      <c r="C798" s="7"/>
      <c r="D798" s="7"/>
      <c r="E798" s="7"/>
      <c r="F798" s="7"/>
      <c r="G798" s="7"/>
      <c r="H798" s="7"/>
      <c r="I798" s="7"/>
      <c r="J798" s="8"/>
      <c r="K798" s="9"/>
    </row>
    <row r="799">
      <c r="A799" s="6"/>
      <c r="B799" s="7"/>
      <c r="C799" s="7"/>
      <c r="D799" s="7"/>
      <c r="E799" s="7"/>
      <c r="F799" s="7"/>
      <c r="G799" s="7"/>
      <c r="H799" s="7"/>
      <c r="I799" s="7"/>
      <c r="J799" s="8"/>
      <c r="K799" s="9"/>
    </row>
    <row r="800">
      <c r="A800" s="6"/>
      <c r="B800" s="7"/>
      <c r="C800" s="7"/>
      <c r="D800" s="7"/>
      <c r="E800" s="7"/>
      <c r="F800" s="7"/>
      <c r="G800" s="7"/>
      <c r="H800" s="7"/>
      <c r="I800" s="7"/>
      <c r="J800" s="8"/>
      <c r="K800" s="9"/>
    </row>
    <row r="801">
      <c r="A801" s="6"/>
      <c r="B801" s="7"/>
      <c r="C801" s="7"/>
      <c r="D801" s="7"/>
      <c r="E801" s="7"/>
      <c r="F801" s="7"/>
      <c r="G801" s="7"/>
      <c r="H801" s="7"/>
      <c r="I801" s="7"/>
      <c r="J801" s="8"/>
      <c r="K801" s="9"/>
    </row>
    <row r="802">
      <c r="A802" s="6"/>
      <c r="B802" s="7"/>
      <c r="C802" s="7"/>
      <c r="D802" s="7"/>
      <c r="E802" s="7"/>
      <c r="F802" s="7"/>
      <c r="G802" s="7"/>
      <c r="H802" s="7"/>
      <c r="I802" s="7"/>
      <c r="J802" s="8"/>
      <c r="K802" s="9"/>
    </row>
    <row r="803">
      <c r="A803" s="6"/>
      <c r="B803" s="7"/>
      <c r="C803" s="7"/>
      <c r="D803" s="7"/>
      <c r="E803" s="7"/>
      <c r="F803" s="7"/>
      <c r="G803" s="7"/>
      <c r="H803" s="7"/>
      <c r="I803" s="7"/>
      <c r="J803" s="8"/>
      <c r="K803" s="9"/>
    </row>
    <row r="804">
      <c r="A804" s="6"/>
      <c r="B804" s="7"/>
      <c r="C804" s="7"/>
      <c r="D804" s="7"/>
      <c r="E804" s="7"/>
      <c r="F804" s="7"/>
      <c r="G804" s="7"/>
      <c r="H804" s="7"/>
      <c r="I804" s="7"/>
      <c r="J804" s="8"/>
      <c r="K804" s="9"/>
    </row>
    <row r="805">
      <c r="A805" s="6"/>
      <c r="B805" s="7"/>
      <c r="C805" s="7"/>
      <c r="D805" s="7"/>
      <c r="E805" s="7"/>
      <c r="F805" s="7"/>
      <c r="G805" s="7"/>
      <c r="H805" s="7"/>
      <c r="I805" s="7"/>
      <c r="J805" s="8"/>
      <c r="K805" s="9"/>
    </row>
    <row r="806">
      <c r="A806" s="6"/>
      <c r="B806" s="7"/>
      <c r="C806" s="7"/>
      <c r="D806" s="7"/>
      <c r="E806" s="7"/>
      <c r="F806" s="7"/>
      <c r="G806" s="7"/>
      <c r="H806" s="7"/>
      <c r="I806" s="7"/>
      <c r="J806" s="8"/>
      <c r="K806" s="9"/>
    </row>
  </sheetData>
  <autoFilter ref="$A$1:$Z$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6.88"/>
    <col customWidth="1" min="3" max="3" width="12.25"/>
    <col customWidth="1" min="4" max="4" width="29.75"/>
    <col customWidth="1" min="5" max="5" width="17.63"/>
    <col customWidth="1" min="6" max="6" width="51.38"/>
    <col customWidth="1" min="7" max="7" width="9.5"/>
    <col customWidth="1" min="8" max="8" width="29.25"/>
    <col customWidth="1" min="9" max="9" width="11.5"/>
    <col customWidth="1" min="10" max="10" width="19.75"/>
    <col customWidth="1" min="11" max="11" width="27.88"/>
  </cols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1" t="s">
        <v>7</v>
      </c>
      <c r="I1" s="11" t="s">
        <v>8</v>
      </c>
      <c r="J1" s="12" t="s">
        <v>9</v>
      </c>
      <c r="K1" s="1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/>
      <c r="B2" s="13"/>
      <c r="C2" s="13" t="s">
        <v>11</v>
      </c>
      <c r="D2" s="14" t="s">
        <v>12</v>
      </c>
      <c r="E2" s="13"/>
      <c r="F2" s="13" t="s">
        <v>13</v>
      </c>
      <c r="G2" s="13" t="s">
        <v>14</v>
      </c>
      <c r="H2" s="13" t="s">
        <v>15</v>
      </c>
      <c r="I2" s="13">
        <v>1.0</v>
      </c>
      <c r="J2" s="13"/>
      <c r="K2" s="13"/>
    </row>
    <row r="3">
      <c r="A3" s="13"/>
      <c r="B3" s="13"/>
      <c r="C3" s="13" t="s">
        <v>11</v>
      </c>
      <c r="D3" s="13" t="s">
        <v>16</v>
      </c>
      <c r="E3" s="13"/>
      <c r="F3" s="13" t="s">
        <v>17</v>
      </c>
      <c r="G3" s="13" t="s">
        <v>14</v>
      </c>
      <c r="H3" s="13" t="s">
        <v>15</v>
      </c>
      <c r="I3" s="13">
        <v>15.0</v>
      </c>
      <c r="J3" s="13"/>
      <c r="K3" s="13"/>
    </row>
    <row r="4">
      <c r="A4" s="13"/>
      <c r="B4" s="13"/>
      <c r="C4" s="13" t="s">
        <v>11</v>
      </c>
      <c r="D4" s="13" t="s">
        <v>18</v>
      </c>
      <c r="E4" s="13"/>
      <c r="F4" s="13" t="s">
        <v>19</v>
      </c>
      <c r="G4" s="13" t="s">
        <v>14</v>
      </c>
      <c r="H4" s="13" t="s">
        <v>15</v>
      </c>
      <c r="I4" s="13">
        <v>6.0</v>
      </c>
      <c r="J4" s="13"/>
      <c r="K4" s="13"/>
    </row>
    <row r="5">
      <c r="A5" s="13"/>
      <c r="B5" s="13"/>
      <c r="C5" s="13" t="s">
        <v>11</v>
      </c>
      <c r="D5" s="13" t="s">
        <v>20</v>
      </c>
      <c r="E5" s="13"/>
      <c r="F5" s="13" t="s">
        <v>21</v>
      </c>
      <c r="G5" s="13" t="s">
        <v>22</v>
      </c>
      <c r="H5" s="13" t="s">
        <v>23</v>
      </c>
      <c r="I5" s="13">
        <v>1.0</v>
      </c>
      <c r="J5" s="13"/>
      <c r="K5" s="13"/>
    </row>
    <row r="6">
      <c r="A6" s="13"/>
      <c r="B6" s="13"/>
      <c r="C6" s="13" t="s">
        <v>11</v>
      </c>
      <c r="D6" s="13" t="s">
        <v>24</v>
      </c>
      <c r="E6" s="13"/>
      <c r="F6" s="13" t="s">
        <v>25</v>
      </c>
      <c r="G6" s="13" t="s">
        <v>22</v>
      </c>
      <c r="H6" s="13" t="s">
        <v>26</v>
      </c>
      <c r="I6" s="13">
        <v>1.0</v>
      </c>
      <c r="J6" s="13"/>
      <c r="K6" s="13"/>
    </row>
    <row r="7">
      <c r="A7" s="13"/>
      <c r="B7" s="13"/>
      <c r="C7" s="13" t="s">
        <v>11</v>
      </c>
      <c r="D7" s="15" t="s">
        <v>27</v>
      </c>
      <c r="E7" s="13"/>
      <c r="F7" s="13" t="s">
        <v>28</v>
      </c>
      <c r="G7" s="13" t="s">
        <v>14</v>
      </c>
      <c r="H7" s="13" t="s">
        <v>15</v>
      </c>
      <c r="I7" s="13">
        <v>2.0</v>
      </c>
      <c r="J7" s="13"/>
      <c r="K7" s="13"/>
    </row>
    <row r="8">
      <c r="A8" s="13"/>
      <c r="B8" s="13"/>
      <c r="C8" s="13" t="s">
        <v>11</v>
      </c>
      <c r="D8" s="13" t="s">
        <v>29</v>
      </c>
      <c r="E8" s="13"/>
      <c r="F8" s="13" t="s">
        <v>30</v>
      </c>
      <c r="G8" s="13" t="s">
        <v>22</v>
      </c>
      <c r="H8" s="16" t="s">
        <v>31</v>
      </c>
      <c r="I8" s="13">
        <v>2.0</v>
      </c>
      <c r="J8" s="13"/>
      <c r="K8" s="13"/>
    </row>
    <row r="9">
      <c r="A9" s="13"/>
      <c r="B9" s="13"/>
      <c r="C9" s="13" t="s">
        <v>32</v>
      </c>
      <c r="D9" s="13" t="s">
        <v>33</v>
      </c>
      <c r="E9" s="17" t="s">
        <v>34</v>
      </c>
      <c r="F9" s="13" t="s">
        <v>35</v>
      </c>
      <c r="G9" s="13" t="s">
        <v>14</v>
      </c>
      <c r="H9" s="13" t="s">
        <v>36</v>
      </c>
      <c r="I9" s="13">
        <v>4.0</v>
      </c>
      <c r="J9" s="13"/>
      <c r="K9" s="13"/>
    </row>
    <row r="10">
      <c r="A10" s="13"/>
      <c r="B10" s="13"/>
      <c r="C10" s="13" t="s">
        <v>32</v>
      </c>
      <c r="D10" s="13" t="s">
        <v>37</v>
      </c>
      <c r="E10" s="13"/>
      <c r="F10" s="13" t="s">
        <v>38</v>
      </c>
      <c r="G10" s="13" t="s">
        <v>14</v>
      </c>
      <c r="H10" s="13" t="s">
        <v>36</v>
      </c>
      <c r="I10" s="13">
        <v>8.0</v>
      </c>
      <c r="J10" s="13"/>
      <c r="K10" s="13"/>
    </row>
    <row r="11">
      <c r="A11" s="13"/>
      <c r="B11" s="13"/>
      <c r="C11" s="13" t="s">
        <v>32</v>
      </c>
      <c r="D11" s="13" t="s">
        <v>39</v>
      </c>
      <c r="E11" s="13"/>
      <c r="F11" s="13" t="s">
        <v>40</v>
      </c>
      <c r="G11" s="13" t="s">
        <v>14</v>
      </c>
      <c r="H11" s="13" t="s">
        <v>36</v>
      </c>
      <c r="I11" s="13">
        <v>4.0</v>
      </c>
      <c r="J11" s="13"/>
      <c r="K11" s="13"/>
    </row>
    <row r="12">
      <c r="A12" s="13"/>
      <c r="B12" s="13"/>
      <c r="C12" s="13" t="s">
        <v>32</v>
      </c>
      <c r="D12" s="13" t="s">
        <v>41</v>
      </c>
      <c r="E12" s="16" t="s">
        <v>34</v>
      </c>
      <c r="F12" s="13" t="s">
        <v>42</v>
      </c>
      <c r="G12" s="13" t="s">
        <v>14</v>
      </c>
      <c r="H12" s="13" t="s">
        <v>36</v>
      </c>
      <c r="I12" s="13">
        <v>7.0</v>
      </c>
      <c r="J12" s="13"/>
      <c r="K12" s="13"/>
    </row>
    <row r="13">
      <c r="A13" s="13"/>
      <c r="B13" s="13"/>
      <c r="C13" s="13" t="s">
        <v>32</v>
      </c>
      <c r="D13" s="13" t="s">
        <v>43</v>
      </c>
      <c r="E13" s="13"/>
      <c r="F13" s="13" t="s">
        <v>44</v>
      </c>
      <c r="G13" s="13" t="s">
        <v>14</v>
      </c>
      <c r="H13" s="13" t="s">
        <v>36</v>
      </c>
      <c r="I13" s="13">
        <v>11.0</v>
      </c>
      <c r="J13" s="13"/>
      <c r="K13" s="13"/>
    </row>
    <row r="14">
      <c r="A14" s="13"/>
      <c r="B14" s="13"/>
      <c r="C14" s="13" t="s">
        <v>32</v>
      </c>
      <c r="D14" s="13" t="s">
        <v>45</v>
      </c>
      <c r="E14" s="13"/>
      <c r="F14" s="13" t="s">
        <v>46</v>
      </c>
      <c r="G14" s="13" t="s">
        <v>14</v>
      </c>
      <c r="H14" s="13" t="s">
        <v>36</v>
      </c>
      <c r="I14" s="13">
        <v>4.0</v>
      </c>
      <c r="J14" s="13"/>
      <c r="K14" s="13"/>
    </row>
    <row r="15">
      <c r="A15" s="13"/>
      <c r="B15" s="13"/>
      <c r="C15" s="13" t="s">
        <v>32</v>
      </c>
      <c r="D15" s="13" t="s">
        <v>47</v>
      </c>
      <c r="E15" s="17" t="s">
        <v>34</v>
      </c>
      <c r="F15" s="13" t="s">
        <v>48</v>
      </c>
      <c r="G15" s="13" t="s">
        <v>14</v>
      </c>
      <c r="H15" s="13" t="s">
        <v>36</v>
      </c>
      <c r="I15" s="13">
        <v>1.0</v>
      </c>
      <c r="J15" s="13"/>
      <c r="K15" s="13"/>
    </row>
    <row r="16">
      <c r="A16" s="13"/>
      <c r="B16" s="13"/>
      <c r="C16" s="13" t="s">
        <v>32</v>
      </c>
      <c r="D16" s="13" t="s">
        <v>49</v>
      </c>
      <c r="E16" s="13"/>
      <c r="F16" s="13" t="s">
        <v>50</v>
      </c>
      <c r="G16" s="13" t="s">
        <v>14</v>
      </c>
      <c r="H16" s="13" t="s">
        <v>36</v>
      </c>
      <c r="I16" s="13">
        <v>4.0</v>
      </c>
      <c r="J16" s="13"/>
      <c r="K16" s="13"/>
    </row>
    <row r="17">
      <c r="A17" s="13"/>
      <c r="B17" s="13"/>
      <c r="C17" s="13" t="s">
        <v>32</v>
      </c>
      <c r="D17" s="13" t="s">
        <v>51</v>
      </c>
      <c r="E17" s="13"/>
      <c r="F17" s="13" t="s">
        <v>52</v>
      </c>
      <c r="G17" s="13" t="s">
        <v>14</v>
      </c>
      <c r="H17" s="13" t="s">
        <v>36</v>
      </c>
      <c r="I17" s="13">
        <v>2.0</v>
      </c>
      <c r="J17" s="13"/>
      <c r="K17" s="13"/>
    </row>
    <row r="18">
      <c r="A18" s="13"/>
      <c r="B18" s="13"/>
      <c r="C18" s="13" t="s">
        <v>53</v>
      </c>
      <c r="D18" s="13" t="s">
        <v>54</v>
      </c>
      <c r="E18" s="18">
        <v>6.53102124022E11</v>
      </c>
      <c r="F18" s="13" t="s">
        <v>55</v>
      </c>
      <c r="G18" s="13" t="s">
        <v>14</v>
      </c>
      <c r="H18" s="16">
        <v>6.53102124022E11</v>
      </c>
      <c r="I18" s="13">
        <v>1.0</v>
      </c>
      <c r="J18" s="13" t="s">
        <v>56</v>
      </c>
      <c r="K18" s="13" t="s">
        <v>56</v>
      </c>
    </row>
    <row r="19">
      <c r="A19" s="13"/>
      <c r="B19" s="13"/>
      <c r="C19" s="13" t="s">
        <v>53</v>
      </c>
      <c r="D19" s="13" t="s">
        <v>57</v>
      </c>
      <c r="E19" s="17" t="s">
        <v>58</v>
      </c>
      <c r="F19" s="13" t="s">
        <v>59</v>
      </c>
      <c r="G19" s="13" t="s">
        <v>22</v>
      </c>
      <c r="H19" s="17" t="s">
        <v>60</v>
      </c>
      <c r="I19" s="13">
        <v>3.0</v>
      </c>
      <c r="J19" s="13" t="s">
        <v>61</v>
      </c>
      <c r="K19" s="13"/>
    </row>
    <row r="20">
      <c r="A20" s="13"/>
      <c r="B20" s="13"/>
      <c r="C20" s="13" t="s">
        <v>53</v>
      </c>
      <c r="D20" s="13" t="s">
        <v>62</v>
      </c>
      <c r="E20" s="13">
        <v>6.1900511121E10</v>
      </c>
      <c r="F20" s="13" t="s">
        <v>63</v>
      </c>
      <c r="G20" s="13" t="s">
        <v>22</v>
      </c>
      <c r="H20" s="13" t="s">
        <v>64</v>
      </c>
      <c r="I20" s="13">
        <v>1.0</v>
      </c>
      <c r="J20" s="13" t="s">
        <v>56</v>
      </c>
      <c r="K20" s="13" t="s">
        <v>56</v>
      </c>
    </row>
    <row r="21">
      <c r="A21" s="13"/>
      <c r="B21" s="13"/>
      <c r="C21" s="13" t="s">
        <v>53</v>
      </c>
      <c r="D21" s="17" t="s">
        <v>65</v>
      </c>
      <c r="E21" s="13" t="s">
        <v>66</v>
      </c>
      <c r="F21" s="13" t="s">
        <v>67</v>
      </c>
      <c r="G21" s="13" t="s">
        <v>22</v>
      </c>
      <c r="H21" s="17" t="s">
        <v>68</v>
      </c>
      <c r="I21" s="13">
        <v>2.0</v>
      </c>
      <c r="J21" s="13" t="s">
        <v>61</v>
      </c>
      <c r="K21" s="13"/>
    </row>
    <row r="22">
      <c r="A22" s="13"/>
      <c r="B22" s="13"/>
      <c r="C22" s="13" t="s">
        <v>53</v>
      </c>
      <c r="D22" s="13" t="s">
        <v>69</v>
      </c>
      <c r="E22" s="13">
        <v>6.18009211821E11</v>
      </c>
      <c r="F22" s="13" t="s">
        <v>70</v>
      </c>
      <c r="G22" s="13" t="s">
        <v>22</v>
      </c>
      <c r="H22" s="13" t="s">
        <v>71</v>
      </c>
      <c r="I22" s="13">
        <v>1.0</v>
      </c>
      <c r="J22" s="13" t="s">
        <v>56</v>
      </c>
      <c r="K22" s="13" t="s">
        <v>56</v>
      </c>
    </row>
    <row r="23">
      <c r="A23" s="13"/>
      <c r="B23" s="13"/>
      <c r="C23" s="13" t="s">
        <v>53</v>
      </c>
      <c r="D23" s="13" t="s">
        <v>72</v>
      </c>
      <c r="E23" s="13">
        <v>6.15016137621E11</v>
      </c>
      <c r="F23" s="13" t="s">
        <v>73</v>
      </c>
      <c r="G23" s="13" t="s">
        <v>22</v>
      </c>
      <c r="H23" s="13" t="s">
        <v>74</v>
      </c>
      <c r="I23" s="13">
        <v>1.0</v>
      </c>
      <c r="J23" s="13" t="s">
        <v>56</v>
      </c>
      <c r="K23" s="13" t="s">
        <v>56</v>
      </c>
    </row>
    <row r="24">
      <c r="A24" s="13"/>
      <c r="B24" s="13"/>
      <c r="C24" s="13" t="s">
        <v>53</v>
      </c>
      <c r="D24" s="17" t="s">
        <v>75</v>
      </c>
      <c r="E24" s="13" t="s">
        <v>76</v>
      </c>
      <c r="F24" s="13" t="s">
        <v>77</v>
      </c>
      <c r="G24" s="13" t="s">
        <v>22</v>
      </c>
      <c r="H24" s="17" t="s">
        <v>78</v>
      </c>
      <c r="I24" s="13">
        <v>1.0</v>
      </c>
      <c r="J24" s="13" t="s">
        <v>79</v>
      </c>
      <c r="K24" s="13"/>
    </row>
    <row r="25">
      <c r="A25" s="13"/>
      <c r="B25" s="13"/>
      <c r="C25" s="13" t="s">
        <v>53</v>
      </c>
      <c r="D25" s="19" t="s">
        <v>80</v>
      </c>
      <c r="E25" s="13" t="s">
        <v>81</v>
      </c>
      <c r="F25" s="13" t="s">
        <v>82</v>
      </c>
      <c r="G25" s="13" t="s">
        <v>22</v>
      </c>
      <c r="H25" s="13" t="s">
        <v>83</v>
      </c>
      <c r="I25" s="13">
        <v>3.0</v>
      </c>
      <c r="J25" s="13"/>
      <c r="K25" s="13"/>
    </row>
    <row r="26">
      <c r="A26" s="13"/>
      <c r="B26" s="13"/>
      <c r="C26" s="13" t="s">
        <v>53</v>
      </c>
      <c r="D26" s="13" t="s">
        <v>84</v>
      </c>
      <c r="E26" s="13"/>
      <c r="F26" s="13" t="s">
        <v>85</v>
      </c>
      <c r="G26" s="13" t="s">
        <v>22</v>
      </c>
      <c r="H26" s="13"/>
      <c r="I26" s="13">
        <v>1.0</v>
      </c>
      <c r="J26" s="13"/>
      <c r="K26" s="13"/>
    </row>
    <row r="27">
      <c r="A27" s="13"/>
      <c r="B27" s="13"/>
      <c r="C27" s="13" t="s">
        <v>53</v>
      </c>
      <c r="D27" s="17" t="s">
        <v>86</v>
      </c>
      <c r="E27" s="20">
        <v>6.2504021621E10</v>
      </c>
      <c r="F27" s="13" t="s">
        <v>87</v>
      </c>
      <c r="G27" s="13" t="s">
        <v>22</v>
      </c>
      <c r="H27" s="13" t="s">
        <v>88</v>
      </c>
      <c r="I27" s="13">
        <v>1.0</v>
      </c>
      <c r="J27" s="13" t="s">
        <v>56</v>
      </c>
      <c r="K27" s="13" t="s">
        <v>56</v>
      </c>
    </row>
    <row r="28">
      <c r="A28" s="13"/>
      <c r="B28" s="13"/>
      <c r="C28" s="13" t="s">
        <v>53</v>
      </c>
      <c r="D28" s="13" t="s">
        <v>89</v>
      </c>
      <c r="E28" s="13">
        <v>6.14004135023E11</v>
      </c>
      <c r="F28" s="13" t="s">
        <v>90</v>
      </c>
      <c r="G28" s="13" t="s">
        <v>14</v>
      </c>
      <c r="H28" s="13" t="s">
        <v>91</v>
      </c>
      <c r="I28" s="13">
        <v>2.0</v>
      </c>
      <c r="J28" s="13" t="s">
        <v>56</v>
      </c>
      <c r="K28" s="13" t="s">
        <v>56</v>
      </c>
    </row>
    <row r="29">
      <c r="A29" s="13"/>
      <c r="B29" s="13"/>
      <c r="C29" s="13" t="s">
        <v>92</v>
      </c>
      <c r="D29" s="13" t="s">
        <v>93</v>
      </c>
      <c r="E29" s="21">
        <v>8.30010043E8</v>
      </c>
      <c r="F29" s="13" t="s">
        <v>94</v>
      </c>
      <c r="G29" s="13" t="s">
        <v>14</v>
      </c>
      <c r="H29" s="13" t="s">
        <v>95</v>
      </c>
      <c r="I29" s="13">
        <v>1.0</v>
      </c>
      <c r="J29" s="13" t="s">
        <v>56</v>
      </c>
      <c r="K29" s="13" t="s">
        <v>56</v>
      </c>
    </row>
    <row r="30">
      <c r="A30" s="13"/>
      <c r="B30" s="13"/>
      <c r="C30" s="13" t="s">
        <v>92</v>
      </c>
      <c r="D30" s="13" t="s">
        <v>96</v>
      </c>
      <c r="E30" s="21">
        <v>8.30054555E8</v>
      </c>
      <c r="F30" s="13" t="s">
        <v>97</v>
      </c>
      <c r="G30" s="13" t="s">
        <v>14</v>
      </c>
      <c r="H30" s="13" t="s">
        <v>95</v>
      </c>
      <c r="I30" s="13">
        <v>1.0</v>
      </c>
      <c r="J30" s="13" t="s">
        <v>56</v>
      </c>
      <c r="K30" s="13" t="s">
        <v>56</v>
      </c>
    </row>
    <row r="31">
      <c r="A31" s="13"/>
      <c r="B31" s="13"/>
      <c r="C31" s="13" t="s">
        <v>98</v>
      </c>
      <c r="D31" s="13" t="s">
        <v>99</v>
      </c>
      <c r="E31" s="21" t="s">
        <v>100</v>
      </c>
      <c r="F31" s="13" t="s">
        <v>101</v>
      </c>
      <c r="G31" s="13" t="s">
        <v>22</v>
      </c>
      <c r="H31" s="13" t="s">
        <v>102</v>
      </c>
      <c r="I31" s="13">
        <v>2.0</v>
      </c>
      <c r="J31" s="13"/>
      <c r="K31" s="13"/>
    </row>
    <row r="32">
      <c r="A32" s="13"/>
      <c r="B32" s="13"/>
      <c r="C32" s="13" t="s">
        <v>98</v>
      </c>
      <c r="D32" s="13" t="s">
        <v>103</v>
      </c>
      <c r="E32" s="21" t="s">
        <v>103</v>
      </c>
      <c r="F32" s="13" t="s">
        <v>104</v>
      </c>
      <c r="G32" s="13" t="s">
        <v>22</v>
      </c>
      <c r="H32" s="13" t="s">
        <v>105</v>
      </c>
      <c r="I32" s="13">
        <v>1.0</v>
      </c>
      <c r="J32" s="13"/>
      <c r="K32" s="13"/>
    </row>
    <row r="33">
      <c r="A33" s="13"/>
      <c r="B33" s="13"/>
      <c r="C33" s="13" t="s">
        <v>106</v>
      </c>
      <c r="D33" s="20" t="s">
        <v>107</v>
      </c>
      <c r="E33" s="22">
        <v>7.42792023E8</v>
      </c>
      <c r="F33" s="13" t="s">
        <v>108</v>
      </c>
      <c r="G33" s="13" t="s">
        <v>14</v>
      </c>
      <c r="H33" s="13" t="s">
        <v>109</v>
      </c>
      <c r="I33" s="13">
        <v>1.0</v>
      </c>
      <c r="J33" s="13" t="s">
        <v>56</v>
      </c>
      <c r="K33" s="13" t="s">
        <v>56</v>
      </c>
    </row>
    <row r="34">
      <c r="A34" s="13"/>
      <c r="B34" s="13"/>
      <c r="C34" s="13" t="s">
        <v>110</v>
      </c>
      <c r="D34" s="13" t="s">
        <v>111</v>
      </c>
      <c r="E34" s="13" t="s">
        <v>112</v>
      </c>
      <c r="F34" s="13" t="s">
        <v>113</v>
      </c>
      <c r="G34" s="13" t="s">
        <v>14</v>
      </c>
      <c r="H34" s="13" t="s">
        <v>114</v>
      </c>
      <c r="I34" s="13">
        <v>1.0</v>
      </c>
      <c r="J34" s="13" t="s">
        <v>56</v>
      </c>
      <c r="K34" s="13" t="s">
        <v>56</v>
      </c>
    </row>
    <row r="35">
      <c r="A35" s="13"/>
      <c r="B35" s="13"/>
      <c r="C35" s="13" t="s">
        <v>110</v>
      </c>
      <c r="D35" s="13" t="s">
        <v>115</v>
      </c>
      <c r="E35" s="13" t="s">
        <v>115</v>
      </c>
      <c r="F35" s="13" t="s">
        <v>116</v>
      </c>
      <c r="G35" s="13" t="s">
        <v>14</v>
      </c>
      <c r="H35" s="13" t="s">
        <v>117</v>
      </c>
      <c r="I35" s="13">
        <v>1.0</v>
      </c>
      <c r="J35" s="13" t="s">
        <v>118</v>
      </c>
      <c r="K35" s="13"/>
    </row>
    <row r="36">
      <c r="A36" s="13"/>
      <c r="B36" s="13"/>
      <c r="C36" s="13" t="s">
        <v>110</v>
      </c>
      <c r="D36" s="17" t="s">
        <v>119</v>
      </c>
      <c r="E36" s="13" t="s">
        <v>120</v>
      </c>
      <c r="F36" s="13" t="s">
        <v>121</v>
      </c>
      <c r="G36" s="13" t="s">
        <v>14</v>
      </c>
      <c r="H36" s="13" t="s">
        <v>122</v>
      </c>
      <c r="I36" s="13">
        <v>1.0</v>
      </c>
      <c r="J36" s="13" t="s">
        <v>123</v>
      </c>
      <c r="K36" s="13"/>
    </row>
    <row r="37">
      <c r="A37" s="13"/>
      <c r="B37" s="13"/>
      <c r="C37" s="13" t="s">
        <v>110</v>
      </c>
      <c r="D37" s="13" t="s">
        <v>124</v>
      </c>
      <c r="E37" s="13" t="s">
        <v>125</v>
      </c>
      <c r="F37" s="13" t="s">
        <v>126</v>
      </c>
      <c r="G37" s="13" t="s">
        <v>14</v>
      </c>
      <c r="H37" s="13" t="s">
        <v>127</v>
      </c>
      <c r="I37" s="13">
        <v>1.0</v>
      </c>
      <c r="J37" s="13" t="s">
        <v>128</v>
      </c>
      <c r="K37" s="13"/>
    </row>
    <row r="38">
      <c r="A38" s="13"/>
      <c r="B38" s="13"/>
      <c r="C38" s="13" t="s">
        <v>110</v>
      </c>
      <c r="D38" s="13" t="s">
        <v>129</v>
      </c>
      <c r="E38" s="13" t="s">
        <v>130</v>
      </c>
      <c r="F38" s="13" t="s">
        <v>131</v>
      </c>
      <c r="G38" s="13" t="s">
        <v>14</v>
      </c>
      <c r="H38" s="13" t="s">
        <v>132</v>
      </c>
      <c r="I38" s="13">
        <v>1.0</v>
      </c>
      <c r="J38" s="13"/>
      <c r="K38" s="13"/>
    </row>
    <row r="39">
      <c r="A39" s="13"/>
      <c r="B39" s="13"/>
      <c r="C39" s="13" t="s">
        <v>110</v>
      </c>
      <c r="D39" s="13" t="s">
        <v>133</v>
      </c>
      <c r="E39" s="13" t="s">
        <v>134</v>
      </c>
      <c r="F39" s="13" t="s">
        <v>135</v>
      </c>
      <c r="G39" s="13" t="s">
        <v>14</v>
      </c>
      <c r="H39" s="13" t="s">
        <v>136</v>
      </c>
      <c r="I39" s="13">
        <v>1.0</v>
      </c>
      <c r="J39" s="13" t="s">
        <v>137</v>
      </c>
      <c r="K39" s="13"/>
    </row>
    <row r="40">
      <c r="A40" s="13"/>
      <c r="B40" s="13"/>
      <c r="C40" s="13" t="s">
        <v>110</v>
      </c>
      <c r="D40" s="13" t="s">
        <v>138</v>
      </c>
      <c r="E40" s="13" t="s">
        <v>138</v>
      </c>
      <c r="F40" s="13" t="s">
        <v>139</v>
      </c>
      <c r="G40" s="13" t="s">
        <v>14</v>
      </c>
      <c r="H40" s="13" t="s">
        <v>140</v>
      </c>
      <c r="I40" s="13">
        <v>1.0</v>
      </c>
      <c r="J40" s="13" t="s">
        <v>141</v>
      </c>
      <c r="K40" s="13"/>
    </row>
    <row r="41">
      <c r="A41" s="13"/>
      <c r="B41" s="13"/>
      <c r="C41" s="13" t="s">
        <v>110</v>
      </c>
      <c r="D41" s="13" t="s">
        <v>142</v>
      </c>
      <c r="E41" s="13" t="s">
        <v>143</v>
      </c>
      <c r="F41" s="13" t="s">
        <v>144</v>
      </c>
      <c r="G41" s="13" t="s">
        <v>14</v>
      </c>
      <c r="H41" s="13" t="s">
        <v>145</v>
      </c>
      <c r="I41" s="13">
        <v>2.0</v>
      </c>
      <c r="J41" s="13" t="s">
        <v>123</v>
      </c>
      <c r="K41" s="13"/>
    </row>
    <row r="42">
      <c r="A42" s="13"/>
      <c r="B42" s="13"/>
      <c r="C42" s="13" t="s">
        <v>110</v>
      </c>
      <c r="D42" s="13" t="s">
        <v>146</v>
      </c>
      <c r="E42" s="13" t="s">
        <v>147</v>
      </c>
      <c r="F42" s="13" t="s">
        <v>148</v>
      </c>
      <c r="G42" s="13" t="s">
        <v>14</v>
      </c>
      <c r="H42" s="13" t="s">
        <v>149</v>
      </c>
      <c r="I42" s="13">
        <v>2.0</v>
      </c>
      <c r="J42" s="13" t="s">
        <v>123</v>
      </c>
      <c r="K42" s="13"/>
    </row>
    <row r="43">
      <c r="A43" s="13"/>
      <c r="B43" s="13"/>
      <c r="C43" s="13" t="s">
        <v>150</v>
      </c>
      <c r="D43" s="13" t="s">
        <v>151</v>
      </c>
      <c r="E43" s="20" t="s">
        <v>152</v>
      </c>
      <c r="F43" s="13" t="s">
        <v>153</v>
      </c>
      <c r="G43" s="13" t="s">
        <v>14</v>
      </c>
      <c r="H43" s="17" t="s">
        <v>36</v>
      </c>
      <c r="I43" s="13">
        <v>4.0</v>
      </c>
      <c r="J43" s="13" t="s">
        <v>56</v>
      </c>
      <c r="K43" s="13" t="s">
        <v>56</v>
      </c>
    </row>
    <row r="44">
      <c r="A44" s="6"/>
      <c r="B44" s="7"/>
      <c r="C44" s="7"/>
      <c r="D44" s="7"/>
      <c r="E44" s="7"/>
      <c r="F44" s="7"/>
      <c r="G44" s="7"/>
      <c r="H44" s="7"/>
      <c r="I44" s="7"/>
      <c r="J44" s="8"/>
      <c r="K44" s="9"/>
    </row>
    <row r="45">
      <c r="A45" s="6"/>
      <c r="B45" s="7"/>
      <c r="C45" s="7"/>
      <c r="D45" s="7"/>
      <c r="E45" s="7"/>
      <c r="F45" s="7"/>
      <c r="G45" s="7"/>
      <c r="H45" s="7"/>
      <c r="I45" s="7"/>
      <c r="J45" s="8"/>
      <c r="K45" s="9"/>
    </row>
    <row r="46">
      <c r="A46" s="6"/>
      <c r="B46" s="7"/>
      <c r="C46" s="7"/>
      <c r="D46" s="7"/>
      <c r="E46" s="7"/>
      <c r="F46" s="7"/>
      <c r="G46" s="7"/>
      <c r="H46" s="7"/>
      <c r="I46" s="7"/>
      <c r="J46" s="8"/>
      <c r="K46" s="9"/>
    </row>
    <row r="47">
      <c r="A47" s="6"/>
      <c r="B47" s="7"/>
      <c r="C47" s="7"/>
      <c r="D47" s="7"/>
      <c r="E47" s="7"/>
      <c r="F47" s="7"/>
      <c r="G47" s="7"/>
      <c r="H47" s="7"/>
      <c r="I47" s="7"/>
      <c r="J47" s="8"/>
      <c r="K47" s="9"/>
    </row>
    <row r="48">
      <c r="A48" s="6"/>
      <c r="B48" s="7"/>
      <c r="C48" s="7"/>
      <c r="D48" s="7"/>
      <c r="E48" s="7"/>
      <c r="F48" s="7"/>
      <c r="G48" s="7"/>
      <c r="H48" s="7"/>
      <c r="I48" s="7"/>
      <c r="J48" s="8"/>
      <c r="K48" s="9"/>
    </row>
    <row r="49">
      <c r="A49" s="6"/>
      <c r="B49" s="7"/>
      <c r="C49" s="7"/>
      <c r="D49" s="7"/>
      <c r="E49" s="7"/>
      <c r="F49" s="7"/>
      <c r="G49" s="7"/>
      <c r="H49" s="7"/>
      <c r="I49" s="7"/>
      <c r="J49" s="8"/>
      <c r="K49" s="9"/>
    </row>
    <row r="50">
      <c r="A50" s="6"/>
      <c r="B50" s="7"/>
      <c r="C50" s="7"/>
      <c r="D50" s="7"/>
      <c r="E50" s="7"/>
      <c r="F50" s="7"/>
      <c r="G50" s="7"/>
      <c r="H50" s="7"/>
      <c r="I50" s="7"/>
      <c r="J50" s="8"/>
      <c r="K50" s="9"/>
    </row>
    <row r="51">
      <c r="A51" s="6"/>
      <c r="B51" s="7"/>
      <c r="C51" s="7"/>
      <c r="D51" s="7"/>
      <c r="E51" s="7"/>
      <c r="F51" s="7"/>
      <c r="G51" s="7"/>
      <c r="H51" s="7"/>
      <c r="I51" s="7"/>
      <c r="J51" s="8"/>
      <c r="K51" s="9"/>
    </row>
    <row r="52">
      <c r="A52" s="6"/>
      <c r="B52" s="7"/>
      <c r="C52" s="7"/>
      <c r="D52" s="7"/>
      <c r="E52" s="7"/>
      <c r="F52" s="7"/>
      <c r="G52" s="7"/>
      <c r="H52" s="7"/>
      <c r="I52" s="7"/>
      <c r="J52" s="8"/>
      <c r="K52" s="9"/>
    </row>
    <row r="53">
      <c r="A53" s="6"/>
      <c r="B53" s="7"/>
      <c r="C53" s="7"/>
      <c r="D53" s="7"/>
      <c r="E53" s="7"/>
      <c r="F53" s="7"/>
      <c r="G53" s="7"/>
      <c r="H53" s="7"/>
      <c r="I53" s="7"/>
      <c r="J53" s="8"/>
      <c r="K53" s="9"/>
    </row>
    <row r="54">
      <c r="A54" s="6"/>
      <c r="B54" s="7"/>
      <c r="C54" s="7"/>
      <c r="D54" s="7"/>
      <c r="E54" s="7"/>
      <c r="F54" s="7"/>
      <c r="G54" s="7"/>
      <c r="H54" s="7"/>
      <c r="I54" s="7"/>
      <c r="J54" s="8"/>
      <c r="K54" s="9"/>
    </row>
    <row r="55">
      <c r="A55" s="6"/>
      <c r="B55" s="7"/>
      <c r="C55" s="7"/>
      <c r="D55" s="7"/>
      <c r="E55" s="7"/>
      <c r="F55" s="7"/>
      <c r="G55" s="7"/>
      <c r="H55" s="7"/>
      <c r="I55" s="7"/>
      <c r="J55" s="8"/>
      <c r="K55" s="9"/>
    </row>
    <row r="56">
      <c r="A56" s="6"/>
      <c r="B56" s="7"/>
      <c r="C56" s="7"/>
      <c r="D56" s="7"/>
      <c r="E56" s="7"/>
      <c r="F56" s="7"/>
      <c r="G56" s="7"/>
      <c r="H56" s="7"/>
      <c r="I56" s="7"/>
      <c r="J56" s="8"/>
      <c r="K56" s="9"/>
    </row>
    <row r="57">
      <c r="A57" s="6"/>
      <c r="B57" s="7"/>
      <c r="C57" s="7"/>
      <c r="D57" s="7"/>
      <c r="E57" s="7"/>
      <c r="F57" s="7"/>
      <c r="G57" s="7"/>
      <c r="H57" s="7"/>
      <c r="I57" s="7"/>
      <c r="J57" s="8"/>
      <c r="K57" s="9"/>
    </row>
    <row r="58">
      <c r="A58" s="6"/>
      <c r="B58" s="7"/>
      <c r="C58" s="7"/>
      <c r="D58" s="7"/>
      <c r="E58" s="7"/>
      <c r="F58" s="7"/>
      <c r="G58" s="7"/>
      <c r="H58" s="7"/>
      <c r="I58" s="7"/>
      <c r="J58" s="8"/>
      <c r="K58" s="9"/>
    </row>
    <row r="59">
      <c r="A59" s="6"/>
      <c r="B59" s="7"/>
      <c r="C59" s="7"/>
      <c r="D59" s="7"/>
      <c r="E59" s="7"/>
      <c r="F59" s="7"/>
      <c r="G59" s="7"/>
      <c r="H59" s="7"/>
      <c r="I59" s="7"/>
      <c r="J59" s="8"/>
      <c r="K59" s="9"/>
    </row>
    <row r="60">
      <c r="A60" s="6"/>
      <c r="B60" s="7"/>
      <c r="C60" s="7"/>
      <c r="D60" s="7"/>
      <c r="E60" s="7"/>
      <c r="F60" s="7"/>
      <c r="G60" s="7"/>
      <c r="H60" s="7"/>
      <c r="I60" s="7"/>
      <c r="J60" s="8"/>
      <c r="K60" s="9"/>
    </row>
    <row r="61">
      <c r="A61" s="6"/>
      <c r="B61" s="7"/>
      <c r="C61" s="7"/>
      <c r="D61" s="7"/>
      <c r="E61" s="7"/>
      <c r="F61" s="7"/>
      <c r="G61" s="7"/>
      <c r="H61" s="7"/>
      <c r="I61" s="7"/>
      <c r="J61" s="8"/>
      <c r="K61" s="9"/>
    </row>
    <row r="62">
      <c r="A62" s="6"/>
      <c r="B62" s="7"/>
      <c r="C62" s="7"/>
      <c r="D62" s="7"/>
      <c r="E62" s="7"/>
      <c r="F62" s="7"/>
      <c r="G62" s="7"/>
      <c r="H62" s="7"/>
      <c r="I62" s="7"/>
      <c r="J62" s="8"/>
      <c r="K62" s="9"/>
    </row>
    <row r="63">
      <c r="A63" s="6"/>
      <c r="B63" s="7"/>
      <c r="C63" s="7"/>
      <c r="D63" s="7"/>
      <c r="E63" s="7"/>
      <c r="F63" s="7"/>
      <c r="G63" s="7"/>
      <c r="H63" s="7"/>
      <c r="I63" s="7"/>
      <c r="J63" s="8"/>
      <c r="K63" s="9"/>
    </row>
    <row r="64">
      <c r="A64" s="6"/>
      <c r="B64" s="7"/>
      <c r="C64" s="7"/>
      <c r="D64" s="7"/>
      <c r="E64" s="7"/>
      <c r="F64" s="7"/>
      <c r="G64" s="7"/>
      <c r="H64" s="7"/>
      <c r="I64" s="7"/>
      <c r="J64" s="8"/>
      <c r="K64" s="9"/>
    </row>
    <row r="65">
      <c r="A65" s="6"/>
      <c r="B65" s="7"/>
      <c r="C65" s="7"/>
      <c r="D65" s="7"/>
      <c r="E65" s="7"/>
      <c r="F65" s="7"/>
      <c r="G65" s="7"/>
      <c r="H65" s="7"/>
      <c r="I65" s="7"/>
      <c r="J65" s="8"/>
      <c r="K65" s="9"/>
    </row>
    <row r="66">
      <c r="A66" s="6"/>
      <c r="B66" s="7"/>
      <c r="C66" s="7"/>
      <c r="D66" s="7"/>
      <c r="E66" s="7"/>
      <c r="F66" s="7"/>
      <c r="G66" s="7"/>
      <c r="H66" s="7"/>
      <c r="I66" s="7"/>
      <c r="J66" s="8"/>
      <c r="K66" s="9"/>
    </row>
    <row r="67">
      <c r="A67" s="6"/>
      <c r="B67" s="7"/>
      <c r="C67" s="7"/>
      <c r="D67" s="7"/>
      <c r="E67" s="7"/>
      <c r="F67" s="7"/>
      <c r="G67" s="7"/>
      <c r="H67" s="7"/>
      <c r="I67" s="7"/>
      <c r="J67" s="8"/>
      <c r="K67" s="9"/>
    </row>
    <row r="68">
      <c r="A68" s="6"/>
      <c r="B68" s="7"/>
      <c r="C68" s="7"/>
      <c r="D68" s="7"/>
      <c r="E68" s="7"/>
      <c r="F68" s="7"/>
      <c r="G68" s="7"/>
      <c r="H68" s="7"/>
      <c r="I68" s="7"/>
      <c r="J68" s="8"/>
      <c r="K68" s="9"/>
    </row>
    <row r="69">
      <c r="A69" s="6"/>
      <c r="B69" s="7"/>
      <c r="C69" s="7"/>
      <c r="D69" s="7"/>
      <c r="E69" s="7"/>
      <c r="F69" s="7"/>
      <c r="G69" s="7"/>
      <c r="H69" s="7"/>
      <c r="I69" s="7"/>
      <c r="J69" s="8"/>
      <c r="K69" s="9"/>
    </row>
    <row r="70">
      <c r="A70" s="6"/>
      <c r="B70" s="7"/>
      <c r="C70" s="7"/>
      <c r="D70" s="7"/>
      <c r="E70" s="7"/>
      <c r="F70" s="7"/>
      <c r="G70" s="7"/>
      <c r="H70" s="7"/>
      <c r="I70" s="7"/>
      <c r="J70" s="8"/>
      <c r="K70" s="9"/>
    </row>
    <row r="71">
      <c r="A71" s="6"/>
      <c r="B71" s="7"/>
      <c r="C71" s="7"/>
      <c r="D71" s="7"/>
      <c r="E71" s="7"/>
      <c r="F71" s="7"/>
      <c r="G71" s="7"/>
      <c r="H71" s="7"/>
      <c r="I71" s="7"/>
      <c r="J71" s="8"/>
      <c r="K71" s="9"/>
    </row>
    <row r="72">
      <c r="A72" s="6"/>
      <c r="B72" s="7"/>
      <c r="C72" s="7"/>
      <c r="D72" s="7"/>
      <c r="E72" s="7"/>
      <c r="F72" s="7"/>
      <c r="G72" s="7"/>
      <c r="H72" s="7"/>
      <c r="I72" s="7"/>
      <c r="J72" s="8"/>
      <c r="K72" s="9"/>
    </row>
    <row r="73">
      <c r="A73" s="6"/>
      <c r="B73" s="7"/>
      <c r="C73" s="7"/>
      <c r="D73" s="7"/>
      <c r="E73" s="7"/>
      <c r="F73" s="7"/>
      <c r="G73" s="7"/>
      <c r="H73" s="7"/>
      <c r="I73" s="7"/>
      <c r="J73" s="8"/>
      <c r="K73" s="9"/>
    </row>
    <row r="74">
      <c r="A74" s="6"/>
      <c r="B74" s="7"/>
      <c r="C74" s="7"/>
      <c r="D74" s="7"/>
      <c r="E74" s="7"/>
      <c r="F74" s="7"/>
      <c r="G74" s="7"/>
      <c r="H74" s="7"/>
      <c r="I74" s="7"/>
      <c r="J74" s="8"/>
      <c r="K74" s="9"/>
    </row>
    <row r="75">
      <c r="A75" s="6"/>
      <c r="B75" s="7"/>
      <c r="C75" s="7"/>
      <c r="D75" s="7"/>
      <c r="E75" s="7"/>
      <c r="F75" s="7"/>
      <c r="G75" s="7"/>
      <c r="H75" s="7"/>
      <c r="I75" s="7"/>
      <c r="J75" s="8"/>
      <c r="K75" s="9"/>
    </row>
    <row r="76">
      <c r="A76" s="6"/>
      <c r="B76" s="7"/>
      <c r="C76" s="7"/>
      <c r="D76" s="7"/>
      <c r="E76" s="7"/>
      <c r="F76" s="7"/>
      <c r="G76" s="7"/>
      <c r="H76" s="7"/>
      <c r="I76" s="7"/>
      <c r="J76" s="8"/>
      <c r="K76" s="9"/>
    </row>
    <row r="77">
      <c r="A77" s="6"/>
      <c r="B77" s="7"/>
      <c r="C77" s="7"/>
      <c r="D77" s="7"/>
      <c r="E77" s="7"/>
      <c r="F77" s="7"/>
      <c r="G77" s="7"/>
      <c r="H77" s="7"/>
      <c r="I77" s="7"/>
      <c r="J77" s="8"/>
      <c r="K77" s="9"/>
    </row>
    <row r="78">
      <c r="A78" s="6"/>
      <c r="B78" s="7"/>
      <c r="C78" s="7"/>
      <c r="D78" s="7"/>
      <c r="E78" s="7"/>
      <c r="F78" s="7"/>
      <c r="G78" s="7"/>
      <c r="H78" s="7"/>
      <c r="I78" s="7"/>
      <c r="J78" s="8"/>
      <c r="K78" s="9"/>
    </row>
    <row r="79">
      <c r="A79" s="6"/>
      <c r="B79" s="7"/>
      <c r="C79" s="7"/>
      <c r="D79" s="7"/>
      <c r="E79" s="7"/>
      <c r="F79" s="7"/>
      <c r="G79" s="7"/>
      <c r="H79" s="7"/>
      <c r="I79" s="7"/>
      <c r="J79" s="8"/>
      <c r="K79" s="9"/>
    </row>
    <row r="80">
      <c r="A80" s="6"/>
      <c r="B80" s="7"/>
      <c r="C80" s="7"/>
      <c r="D80" s="7"/>
      <c r="E80" s="7"/>
      <c r="F80" s="7"/>
      <c r="G80" s="7"/>
      <c r="H80" s="7"/>
      <c r="I80" s="7"/>
      <c r="J80" s="8"/>
      <c r="K80" s="9"/>
    </row>
    <row r="81">
      <c r="A81" s="6"/>
      <c r="B81" s="7"/>
      <c r="C81" s="7"/>
      <c r="D81" s="7"/>
      <c r="E81" s="7"/>
      <c r="F81" s="7"/>
      <c r="G81" s="7"/>
      <c r="H81" s="7"/>
      <c r="I81" s="7"/>
      <c r="J81" s="8"/>
      <c r="K81" s="9"/>
    </row>
    <row r="82">
      <c r="A82" s="6"/>
      <c r="B82" s="7"/>
      <c r="C82" s="7"/>
      <c r="D82" s="7"/>
      <c r="E82" s="7"/>
      <c r="F82" s="7"/>
      <c r="G82" s="7"/>
      <c r="H82" s="7"/>
      <c r="I82" s="7"/>
      <c r="J82" s="8"/>
      <c r="K82" s="9"/>
    </row>
    <row r="83">
      <c r="A83" s="6"/>
      <c r="B83" s="7"/>
      <c r="C83" s="7"/>
      <c r="D83" s="7"/>
      <c r="E83" s="7"/>
      <c r="F83" s="7"/>
      <c r="G83" s="7"/>
      <c r="H83" s="7"/>
      <c r="I83" s="7"/>
      <c r="J83" s="8"/>
      <c r="K83" s="9"/>
    </row>
    <row r="84">
      <c r="A84" s="6"/>
      <c r="B84" s="7"/>
      <c r="C84" s="7"/>
      <c r="D84" s="7"/>
      <c r="E84" s="7"/>
      <c r="F84" s="7"/>
      <c r="G84" s="7"/>
      <c r="H84" s="7"/>
      <c r="I84" s="7"/>
      <c r="J84" s="8"/>
      <c r="K84" s="9"/>
    </row>
    <row r="85">
      <c r="A85" s="6"/>
      <c r="B85" s="7"/>
      <c r="C85" s="7"/>
      <c r="D85" s="7"/>
      <c r="E85" s="7"/>
      <c r="F85" s="7"/>
      <c r="G85" s="7"/>
      <c r="H85" s="7"/>
      <c r="I85" s="7"/>
      <c r="J85" s="8"/>
      <c r="K85" s="9"/>
    </row>
    <row r="86">
      <c r="A86" s="6"/>
      <c r="B86" s="7"/>
      <c r="C86" s="7"/>
      <c r="D86" s="7"/>
      <c r="E86" s="7"/>
      <c r="F86" s="7"/>
      <c r="G86" s="7"/>
      <c r="H86" s="7"/>
      <c r="I86" s="7"/>
      <c r="J86" s="8"/>
      <c r="K86" s="9"/>
    </row>
    <row r="87">
      <c r="A87" s="6"/>
      <c r="B87" s="7"/>
      <c r="C87" s="7"/>
      <c r="D87" s="7"/>
      <c r="E87" s="7"/>
      <c r="F87" s="7"/>
      <c r="G87" s="7"/>
      <c r="H87" s="7"/>
      <c r="I87" s="7"/>
      <c r="J87" s="8"/>
      <c r="K87" s="9"/>
    </row>
    <row r="88">
      <c r="A88" s="6"/>
      <c r="B88" s="7"/>
      <c r="C88" s="7"/>
      <c r="D88" s="7"/>
      <c r="E88" s="7"/>
      <c r="F88" s="7"/>
      <c r="G88" s="7"/>
      <c r="H88" s="7"/>
      <c r="I88" s="7"/>
      <c r="J88" s="8"/>
      <c r="K88" s="9"/>
    </row>
    <row r="89">
      <c r="A89" s="6"/>
      <c r="B89" s="7"/>
      <c r="C89" s="7"/>
      <c r="D89" s="7"/>
      <c r="E89" s="7"/>
      <c r="F89" s="7"/>
      <c r="G89" s="7"/>
      <c r="H89" s="7"/>
      <c r="I89" s="7"/>
      <c r="J89" s="8"/>
      <c r="K89" s="9"/>
    </row>
    <row r="90">
      <c r="A90" s="6"/>
      <c r="B90" s="7"/>
      <c r="C90" s="7"/>
      <c r="D90" s="7"/>
      <c r="E90" s="7"/>
      <c r="F90" s="7"/>
      <c r="G90" s="7"/>
      <c r="H90" s="7"/>
      <c r="I90" s="7"/>
      <c r="J90" s="8"/>
      <c r="K90" s="9"/>
    </row>
    <row r="91">
      <c r="A91" s="6"/>
      <c r="B91" s="7"/>
      <c r="C91" s="7"/>
      <c r="D91" s="7"/>
      <c r="E91" s="7"/>
      <c r="F91" s="7"/>
      <c r="G91" s="7"/>
      <c r="H91" s="7"/>
      <c r="I91" s="7"/>
      <c r="J91" s="8"/>
      <c r="K91" s="9"/>
    </row>
    <row r="92">
      <c r="A92" s="6"/>
      <c r="B92" s="7"/>
      <c r="C92" s="7"/>
      <c r="D92" s="7"/>
      <c r="E92" s="7"/>
      <c r="F92" s="7"/>
      <c r="G92" s="7"/>
      <c r="H92" s="7"/>
      <c r="I92" s="7"/>
      <c r="J92" s="8"/>
      <c r="K92" s="9"/>
    </row>
    <row r="93">
      <c r="A93" s="6"/>
      <c r="B93" s="7"/>
      <c r="C93" s="7"/>
      <c r="D93" s="7"/>
      <c r="E93" s="7"/>
      <c r="F93" s="7"/>
      <c r="G93" s="7"/>
      <c r="H93" s="7"/>
      <c r="I93" s="7"/>
      <c r="J93" s="8"/>
      <c r="K93" s="9"/>
    </row>
    <row r="94">
      <c r="A94" s="6"/>
      <c r="B94" s="7"/>
      <c r="C94" s="7"/>
      <c r="D94" s="7"/>
      <c r="E94" s="7"/>
      <c r="F94" s="7"/>
      <c r="G94" s="7"/>
      <c r="H94" s="7"/>
      <c r="I94" s="7"/>
      <c r="J94" s="8"/>
      <c r="K94" s="9"/>
    </row>
    <row r="95">
      <c r="A95" s="6"/>
      <c r="B95" s="7"/>
      <c r="C95" s="7"/>
      <c r="D95" s="7"/>
      <c r="E95" s="7"/>
      <c r="F95" s="7"/>
      <c r="G95" s="7"/>
      <c r="H95" s="7"/>
      <c r="I95" s="7"/>
      <c r="J95" s="8"/>
      <c r="K95" s="9"/>
    </row>
    <row r="96">
      <c r="A96" s="6"/>
      <c r="B96" s="7"/>
      <c r="C96" s="7"/>
      <c r="D96" s="7"/>
      <c r="E96" s="7"/>
      <c r="F96" s="7"/>
      <c r="G96" s="7"/>
      <c r="H96" s="7"/>
      <c r="I96" s="7"/>
      <c r="J96" s="8"/>
      <c r="K96" s="9"/>
    </row>
    <row r="97">
      <c r="A97" s="6"/>
      <c r="B97" s="7"/>
      <c r="C97" s="7"/>
      <c r="D97" s="7"/>
      <c r="E97" s="7"/>
      <c r="F97" s="7"/>
      <c r="G97" s="7"/>
      <c r="H97" s="7"/>
      <c r="I97" s="7"/>
      <c r="J97" s="8"/>
      <c r="K97" s="9"/>
    </row>
    <row r="98">
      <c r="A98" s="6"/>
      <c r="B98" s="7"/>
      <c r="C98" s="7"/>
      <c r="D98" s="7"/>
      <c r="E98" s="7"/>
      <c r="F98" s="7"/>
      <c r="G98" s="7"/>
      <c r="H98" s="7"/>
      <c r="I98" s="7"/>
      <c r="J98" s="8"/>
      <c r="K98" s="9"/>
    </row>
    <row r="99">
      <c r="A99" s="6"/>
      <c r="B99" s="7"/>
      <c r="C99" s="7"/>
      <c r="D99" s="7"/>
      <c r="E99" s="7"/>
      <c r="F99" s="7"/>
      <c r="G99" s="7"/>
      <c r="H99" s="7"/>
      <c r="I99" s="7"/>
      <c r="J99" s="8"/>
      <c r="K99" s="9"/>
    </row>
    <row r="100">
      <c r="A100" s="6"/>
      <c r="B100" s="7"/>
      <c r="C100" s="7"/>
      <c r="D100" s="7"/>
      <c r="E100" s="7"/>
      <c r="F100" s="7"/>
      <c r="G100" s="7"/>
      <c r="H100" s="7"/>
      <c r="I100" s="7"/>
      <c r="J100" s="8"/>
      <c r="K100" s="9"/>
    </row>
    <row r="101">
      <c r="A101" s="6"/>
      <c r="B101" s="7"/>
      <c r="C101" s="7"/>
      <c r="D101" s="7"/>
      <c r="E101" s="7"/>
      <c r="F101" s="7"/>
      <c r="G101" s="7"/>
      <c r="H101" s="7"/>
      <c r="I101" s="7"/>
      <c r="J101" s="8"/>
      <c r="K101" s="9"/>
    </row>
    <row r="102">
      <c r="A102" s="6"/>
      <c r="B102" s="7"/>
      <c r="C102" s="7"/>
      <c r="D102" s="7"/>
      <c r="E102" s="7"/>
      <c r="F102" s="7"/>
      <c r="G102" s="7"/>
      <c r="H102" s="7"/>
      <c r="I102" s="7"/>
      <c r="J102" s="8"/>
      <c r="K102" s="9"/>
    </row>
    <row r="103">
      <c r="A103" s="6"/>
      <c r="B103" s="7"/>
      <c r="C103" s="7"/>
      <c r="D103" s="7"/>
      <c r="E103" s="7"/>
      <c r="F103" s="7"/>
      <c r="G103" s="7"/>
      <c r="H103" s="7"/>
      <c r="I103" s="7"/>
      <c r="J103" s="8"/>
      <c r="K103" s="9"/>
    </row>
    <row r="104">
      <c r="A104" s="6"/>
      <c r="B104" s="7"/>
      <c r="C104" s="7"/>
      <c r="D104" s="7"/>
      <c r="E104" s="7"/>
      <c r="F104" s="7"/>
      <c r="G104" s="7"/>
      <c r="H104" s="7"/>
      <c r="I104" s="7"/>
      <c r="J104" s="8"/>
      <c r="K104" s="9"/>
    </row>
    <row r="105">
      <c r="A105" s="6"/>
      <c r="B105" s="7"/>
      <c r="C105" s="7"/>
      <c r="D105" s="7"/>
      <c r="E105" s="7"/>
      <c r="F105" s="7"/>
      <c r="G105" s="7"/>
      <c r="H105" s="7"/>
      <c r="I105" s="7"/>
      <c r="J105" s="8"/>
      <c r="K105" s="9"/>
    </row>
    <row r="106">
      <c r="A106" s="6"/>
      <c r="B106" s="7"/>
      <c r="C106" s="7"/>
      <c r="D106" s="7"/>
      <c r="E106" s="7"/>
      <c r="F106" s="7"/>
      <c r="G106" s="7"/>
      <c r="H106" s="7"/>
      <c r="I106" s="7"/>
      <c r="J106" s="8"/>
      <c r="K106" s="9"/>
    </row>
    <row r="107">
      <c r="A107" s="6"/>
      <c r="B107" s="7"/>
      <c r="C107" s="7"/>
      <c r="D107" s="7"/>
      <c r="E107" s="7"/>
      <c r="F107" s="7"/>
      <c r="G107" s="7"/>
      <c r="H107" s="7"/>
      <c r="I107" s="7"/>
      <c r="J107" s="8"/>
      <c r="K107" s="9"/>
    </row>
    <row r="108">
      <c r="A108" s="6"/>
      <c r="B108" s="7"/>
      <c r="C108" s="7"/>
      <c r="D108" s="7"/>
      <c r="E108" s="7"/>
      <c r="F108" s="7"/>
      <c r="G108" s="7"/>
      <c r="H108" s="7"/>
      <c r="I108" s="7"/>
      <c r="J108" s="8"/>
      <c r="K108" s="9"/>
    </row>
    <row r="109">
      <c r="A109" s="6"/>
      <c r="B109" s="7"/>
      <c r="C109" s="7"/>
      <c r="D109" s="7"/>
      <c r="E109" s="7"/>
      <c r="F109" s="7"/>
      <c r="G109" s="7"/>
      <c r="H109" s="7"/>
      <c r="I109" s="7"/>
      <c r="J109" s="8"/>
      <c r="K109" s="9"/>
    </row>
    <row r="110">
      <c r="A110" s="6"/>
      <c r="B110" s="7"/>
      <c r="C110" s="7"/>
      <c r="D110" s="7"/>
      <c r="E110" s="7"/>
      <c r="F110" s="7"/>
      <c r="G110" s="7"/>
      <c r="H110" s="7"/>
      <c r="I110" s="7"/>
      <c r="J110" s="8"/>
      <c r="K110" s="9"/>
    </row>
    <row r="111">
      <c r="A111" s="6"/>
      <c r="B111" s="7"/>
      <c r="C111" s="7"/>
      <c r="D111" s="7"/>
      <c r="E111" s="7"/>
      <c r="F111" s="7"/>
      <c r="G111" s="7"/>
      <c r="H111" s="7"/>
      <c r="I111" s="7"/>
      <c r="J111" s="8"/>
      <c r="K111" s="9"/>
    </row>
    <row r="112">
      <c r="A112" s="6"/>
      <c r="B112" s="7"/>
      <c r="C112" s="7"/>
      <c r="D112" s="7"/>
      <c r="E112" s="7"/>
      <c r="F112" s="7"/>
      <c r="G112" s="7"/>
      <c r="H112" s="7"/>
      <c r="I112" s="7"/>
      <c r="J112" s="8"/>
      <c r="K112" s="9"/>
    </row>
    <row r="113">
      <c r="A113" s="6"/>
      <c r="B113" s="7"/>
      <c r="C113" s="7"/>
      <c r="D113" s="7"/>
      <c r="E113" s="7"/>
      <c r="F113" s="7"/>
      <c r="G113" s="7"/>
      <c r="H113" s="7"/>
      <c r="I113" s="7"/>
      <c r="J113" s="8"/>
      <c r="K113" s="9"/>
    </row>
    <row r="114">
      <c r="A114" s="6"/>
      <c r="B114" s="7"/>
      <c r="C114" s="7"/>
      <c r="D114" s="7"/>
      <c r="E114" s="7"/>
      <c r="F114" s="7"/>
      <c r="G114" s="7"/>
      <c r="H114" s="7"/>
      <c r="I114" s="7"/>
      <c r="J114" s="8"/>
      <c r="K114" s="9"/>
    </row>
    <row r="115">
      <c r="A115" s="6"/>
      <c r="B115" s="7"/>
      <c r="C115" s="7"/>
      <c r="D115" s="7"/>
      <c r="E115" s="7"/>
      <c r="F115" s="7"/>
      <c r="G115" s="7"/>
      <c r="H115" s="7"/>
      <c r="I115" s="7"/>
      <c r="J115" s="8"/>
      <c r="K115" s="9"/>
    </row>
    <row r="116">
      <c r="A116" s="6"/>
      <c r="B116" s="7"/>
      <c r="C116" s="7"/>
      <c r="D116" s="7"/>
      <c r="E116" s="7"/>
      <c r="F116" s="7"/>
      <c r="G116" s="7"/>
      <c r="H116" s="7"/>
      <c r="I116" s="7"/>
      <c r="J116" s="8"/>
      <c r="K116" s="9"/>
    </row>
    <row r="117">
      <c r="A117" s="6"/>
      <c r="B117" s="7"/>
      <c r="C117" s="7"/>
      <c r="D117" s="7"/>
      <c r="E117" s="7"/>
      <c r="F117" s="7"/>
      <c r="G117" s="7"/>
      <c r="H117" s="7"/>
      <c r="I117" s="7"/>
      <c r="J117" s="8"/>
      <c r="K117" s="9"/>
    </row>
    <row r="118">
      <c r="A118" s="6"/>
      <c r="B118" s="7"/>
      <c r="C118" s="7"/>
      <c r="D118" s="7"/>
      <c r="E118" s="7"/>
      <c r="F118" s="7"/>
      <c r="G118" s="7"/>
      <c r="H118" s="7"/>
      <c r="I118" s="7"/>
      <c r="J118" s="8"/>
      <c r="K118" s="9"/>
    </row>
    <row r="119">
      <c r="A119" s="6"/>
      <c r="B119" s="7"/>
      <c r="C119" s="7"/>
      <c r="D119" s="7"/>
      <c r="E119" s="7"/>
      <c r="F119" s="7"/>
      <c r="G119" s="7"/>
      <c r="H119" s="7"/>
      <c r="I119" s="7"/>
      <c r="J119" s="8"/>
      <c r="K119" s="9"/>
    </row>
    <row r="120">
      <c r="A120" s="6"/>
      <c r="B120" s="7"/>
      <c r="C120" s="7"/>
      <c r="D120" s="7"/>
      <c r="E120" s="7"/>
      <c r="F120" s="7"/>
      <c r="G120" s="7"/>
      <c r="H120" s="7"/>
      <c r="I120" s="7"/>
      <c r="J120" s="8"/>
      <c r="K120" s="9"/>
    </row>
    <row r="121">
      <c r="A121" s="6"/>
      <c r="B121" s="7"/>
      <c r="C121" s="7"/>
      <c r="D121" s="7"/>
      <c r="E121" s="7"/>
      <c r="F121" s="7"/>
      <c r="G121" s="7"/>
      <c r="H121" s="7"/>
      <c r="I121" s="7"/>
      <c r="J121" s="8"/>
      <c r="K121" s="9"/>
    </row>
    <row r="122">
      <c r="A122" s="6"/>
      <c r="B122" s="7"/>
      <c r="C122" s="7"/>
      <c r="D122" s="7"/>
      <c r="E122" s="7"/>
      <c r="F122" s="7"/>
      <c r="G122" s="7"/>
      <c r="H122" s="7"/>
      <c r="I122" s="7"/>
      <c r="J122" s="8"/>
      <c r="K122" s="9"/>
    </row>
    <row r="123">
      <c r="A123" s="6"/>
      <c r="B123" s="7"/>
      <c r="C123" s="7"/>
      <c r="D123" s="7"/>
      <c r="E123" s="7"/>
      <c r="F123" s="7"/>
      <c r="G123" s="7"/>
      <c r="H123" s="7"/>
      <c r="I123" s="7"/>
      <c r="J123" s="8"/>
      <c r="K123" s="9"/>
    </row>
    <row r="124">
      <c r="A124" s="6"/>
      <c r="B124" s="7"/>
      <c r="C124" s="7"/>
      <c r="D124" s="7"/>
      <c r="E124" s="7"/>
      <c r="F124" s="7"/>
      <c r="G124" s="7"/>
      <c r="H124" s="7"/>
      <c r="I124" s="7"/>
      <c r="J124" s="8"/>
      <c r="K124" s="9"/>
    </row>
    <row r="125">
      <c r="A125" s="6"/>
      <c r="B125" s="7"/>
      <c r="C125" s="7"/>
      <c r="D125" s="7"/>
      <c r="E125" s="7"/>
      <c r="F125" s="7"/>
      <c r="G125" s="7"/>
      <c r="H125" s="7"/>
      <c r="I125" s="7"/>
      <c r="J125" s="8"/>
      <c r="K125" s="9"/>
    </row>
    <row r="126">
      <c r="A126" s="6"/>
      <c r="B126" s="7"/>
      <c r="C126" s="7"/>
      <c r="D126" s="7"/>
      <c r="E126" s="7"/>
      <c r="F126" s="7"/>
      <c r="G126" s="7"/>
      <c r="H126" s="7"/>
      <c r="I126" s="7"/>
      <c r="J126" s="8"/>
      <c r="K126" s="9"/>
    </row>
    <row r="127">
      <c r="A127" s="6"/>
      <c r="B127" s="7"/>
      <c r="C127" s="7"/>
      <c r="D127" s="7"/>
      <c r="E127" s="7"/>
      <c r="F127" s="7"/>
      <c r="G127" s="7"/>
      <c r="H127" s="7"/>
      <c r="I127" s="7"/>
      <c r="J127" s="8"/>
      <c r="K127" s="9"/>
    </row>
    <row r="128">
      <c r="A128" s="6"/>
      <c r="B128" s="7"/>
      <c r="C128" s="7"/>
      <c r="D128" s="7"/>
      <c r="E128" s="7"/>
      <c r="F128" s="7"/>
      <c r="G128" s="7"/>
      <c r="H128" s="7"/>
      <c r="I128" s="7"/>
      <c r="J128" s="8"/>
      <c r="K128" s="9"/>
    </row>
    <row r="129">
      <c r="A129" s="6"/>
      <c r="B129" s="7"/>
      <c r="C129" s="7"/>
      <c r="D129" s="7"/>
      <c r="E129" s="7"/>
      <c r="F129" s="7"/>
      <c r="G129" s="7"/>
      <c r="H129" s="7"/>
      <c r="I129" s="7"/>
      <c r="J129" s="8"/>
      <c r="K129" s="9"/>
    </row>
    <row r="130">
      <c r="A130" s="6"/>
      <c r="B130" s="7"/>
      <c r="C130" s="7"/>
      <c r="D130" s="7"/>
      <c r="E130" s="7"/>
      <c r="F130" s="7"/>
      <c r="G130" s="7"/>
      <c r="H130" s="7"/>
      <c r="I130" s="7"/>
      <c r="J130" s="8"/>
      <c r="K130" s="9"/>
    </row>
    <row r="131">
      <c r="A131" s="6"/>
      <c r="B131" s="7"/>
      <c r="C131" s="7"/>
      <c r="D131" s="7"/>
      <c r="E131" s="7"/>
      <c r="F131" s="7"/>
      <c r="G131" s="7"/>
      <c r="H131" s="7"/>
      <c r="I131" s="7"/>
      <c r="J131" s="8"/>
      <c r="K131" s="9"/>
    </row>
    <row r="132">
      <c r="A132" s="6"/>
      <c r="B132" s="7"/>
      <c r="C132" s="7"/>
      <c r="D132" s="7"/>
      <c r="E132" s="7"/>
      <c r="F132" s="7"/>
      <c r="G132" s="7"/>
      <c r="H132" s="7"/>
      <c r="I132" s="7"/>
      <c r="J132" s="8"/>
      <c r="K132" s="9"/>
    </row>
    <row r="133">
      <c r="A133" s="6"/>
      <c r="B133" s="7"/>
      <c r="C133" s="7"/>
      <c r="D133" s="7"/>
      <c r="E133" s="7"/>
      <c r="F133" s="7"/>
      <c r="G133" s="7"/>
      <c r="H133" s="7"/>
      <c r="I133" s="7"/>
      <c r="J133" s="8"/>
      <c r="K133" s="9"/>
    </row>
    <row r="134">
      <c r="A134" s="6"/>
      <c r="B134" s="7"/>
      <c r="C134" s="7"/>
      <c r="D134" s="7"/>
      <c r="E134" s="7"/>
      <c r="F134" s="7"/>
      <c r="G134" s="7"/>
      <c r="H134" s="7"/>
      <c r="I134" s="7"/>
      <c r="J134" s="8"/>
      <c r="K134" s="9"/>
    </row>
    <row r="135">
      <c r="A135" s="6"/>
      <c r="B135" s="7"/>
      <c r="C135" s="7"/>
      <c r="D135" s="7"/>
      <c r="E135" s="7"/>
      <c r="F135" s="7"/>
      <c r="G135" s="7"/>
      <c r="H135" s="7"/>
      <c r="I135" s="7"/>
      <c r="J135" s="8"/>
      <c r="K135" s="9"/>
    </row>
    <row r="136">
      <c r="A136" s="6"/>
      <c r="B136" s="7"/>
      <c r="C136" s="7"/>
      <c r="D136" s="7"/>
      <c r="E136" s="7"/>
      <c r="F136" s="7"/>
      <c r="G136" s="7"/>
      <c r="H136" s="7"/>
      <c r="I136" s="7"/>
      <c r="J136" s="8"/>
      <c r="K136" s="9"/>
    </row>
    <row r="137">
      <c r="A137" s="6"/>
      <c r="B137" s="7"/>
      <c r="C137" s="7"/>
      <c r="D137" s="7"/>
      <c r="E137" s="7"/>
      <c r="F137" s="7"/>
      <c r="G137" s="7"/>
      <c r="H137" s="7"/>
      <c r="I137" s="7"/>
      <c r="J137" s="8"/>
      <c r="K137" s="9"/>
    </row>
    <row r="138">
      <c r="A138" s="6"/>
      <c r="B138" s="7"/>
      <c r="C138" s="7"/>
      <c r="D138" s="7"/>
      <c r="E138" s="7"/>
      <c r="F138" s="7"/>
      <c r="G138" s="7"/>
      <c r="H138" s="7"/>
      <c r="I138" s="7"/>
      <c r="J138" s="8"/>
      <c r="K138" s="9"/>
    </row>
    <row r="139">
      <c r="A139" s="6"/>
      <c r="B139" s="7"/>
      <c r="C139" s="7"/>
      <c r="D139" s="7"/>
      <c r="E139" s="7"/>
      <c r="F139" s="7"/>
      <c r="G139" s="7"/>
      <c r="H139" s="7"/>
      <c r="I139" s="7"/>
      <c r="J139" s="8"/>
      <c r="K139" s="9"/>
    </row>
    <row r="140">
      <c r="A140" s="6"/>
      <c r="B140" s="7"/>
      <c r="C140" s="7"/>
      <c r="D140" s="7"/>
      <c r="E140" s="7"/>
      <c r="F140" s="7"/>
      <c r="G140" s="7"/>
      <c r="H140" s="7"/>
      <c r="I140" s="7"/>
      <c r="J140" s="8"/>
      <c r="K140" s="9"/>
    </row>
    <row r="141">
      <c r="A141" s="6"/>
      <c r="B141" s="7"/>
      <c r="C141" s="7"/>
      <c r="D141" s="7"/>
      <c r="E141" s="7"/>
      <c r="F141" s="7"/>
      <c r="G141" s="7"/>
      <c r="H141" s="7"/>
      <c r="I141" s="7"/>
      <c r="J141" s="8"/>
      <c r="K141" s="9"/>
    </row>
    <row r="142">
      <c r="A142" s="6"/>
      <c r="B142" s="7"/>
      <c r="C142" s="7"/>
      <c r="D142" s="7"/>
      <c r="E142" s="7"/>
      <c r="F142" s="7"/>
      <c r="G142" s="7"/>
      <c r="H142" s="7"/>
      <c r="I142" s="7"/>
      <c r="J142" s="8"/>
      <c r="K142" s="9"/>
    </row>
    <row r="143">
      <c r="A143" s="6"/>
      <c r="B143" s="7"/>
      <c r="C143" s="7"/>
      <c r="D143" s="7"/>
      <c r="E143" s="7"/>
      <c r="F143" s="7"/>
      <c r="G143" s="7"/>
      <c r="H143" s="7"/>
      <c r="I143" s="7"/>
      <c r="J143" s="8"/>
      <c r="K143" s="9"/>
    </row>
    <row r="144">
      <c r="A144" s="6"/>
      <c r="B144" s="7"/>
      <c r="C144" s="7"/>
      <c r="D144" s="7"/>
      <c r="E144" s="7"/>
      <c r="F144" s="7"/>
      <c r="G144" s="7"/>
      <c r="H144" s="7"/>
      <c r="I144" s="7"/>
      <c r="J144" s="8"/>
      <c r="K144" s="9"/>
    </row>
    <row r="145">
      <c r="A145" s="6"/>
      <c r="B145" s="7"/>
      <c r="C145" s="7"/>
      <c r="D145" s="7"/>
      <c r="E145" s="7"/>
      <c r="F145" s="7"/>
      <c r="G145" s="7"/>
      <c r="H145" s="7"/>
      <c r="I145" s="7"/>
      <c r="J145" s="8"/>
      <c r="K145" s="9"/>
    </row>
    <row r="146">
      <c r="A146" s="6"/>
      <c r="B146" s="7"/>
      <c r="C146" s="7"/>
      <c r="D146" s="7"/>
      <c r="E146" s="7"/>
      <c r="F146" s="7"/>
      <c r="G146" s="7"/>
      <c r="H146" s="7"/>
      <c r="I146" s="7"/>
      <c r="J146" s="8"/>
      <c r="K146" s="9"/>
    </row>
    <row r="147">
      <c r="A147" s="6"/>
      <c r="B147" s="7"/>
      <c r="C147" s="7"/>
      <c r="D147" s="7"/>
      <c r="E147" s="7"/>
      <c r="F147" s="7"/>
      <c r="G147" s="7"/>
      <c r="H147" s="7"/>
      <c r="I147" s="7"/>
      <c r="J147" s="8"/>
      <c r="K147" s="9"/>
    </row>
    <row r="148">
      <c r="A148" s="6"/>
      <c r="B148" s="7"/>
      <c r="C148" s="7"/>
      <c r="D148" s="7"/>
      <c r="E148" s="7"/>
      <c r="F148" s="7"/>
      <c r="G148" s="7"/>
      <c r="H148" s="7"/>
      <c r="I148" s="7"/>
      <c r="J148" s="8"/>
      <c r="K148" s="9"/>
    </row>
    <row r="149">
      <c r="A149" s="6"/>
      <c r="B149" s="7"/>
      <c r="C149" s="7"/>
      <c r="D149" s="7"/>
      <c r="E149" s="7"/>
      <c r="F149" s="7"/>
      <c r="G149" s="7"/>
      <c r="H149" s="7"/>
      <c r="I149" s="7"/>
      <c r="J149" s="8"/>
      <c r="K149" s="9"/>
    </row>
    <row r="150">
      <c r="A150" s="6"/>
      <c r="B150" s="7"/>
      <c r="C150" s="7"/>
      <c r="D150" s="7"/>
      <c r="E150" s="7"/>
      <c r="F150" s="7"/>
      <c r="G150" s="7"/>
      <c r="H150" s="7"/>
      <c r="I150" s="7"/>
      <c r="J150" s="8"/>
      <c r="K150" s="9"/>
    </row>
    <row r="151">
      <c r="A151" s="6"/>
      <c r="B151" s="7"/>
      <c r="C151" s="7"/>
      <c r="D151" s="7"/>
      <c r="E151" s="7"/>
      <c r="F151" s="7"/>
      <c r="G151" s="7"/>
      <c r="H151" s="7"/>
      <c r="I151" s="7"/>
      <c r="J151" s="8"/>
      <c r="K151" s="9"/>
    </row>
    <row r="152">
      <c r="A152" s="6"/>
      <c r="B152" s="7"/>
      <c r="C152" s="7"/>
      <c r="D152" s="7"/>
      <c r="E152" s="7"/>
      <c r="F152" s="7"/>
      <c r="G152" s="7"/>
      <c r="H152" s="7"/>
      <c r="I152" s="7"/>
      <c r="J152" s="8"/>
      <c r="K152" s="9"/>
    </row>
    <row r="153">
      <c r="A153" s="6"/>
      <c r="B153" s="7"/>
      <c r="C153" s="7"/>
      <c r="D153" s="7"/>
      <c r="E153" s="7"/>
      <c r="F153" s="7"/>
      <c r="G153" s="7"/>
      <c r="H153" s="7"/>
      <c r="I153" s="7"/>
      <c r="J153" s="8"/>
      <c r="K153" s="9"/>
    </row>
    <row r="154">
      <c r="A154" s="6"/>
      <c r="B154" s="7"/>
      <c r="C154" s="7"/>
      <c r="D154" s="7"/>
      <c r="E154" s="7"/>
      <c r="F154" s="7"/>
      <c r="G154" s="7"/>
      <c r="H154" s="7"/>
      <c r="I154" s="7"/>
      <c r="J154" s="8"/>
      <c r="K154" s="9"/>
    </row>
    <row r="155">
      <c r="A155" s="6"/>
      <c r="B155" s="7"/>
      <c r="C155" s="7"/>
      <c r="D155" s="7"/>
      <c r="E155" s="7"/>
      <c r="F155" s="7"/>
      <c r="G155" s="7"/>
      <c r="H155" s="7"/>
      <c r="I155" s="7"/>
      <c r="J155" s="8"/>
      <c r="K155" s="9"/>
    </row>
    <row r="156">
      <c r="A156" s="6"/>
      <c r="B156" s="7"/>
      <c r="C156" s="7"/>
      <c r="D156" s="7"/>
      <c r="E156" s="7"/>
      <c r="F156" s="7"/>
      <c r="G156" s="7"/>
      <c r="H156" s="7"/>
      <c r="I156" s="7"/>
      <c r="J156" s="8"/>
      <c r="K156" s="9"/>
    </row>
    <row r="157">
      <c r="A157" s="6"/>
      <c r="B157" s="7"/>
      <c r="C157" s="7"/>
      <c r="D157" s="7"/>
      <c r="E157" s="7"/>
      <c r="F157" s="7"/>
      <c r="G157" s="7"/>
      <c r="H157" s="7"/>
      <c r="I157" s="7"/>
      <c r="J157" s="8"/>
      <c r="K157" s="9"/>
    </row>
    <row r="158">
      <c r="A158" s="6"/>
      <c r="B158" s="7"/>
      <c r="C158" s="7"/>
      <c r="D158" s="7"/>
      <c r="E158" s="7"/>
      <c r="F158" s="7"/>
      <c r="G158" s="7"/>
      <c r="H158" s="7"/>
      <c r="I158" s="7"/>
      <c r="J158" s="8"/>
      <c r="K158" s="9"/>
    </row>
    <row r="159">
      <c r="A159" s="6"/>
      <c r="B159" s="7"/>
      <c r="C159" s="7"/>
      <c r="D159" s="7"/>
      <c r="E159" s="7"/>
      <c r="F159" s="7"/>
      <c r="G159" s="7"/>
      <c r="H159" s="7"/>
      <c r="I159" s="7"/>
      <c r="J159" s="8"/>
      <c r="K159" s="9"/>
    </row>
    <row r="160">
      <c r="A160" s="6"/>
      <c r="B160" s="7"/>
      <c r="C160" s="7"/>
      <c r="D160" s="7"/>
      <c r="E160" s="7"/>
      <c r="F160" s="7"/>
      <c r="G160" s="7"/>
      <c r="H160" s="7"/>
      <c r="I160" s="7"/>
      <c r="J160" s="8"/>
      <c r="K160" s="9"/>
    </row>
    <row r="161">
      <c r="A161" s="6"/>
      <c r="B161" s="7"/>
      <c r="C161" s="7"/>
      <c r="D161" s="7"/>
      <c r="E161" s="7"/>
      <c r="F161" s="7"/>
      <c r="G161" s="7"/>
      <c r="H161" s="7"/>
      <c r="I161" s="7"/>
      <c r="J161" s="8"/>
      <c r="K161" s="9"/>
    </row>
    <row r="162">
      <c r="A162" s="6"/>
      <c r="B162" s="7"/>
      <c r="C162" s="7"/>
      <c r="D162" s="7"/>
      <c r="E162" s="7"/>
      <c r="F162" s="7"/>
      <c r="G162" s="7"/>
      <c r="H162" s="7"/>
      <c r="I162" s="7"/>
      <c r="J162" s="8"/>
      <c r="K162" s="9"/>
    </row>
    <row r="163">
      <c r="A163" s="6"/>
      <c r="B163" s="7"/>
      <c r="C163" s="7"/>
      <c r="D163" s="7"/>
      <c r="E163" s="7"/>
      <c r="F163" s="7"/>
      <c r="G163" s="7"/>
      <c r="H163" s="7"/>
      <c r="I163" s="7"/>
      <c r="J163" s="8"/>
      <c r="K163" s="9"/>
    </row>
    <row r="164">
      <c r="A164" s="6"/>
      <c r="B164" s="7"/>
      <c r="C164" s="7"/>
      <c r="D164" s="7"/>
      <c r="E164" s="7"/>
      <c r="F164" s="7"/>
      <c r="G164" s="7"/>
      <c r="H164" s="7"/>
      <c r="I164" s="7"/>
      <c r="J164" s="8"/>
      <c r="K164" s="9"/>
    </row>
    <row r="165">
      <c r="A165" s="6"/>
      <c r="B165" s="7"/>
      <c r="C165" s="7"/>
      <c r="D165" s="7"/>
      <c r="E165" s="7"/>
      <c r="F165" s="7"/>
      <c r="G165" s="7"/>
      <c r="H165" s="7"/>
      <c r="I165" s="7"/>
      <c r="J165" s="8"/>
      <c r="K165" s="9"/>
    </row>
    <row r="166">
      <c r="A166" s="6"/>
      <c r="B166" s="7"/>
      <c r="C166" s="7"/>
      <c r="D166" s="7"/>
      <c r="E166" s="7"/>
      <c r="F166" s="7"/>
      <c r="G166" s="7"/>
      <c r="H166" s="7"/>
      <c r="I166" s="7"/>
      <c r="J166" s="8"/>
      <c r="K166" s="9"/>
    </row>
    <row r="167">
      <c r="A167" s="6"/>
      <c r="B167" s="7"/>
      <c r="C167" s="7"/>
      <c r="D167" s="7"/>
      <c r="E167" s="7"/>
      <c r="F167" s="7"/>
      <c r="G167" s="7"/>
      <c r="H167" s="7"/>
      <c r="I167" s="7"/>
      <c r="J167" s="8"/>
      <c r="K167" s="9"/>
    </row>
    <row r="168">
      <c r="A168" s="6"/>
      <c r="B168" s="7"/>
      <c r="C168" s="7"/>
      <c r="D168" s="7"/>
      <c r="E168" s="7"/>
      <c r="F168" s="7"/>
      <c r="G168" s="7"/>
      <c r="H168" s="7"/>
      <c r="I168" s="7"/>
      <c r="J168" s="8"/>
      <c r="K168" s="9"/>
    </row>
    <row r="169">
      <c r="A169" s="6"/>
      <c r="B169" s="7"/>
      <c r="C169" s="7"/>
      <c r="D169" s="7"/>
      <c r="E169" s="7"/>
      <c r="F169" s="7"/>
      <c r="G169" s="7"/>
      <c r="H169" s="7"/>
      <c r="I169" s="7"/>
      <c r="J169" s="8"/>
      <c r="K169" s="9"/>
    </row>
    <row r="170">
      <c r="A170" s="6"/>
      <c r="B170" s="7"/>
      <c r="C170" s="7"/>
      <c r="D170" s="7"/>
      <c r="E170" s="7"/>
      <c r="F170" s="7"/>
      <c r="G170" s="7"/>
      <c r="H170" s="7"/>
      <c r="I170" s="7"/>
      <c r="J170" s="8"/>
      <c r="K170" s="9"/>
    </row>
    <row r="171">
      <c r="A171" s="6"/>
      <c r="B171" s="7"/>
      <c r="C171" s="7"/>
      <c r="D171" s="7"/>
      <c r="E171" s="7"/>
      <c r="F171" s="7"/>
      <c r="G171" s="7"/>
      <c r="H171" s="7"/>
      <c r="I171" s="7"/>
      <c r="J171" s="8"/>
      <c r="K171" s="9"/>
    </row>
    <row r="172">
      <c r="A172" s="6"/>
      <c r="B172" s="7"/>
      <c r="C172" s="7"/>
      <c r="D172" s="7"/>
      <c r="E172" s="7"/>
      <c r="F172" s="7"/>
      <c r="G172" s="7"/>
      <c r="H172" s="7"/>
      <c r="I172" s="7"/>
      <c r="J172" s="8"/>
      <c r="K172" s="9"/>
    </row>
    <row r="173">
      <c r="A173" s="6"/>
      <c r="B173" s="7"/>
      <c r="C173" s="7"/>
      <c r="D173" s="7"/>
      <c r="E173" s="7"/>
      <c r="F173" s="7"/>
      <c r="G173" s="7"/>
      <c r="H173" s="7"/>
      <c r="I173" s="7"/>
      <c r="J173" s="8"/>
      <c r="K173" s="9"/>
    </row>
    <row r="174">
      <c r="A174" s="6"/>
      <c r="B174" s="7"/>
      <c r="C174" s="7"/>
      <c r="D174" s="7"/>
      <c r="E174" s="7"/>
      <c r="F174" s="7"/>
      <c r="G174" s="7"/>
      <c r="H174" s="7"/>
      <c r="I174" s="7"/>
      <c r="J174" s="8"/>
      <c r="K174" s="9"/>
    </row>
    <row r="175">
      <c r="A175" s="6"/>
      <c r="B175" s="7"/>
      <c r="C175" s="7"/>
      <c r="D175" s="7"/>
      <c r="E175" s="7"/>
      <c r="F175" s="7"/>
      <c r="G175" s="7"/>
      <c r="H175" s="7"/>
      <c r="I175" s="7"/>
      <c r="J175" s="8"/>
      <c r="K175" s="9"/>
    </row>
    <row r="176">
      <c r="A176" s="6"/>
      <c r="B176" s="7"/>
      <c r="C176" s="7"/>
      <c r="D176" s="7"/>
      <c r="E176" s="7"/>
      <c r="F176" s="7"/>
      <c r="G176" s="7"/>
      <c r="H176" s="7"/>
      <c r="I176" s="7"/>
      <c r="J176" s="8"/>
      <c r="K176" s="9"/>
    </row>
    <row r="177">
      <c r="A177" s="6"/>
      <c r="B177" s="7"/>
      <c r="C177" s="7"/>
      <c r="D177" s="7"/>
      <c r="E177" s="7"/>
      <c r="F177" s="7"/>
      <c r="G177" s="7"/>
      <c r="H177" s="7"/>
      <c r="I177" s="7"/>
      <c r="J177" s="8"/>
      <c r="K177" s="9"/>
    </row>
    <row r="178">
      <c r="A178" s="6"/>
      <c r="B178" s="7"/>
      <c r="C178" s="7"/>
      <c r="D178" s="7"/>
      <c r="E178" s="7"/>
      <c r="F178" s="7"/>
      <c r="G178" s="7"/>
      <c r="H178" s="7"/>
      <c r="I178" s="7"/>
      <c r="J178" s="8"/>
      <c r="K178" s="9"/>
    </row>
    <row r="179">
      <c r="A179" s="6"/>
      <c r="B179" s="7"/>
      <c r="C179" s="7"/>
      <c r="D179" s="7"/>
      <c r="E179" s="7"/>
      <c r="F179" s="7"/>
      <c r="G179" s="7"/>
      <c r="H179" s="7"/>
      <c r="I179" s="7"/>
      <c r="J179" s="8"/>
      <c r="K179" s="9"/>
    </row>
    <row r="180">
      <c r="A180" s="6"/>
      <c r="B180" s="7"/>
      <c r="C180" s="7"/>
      <c r="D180" s="7"/>
      <c r="E180" s="7"/>
      <c r="F180" s="7"/>
      <c r="G180" s="7"/>
      <c r="H180" s="7"/>
      <c r="I180" s="7"/>
      <c r="J180" s="8"/>
      <c r="K180" s="9"/>
    </row>
    <row r="181">
      <c r="A181" s="6"/>
      <c r="B181" s="7"/>
      <c r="C181" s="7"/>
      <c r="D181" s="7"/>
      <c r="E181" s="7"/>
      <c r="F181" s="7"/>
      <c r="G181" s="7"/>
      <c r="H181" s="7"/>
      <c r="I181" s="7"/>
      <c r="J181" s="8"/>
      <c r="K181" s="9"/>
    </row>
    <row r="182">
      <c r="A182" s="6"/>
      <c r="B182" s="7"/>
      <c r="C182" s="7"/>
      <c r="D182" s="7"/>
      <c r="E182" s="7"/>
      <c r="F182" s="7"/>
      <c r="G182" s="7"/>
      <c r="H182" s="7"/>
      <c r="I182" s="7"/>
      <c r="J182" s="8"/>
      <c r="K182" s="9"/>
    </row>
    <row r="183">
      <c r="A183" s="6"/>
      <c r="B183" s="7"/>
      <c r="C183" s="7"/>
      <c r="D183" s="7"/>
      <c r="E183" s="7"/>
      <c r="F183" s="7"/>
      <c r="G183" s="7"/>
      <c r="H183" s="7"/>
      <c r="I183" s="7"/>
      <c r="J183" s="8"/>
      <c r="K183" s="9"/>
    </row>
    <row r="184">
      <c r="A184" s="6"/>
      <c r="B184" s="7"/>
      <c r="C184" s="7"/>
      <c r="D184" s="7"/>
      <c r="E184" s="7"/>
      <c r="F184" s="7"/>
      <c r="G184" s="7"/>
      <c r="H184" s="7"/>
      <c r="I184" s="7"/>
      <c r="J184" s="8"/>
      <c r="K184" s="9"/>
    </row>
    <row r="185">
      <c r="A185" s="6"/>
      <c r="B185" s="7"/>
      <c r="C185" s="7"/>
      <c r="D185" s="7"/>
      <c r="E185" s="7"/>
      <c r="F185" s="7"/>
      <c r="G185" s="7"/>
      <c r="H185" s="7"/>
      <c r="I185" s="7"/>
      <c r="J185" s="8"/>
      <c r="K185" s="9"/>
    </row>
    <row r="186">
      <c r="A186" s="6"/>
      <c r="B186" s="7"/>
      <c r="C186" s="7"/>
      <c r="D186" s="7"/>
      <c r="E186" s="7"/>
      <c r="F186" s="7"/>
      <c r="G186" s="7"/>
      <c r="H186" s="7"/>
      <c r="I186" s="7"/>
      <c r="J186" s="8"/>
      <c r="K186" s="9"/>
    </row>
    <row r="187">
      <c r="A187" s="6"/>
      <c r="B187" s="7"/>
      <c r="C187" s="7"/>
      <c r="D187" s="7"/>
      <c r="E187" s="7"/>
      <c r="F187" s="7"/>
      <c r="G187" s="7"/>
      <c r="H187" s="7"/>
      <c r="I187" s="7"/>
      <c r="J187" s="8"/>
      <c r="K187" s="9"/>
    </row>
    <row r="188">
      <c r="A188" s="6"/>
      <c r="B188" s="7"/>
      <c r="C188" s="7"/>
      <c r="D188" s="7"/>
      <c r="E188" s="7"/>
      <c r="F188" s="7"/>
      <c r="G188" s="7"/>
      <c r="H188" s="7"/>
      <c r="I188" s="7"/>
      <c r="J188" s="8"/>
      <c r="K188" s="9"/>
    </row>
    <row r="189">
      <c r="A189" s="6"/>
      <c r="B189" s="7"/>
      <c r="C189" s="7"/>
      <c r="D189" s="7"/>
      <c r="E189" s="7"/>
      <c r="F189" s="7"/>
      <c r="G189" s="7"/>
      <c r="H189" s="7"/>
      <c r="I189" s="7"/>
      <c r="J189" s="8"/>
      <c r="K189" s="9"/>
    </row>
    <row r="190">
      <c r="A190" s="6"/>
      <c r="B190" s="7"/>
      <c r="C190" s="7"/>
      <c r="D190" s="7"/>
      <c r="E190" s="7"/>
      <c r="F190" s="7"/>
      <c r="G190" s="7"/>
      <c r="H190" s="7"/>
      <c r="I190" s="7"/>
      <c r="J190" s="8"/>
      <c r="K190" s="9"/>
    </row>
    <row r="191">
      <c r="A191" s="6"/>
      <c r="B191" s="7"/>
      <c r="C191" s="7"/>
      <c r="D191" s="7"/>
      <c r="E191" s="7"/>
      <c r="F191" s="7"/>
      <c r="G191" s="7"/>
      <c r="H191" s="7"/>
      <c r="I191" s="7"/>
      <c r="J191" s="8"/>
      <c r="K191" s="9"/>
    </row>
    <row r="192">
      <c r="A192" s="6"/>
      <c r="B192" s="7"/>
      <c r="C192" s="7"/>
      <c r="D192" s="7"/>
      <c r="E192" s="7"/>
      <c r="F192" s="7"/>
      <c r="G192" s="7"/>
      <c r="H192" s="7"/>
      <c r="I192" s="7"/>
      <c r="J192" s="8"/>
      <c r="K192" s="9"/>
    </row>
    <row r="193">
      <c r="A193" s="6"/>
      <c r="B193" s="7"/>
      <c r="C193" s="7"/>
      <c r="D193" s="7"/>
      <c r="E193" s="7"/>
      <c r="F193" s="7"/>
      <c r="G193" s="7"/>
      <c r="H193" s="7"/>
      <c r="I193" s="7"/>
      <c r="J193" s="8"/>
      <c r="K193" s="9"/>
    </row>
    <row r="194">
      <c r="A194" s="6"/>
      <c r="B194" s="7"/>
      <c r="C194" s="7"/>
      <c r="D194" s="7"/>
      <c r="E194" s="7"/>
      <c r="F194" s="7"/>
      <c r="G194" s="7"/>
      <c r="H194" s="7"/>
      <c r="I194" s="7"/>
      <c r="J194" s="8"/>
      <c r="K194" s="9"/>
    </row>
    <row r="195">
      <c r="A195" s="6"/>
      <c r="B195" s="7"/>
      <c r="C195" s="7"/>
      <c r="D195" s="7"/>
      <c r="E195" s="7"/>
      <c r="F195" s="7"/>
      <c r="G195" s="7"/>
      <c r="H195" s="7"/>
      <c r="I195" s="7"/>
      <c r="J195" s="8"/>
      <c r="K195" s="9"/>
    </row>
    <row r="196">
      <c r="A196" s="6"/>
      <c r="B196" s="7"/>
      <c r="C196" s="7"/>
      <c r="D196" s="7"/>
      <c r="E196" s="7"/>
      <c r="F196" s="7"/>
      <c r="G196" s="7"/>
      <c r="H196" s="7"/>
      <c r="I196" s="7"/>
      <c r="J196" s="8"/>
      <c r="K196" s="9"/>
    </row>
    <row r="197">
      <c r="A197" s="6"/>
      <c r="B197" s="7"/>
      <c r="C197" s="7"/>
      <c r="D197" s="7"/>
      <c r="E197" s="7"/>
      <c r="F197" s="7"/>
      <c r="G197" s="7"/>
      <c r="H197" s="7"/>
      <c r="I197" s="7"/>
      <c r="J197" s="8"/>
      <c r="K197" s="9"/>
    </row>
    <row r="198">
      <c r="A198" s="6"/>
      <c r="B198" s="7"/>
      <c r="C198" s="7"/>
      <c r="D198" s="7"/>
      <c r="E198" s="7"/>
      <c r="F198" s="7"/>
      <c r="G198" s="7"/>
      <c r="H198" s="7"/>
      <c r="I198" s="7"/>
      <c r="J198" s="8"/>
      <c r="K198" s="9"/>
    </row>
    <row r="199">
      <c r="A199" s="6"/>
      <c r="B199" s="7"/>
      <c r="C199" s="7"/>
      <c r="D199" s="7"/>
      <c r="E199" s="7"/>
      <c r="F199" s="7"/>
      <c r="G199" s="7"/>
      <c r="H199" s="7"/>
      <c r="I199" s="7"/>
      <c r="J199" s="8"/>
      <c r="K199" s="9"/>
    </row>
    <row r="200">
      <c r="A200" s="6"/>
      <c r="B200" s="7"/>
      <c r="C200" s="7"/>
      <c r="D200" s="7"/>
      <c r="E200" s="7"/>
      <c r="F200" s="7"/>
      <c r="G200" s="7"/>
      <c r="H200" s="7"/>
      <c r="I200" s="7"/>
      <c r="J200" s="8"/>
      <c r="K200" s="9"/>
    </row>
    <row r="201">
      <c r="A201" s="6"/>
      <c r="B201" s="7"/>
      <c r="C201" s="7"/>
      <c r="D201" s="7"/>
      <c r="E201" s="7"/>
      <c r="F201" s="7"/>
      <c r="G201" s="7"/>
      <c r="H201" s="7"/>
      <c r="I201" s="7"/>
      <c r="J201" s="8"/>
      <c r="K201" s="9"/>
    </row>
    <row r="202">
      <c r="A202" s="6"/>
      <c r="B202" s="7"/>
      <c r="C202" s="7"/>
      <c r="D202" s="7"/>
      <c r="E202" s="7"/>
      <c r="F202" s="7"/>
      <c r="G202" s="7"/>
      <c r="H202" s="7"/>
      <c r="I202" s="7"/>
      <c r="J202" s="8"/>
      <c r="K202" s="9"/>
    </row>
    <row r="203">
      <c r="A203" s="6"/>
      <c r="B203" s="7"/>
      <c r="C203" s="7"/>
      <c r="D203" s="7"/>
      <c r="E203" s="7"/>
      <c r="F203" s="7"/>
      <c r="G203" s="7"/>
      <c r="H203" s="7"/>
      <c r="I203" s="7"/>
      <c r="J203" s="8"/>
      <c r="K203" s="9"/>
    </row>
    <row r="204">
      <c r="A204" s="6"/>
      <c r="B204" s="7"/>
      <c r="C204" s="7"/>
      <c r="D204" s="7"/>
      <c r="E204" s="7"/>
      <c r="F204" s="7"/>
      <c r="G204" s="7"/>
      <c r="H204" s="7"/>
      <c r="I204" s="7"/>
      <c r="J204" s="8"/>
      <c r="K204" s="9"/>
    </row>
    <row r="205">
      <c r="A205" s="6"/>
      <c r="B205" s="7"/>
      <c r="C205" s="7"/>
      <c r="D205" s="7"/>
      <c r="E205" s="7"/>
      <c r="F205" s="7"/>
      <c r="G205" s="7"/>
      <c r="H205" s="7"/>
      <c r="I205" s="7"/>
      <c r="J205" s="8"/>
      <c r="K205" s="9"/>
    </row>
    <row r="206">
      <c r="A206" s="6"/>
      <c r="B206" s="7"/>
      <c r="C206" s="7"/>
      <c r="D206" s="7"/>
      <c r="E206" s="7"/>
      <c r="F206" s="7"/>
      <c r="G206" s="7"/>
      <c r="H206" s="7"/>
      <c r="I206" s="7"/>
      <c r="J206" s="8"/>
      <c r="K206" s="9"/>
    </row>
    <row r="207">
      <c r="A207" s="6"/>
      <c r="B207" s="7"/>
      <c r="C207" s="7"/>
      <c r="D207" s="7"/>
      <c r="E207" s="7"/>
      <c r="F207" s="7"/>
      <c r="G207" s="7"/>
      <c r="H207" s="7"/>
      <c r="I207" s="7"/>
      <c r="J207" s="8"/>
      <c r="K207" s="9"/>
    </row>
    <row r="208">
      <c r="A208" s="6"/>
      <c r="B208" s="7"/>
      <c r="C208" s="7"/>
      <c r="D208" s="7"/>
      <c r="E208" s="7"/>
      <c r="F208" s="7"/>
      <c r="G208" s="7"/>
      <c r="H208" s="7"/>
      <c r="I208" s="7"/>
      <c r="J208" s="8"/>
      <c r="K208" s="9"/>
    </row>
    <row r="209">
      <c r="A209" s="6"/>
      <c r="B209" s="7"/>
      <c r="C209" s="7"/>
      <c r="D209" s="7"/>
      <c r="E209" s="7"/>
      <c r="F209" s="7"/>
      <c r="G209" s="7"/>
      <c r="H209" s="7"/>
      <c r="I209" s="7"/>
      <c r="J209" s="8"/>
      <c r="K209" s="9"/>
    </row>
    <row r="210">
      <c r="A210" s="6"/>
      <c r="B210" s="7"/>
      <c r="C210" s="7"/>
      <c r="D210" s="7"/>
      <c r="E210" s="7"/>
      <c r="F210" s="7"/>
      <c r="G210" s="7"/>
      <c r="H210" s="7"/>
      <c r="I210" s="7"/>
      <c r="J210" s="8"/>
      <c r="K210" s="9"/>
    </row>
    <row r="211">
      <c r="A211" s="6"/>
      <c r="B211" s="7"/>
      <c r="C211" s="7"/>
      <c r="D211" s="7"/>
      <c r="E211" s="7"/>
      <c r="F211" s="7"/>
      <c r="G211" s="7"/>
      <c r="H211" s="7"/>
      <c r="I211" s="7"/>
      <c r="J211" s="8"/>
      <c r="K211" s="9"/>
    </row>
    <row r="212">
      <c r="A212" s="6"/>
      <c r="B212" s="7"/>
      <c r="C212" s="7"/>
      <c r="D212" s="7"/>
      <c r="E212" s="7"/>
      <c r="F212" s="7"/>
      <c r="G212" s="7"/>
      <c r="H212" s="7"/>
      <c r="I212" s="7"/>
      <c r="J212" s="8"/>
      <c r="K212" s="9"/>
    </row>
    <row r="213">
      <c r="A213" s="6"/>
      <c r="B213" s="7"/>
      <c r="C213" s="7"/>
      <c r="D213" s="7"/>
      <c r="E213" s="7"/>
      <c r="F213" s="7"/>
      <c r="G213" s="7"/>
      <c r="H213" s="7"/>
      <c r="I213" s="7"/>
      <c r="J213" s="8"/>
      <c r="K213" s="9"/>
    </row>
    <row r="214">
      <c r="A214" s="6"/>
      <c r="B214" s="7"/>
      <c r="C214" s="7"/>
      <c r="D214" s="7"/>
      <c r="E214" s="7"/>
      <c r="F214" s="7"/>
      <c r="G214" s="7"/>
      <c r="H214" s="7"/>
      <c r="I214" s="7"/>
      <c r="J214" s="8"/>
      <c r="K214" s="9"/>
    </row>
    <row r="215">
      <c r="A215" s="6"/>
      <c r="B215" s="7"/>
      <c r="C215" s="7"/>
      <c r="D215" s="7"/>
      <c r="E215" s="7"/>
      <c r="F215" s="7"/>
      <c r="G215" s="7"/>
      <c r="H215" s="7"/>
      <c r="I215" s="7"/>
      <c r="J215" s="8"/>
      <c r="K215" s="9"/>
    </row>
    <row r="216">
      <c r="A216" s="6"/>
      <c r="B216" s="7"/>
      <c r="C216" s="7"/>
      <c r="D216" s="7"/>
      <c r="E216" s="7"/>
      <c r="F216" s="7"/>
      <c r="G216" s="7"/>
      <c r="H216" s="7"/>
      <c r="I216" s="7"/>
      <c r="J216" s="8"/>
      <c r="K216" s="9"/>
    </row>
    <row r="217">
      <c r="A217" s="6"/>
      <c r="B217" s="7"/>
      <c r="C217" s="7"/>
      <c r="D217" s="7"/>
      <c r="E217" s="7"/>
      <c r="F217" s="7"/>
      <c r="G217" s="7"/>
      <c r="H217" s="7"/>
      <c r="I217" s="7"/>
      <c r="J217" s="8"/>
      <c r="K217" s="9"/>
    </row>
    <row r="218">
      <c r="A218" s="6"/>
      <c r="B218" s="7"/>
      <c r="C218" s="7"/>
      <c r="D218" s="7"/>
      <c r="E218" s="7"/>
      <c r="F218" s="7"/>
      <c r="G218" s="7"/>
      <c r="H218" s="7"/>
      <c r="I218" s="7"/>
      <c r="J218" s="8"/>
      <c r="K218" s="9"/>
    </row>
    <row r="219">
      <c r="A219" s="6"/>
      <c r="B219" s="7"/>
      <c r="C219" s="7"/>
      <c r="D219" s="7"/>
      <c r="E219" s="7"/>
      <c r="F219" s="7"/>
      <c r="G219" s="7"/>
      <c r="H219" s="7"/>
      <c r="I219" s="7"/>
      <c r="J219" s="8"/>
      <c r="K219" s="9"/>
    </row>
    <row r="220">
      <c r="A220" s="6"/>
      <c r="B220" s="7"/>
      <c r="C220" s="7"/>
      <c r="D220" s="7"/>
      <c r="E220" s="7"/>
      <c r="F220" s="7"/>
      <c r="G220" s="7"/>
      <c r="H220" s="7"/>
      <c r="I220" s="7"/>
      <c r="J220" s="8"/>
      <c r="K220" s="9"/>
    </row>
    <row r="221">
      <c r="A221" s="6"/>
      <c r="B221" s="7"/>
      <c r="C221" s="7"/>
      <c r="D221" s="7"/>
      <c r="E221" s="7"/>
      <c r="F221" s="7"/>
      <c r="G221" s="7"/>
      <c r="H221" s="7"/>
      <c r="I221" s="7"/>
      <c r="J221" s="8"/>
      <c r="K221" s="9"/>
    </row>
    <row r="222">
      <c r="A222" s="6"/>
      <c r="B222" s="7"/>
      <c r="C222" s="7"/>
      <c r="D222" s="7"/>
      <c r="E222" s="7"/>
      <c r="F222" s="7"/>
      <c r="G222" s="7"/>
      <c r="H222" s="7"/>
      <c r="I222" s="7"/>
      <c r="J222" s="8"/>
      <c r="K222" s="9"/>
    </row>
    <row r="223">
      <c r="A223" s="6"/>
      <c r="B223" s="7"/>
      <c r="C223" s="7"/>
      <c r="D223" s="7"/>
      <c r="E223" s="7"/>
      <c r="F223" s="7"/>
      <c r="G223" s="7"/>
      <c r="H223" s="7"/>
      <c r="I223" s="7"/>
      <c r="J223" s="8"/>
      <c r="K223" s="9"/>
    </row>
    <row r="224">
      <c r="A224" s="6"/>
      <c r="B224" s="7"/>
      <c r="C224" s="7"/>
      <c r="D224" s="7"/>
      <c r="E224" s="7"/>
      <c r="F224" s="7"/>
      <c r="G224" s="7"/>
      <c r="H224" s="7"/>
      <c r="I224" s="7"/>
      <c r="J224" s="8"/>
      <c r="K224" s="9"/>
    </row>
    <row r="225">
      <c r="A225" s="6"/>
      <c r="B225" s="7"/>
      <c r="C225" s="7"/>
      <c r="D225" s="7"/>
      <c r="E225" s="7"/>
      <c r="F225" s="7"/>
      <c r="G225" s="7"/>
      <c r="H225" s="7"/>
      <c r="I225" s="7"/>
      <c r="J225" s="8"/>
      <c r="K225" s="9"/>
    </row>
    <row r="226">
      <c r="A226" s="6"/>
      <c r="B226" s="7"/>
      <c r="C226" s="7"/>
      <c r="D226" s="7"/>
      <c r="E226" s="7"/>
      <c r="F226" s="7"/>
      <c r="G226" s="7"/>
      <c r="H226" s="7"/>
      <c r="I226" s="7"/>
      <c r="J226" s="8"/>
      <c r="K226" s="9"/>
    </row>
    <row r="227">
      <c r="A227" s="6"/>
      <c r="B227" s="7"/>
      <c r="C227" s="7"/>
      <c r="D227" s="7"/>
      <c r="E227" s="7"/>
      <c r="F227" s="7"/>
      <c r="G227" s="7"/>
      <c r="H227" s="7"/>
      <c r="I227" s="7"/>
      <c r="J227" s="8"/>
      <c r="K227" s="9"/>
    </row>
    <row r="228">
      <c r="A228" s="6"/>
      <c r="B228" s="7"/>
      <c r="C228" s="7"/>
      <c r="D228" s="7"/>
      <c r="E228" s="7"/>
      <c r="F228" s="7"/>
      <c r="G228" s="7"/>
      <c r="H228" s="7"/>
      <c r="I228" s="7"/>
      <c r="J228" s="8"/>
      <c r="K228" s="9"/>
    </row>
    <row r="229">
      <c r="A229" s="6"/>
      <c r="B229" s="7"/>
      <c r="C229" s="7"/>
      <c r="D229" s="7"/>
      <c r="E229" s="7"/>
      <c r="F229" s="7"/>
      <c r="G229" s="7"/>
      <c r="H229" s="7"/>
      <c r="I229" s="7"/>
      <c r="J229" s="8"/>
      <c r="K229" s="9"/>
    </row>
    <row r="230">
      <c r="A230" s="6"/>
      <c r="B230" s="7"/>
      <c r="C230" s="7"/>
      <c r="D230" s="7"/>
      <c r="E230" s="7"/>
      <c r="F230" s="7"/>
      <c r="G230" s="7"/>
      <c r="H230" s="7"/>
      <c r="I230" s="7"/>
      <c r="J230" s="8"/>
      <c r="K230" s="9"/>
    </row>
    <row r="231">
      <c r="A231" s="6"/>
      <c r="B231" s="7"/>
      <c r="C231" s="7"/>
      <c r="D231" s="7"/>
      <c r="E231" s="7"/>
      <c r="F231" s="7"/>
      <c r="G231" s="7"/>
      <c r="H231" s="7"/>
      <c r="I231" s="7"/>
      <c r="J231" s="8"/>
      <c r="K231" s="9"/>
    </row>
    <row r="232">
      <c r="A232" s="6"/>
      <c r="B232" s="7"/>
      <c r="C232" s="7"/>
      <c r="D232" s="7"/>
      <c r="E232" s="7"/>
      <c r="F232" s="7"/>
      <c r="G232" s="7"/>
      <c r="H232" s="7"/>
      <c r="I232" s="7"/>
      <c r="J232" s="8"/>
      <c r="K232" s="9"/>
    </row>
    <row r="233">
      <c r="A233" s="6"/>
      <c r="B233" s="7"/>
      <c r="C233" s="7"/>
      <c r="D233" s="7"/>
      <c r="E233" s="7"/>
      <c r="F233" s="7"/>
      <c r="G233" s="7"/>
      <c r="H233" s="7"/>
      <c r="I233" s="7"/>
      <c r="J233" s="8"/>
      <c r="K233" s="9"/>
    </row>
    <row r="234">
      <c r="A234" s="6"/>
      <c r="B234" s="7"/>
      <c r="C234" s="7"/>
      <c r="D234" s="7"/>
      <c r="E234" s="7"/>
      <c r="F234" s="7"/>
      <c r="G234" s="7"/>
      <c r="H234" s="7"/>
      <c r="I234" s="7"/>
      <c r="J234" s="8"/>
      <c r="K234" s="9"/>
    </row>
    <row r="235">
      <c r="A235" s="6"/>
      <c r="B235" s="7"/>
      <c r="C235" s="7"/>
      <c r="D235" s="7"/>
      <c r="E235" s="7"/>
      <c r="F235" s="7"/>
      <c r="G235" s="7"/>
      <c r="H235" s="7"/>
      <c r="I235" s="7"/>
      <c r="J235" s="8"/>
      <c r="K235" s="9"/>
    </row>
    <row r="236">
      <c r="A236" s="6"/>
      <c r="B236" s="7"/>
      <c r="C236" s="7"/>
      <c r="D236" s="7"/>
      <c r="E236" s="7"/>
      <c r="F236" s="7"/>
      <c r="G236" s="7"/>
      <c r="H236" s="7"/>
      <c r="I236" s="7"/>
      <c r="J236" s="8"/>
      <c r="K236" s="9"/>
    </row>
    <row r="237">
      <c r="A237" s="6"/>
      <c r="B237" s="7"/>
      <c r="C237" s="7"/>
      <c r="D237" s="7"/>
      <c r="E237" s="7"/>
      <c r="F237" s="7"/>
      <c r="G237" s="7"/>
      <c r="H237" s="7"/>
      <c r="I237" s="7"/>
      <c r="J237" s="8"/>
      <c r="K237" s="9"/>
    </row>
    <row r="238">
      <c r="A238" s="6"/>
      <c r="B238" s="7"/>
      <c r="C238" s="7"/>
      <c r="D238" s="7"/>
      <c r="E238" s="7"/>
      <c r="F238" s="7"/>
      <c r="G238" s="7"/>
      <c r="H238" s="7"/>
      <c r="I238" s="7"/>
      <c r="J238" s="8"/>
      <c r="K238" s="9"/>
    </row>
    <row r="239">
      <c r="A239" s="6"/>
      <c r="B239" s="7"/>
      <c r="C239" s="7"/>
      <c r="D239" s="7"/>
      <c r="E239" s="7"/>
      <c r="F239" s="7"/>
      <c r="G239" s="7"/>
      <c r="H239" s="7"/>
      <c r="I239" s="7"/>
      <c r="J239" s="8"/>
      <c r="K239" s="9"/>
    </row>
    <row r="240">
      <c r="A240" s="6"/>
      <c r="B240" s="7"/>
      <c r="C240" s="7"/>
      <c r="D240" s="7"/>
      <c r="E240" s="7"/>
      <c r="F240" s="7"/>
      <c r="G240" s="7"/>
      <c r="H240" s="7"/>
      <c r="I240" s="7"/>
      <c r="J240" s="8"/>
      <c r="K240" s="9"/>
    </row>
    <row r="241">
      <c r="A241" s="6"/>
      <c r="B241" s="7"/>
      <c r="C241" s="7"/>
      <c r="D241" s="7"/>
      <c r="E241" s="7"/>
      <c r="F241" s="7"/>
      <c r="G241" s="7"/>
      <c r="H241" s="7"/>
      <c r="I241" s="7"/>
      <c r="J241" s="8"/>
      <c r="K241" s="9"/>
    </row>
    <row r="242">
      <c r="A242" s="6"/>
      <c r="B242" s="7"/>
      <c r="C242" s="7"/>
      <c r="D242" s="7"/>
      <c r="E242" s="7"/>
      <c r="F242" s="7"/>
      <c r="G242" s="7"/>
      <c r="H242" s="7"/>
      <c r="I242" s="7"/>
      <c r="J242" s="8"/>
      <c r="K242" s="9"/>
    </row>
    <row r="243">
      <c r="A243" s="6"/>
      <c r="B243" s="7"/>
      <c r="C243" s="7"/>
      <c r="D243" s="7"/>
      <c r="E243" s="7"/>
      <c r="F243" s="7"/>
      <c r="G243" s="7"/>
      <c r="H243" s="7"/>
      <c r="I243" s="7"/>
      <c r="J243" s="8"/>
      <c r="K243" s="9"/>
    </row>
    <row r="244">
      <c r="A244" s="6"/>
      <c r="B244" s="7"/>
      <c r="C244" s="7"/>
      <c r="D244" s="7"/>
      <c r="E244" s="7"/>
      <c r="F244" s="7"/>
      <c r="G244" s="7"/>
      <c r="H244" s="7"/>
      <c r="I244" s="7"/>
      <c r="J244" s="8"/>
      <c r="K244" s="9"/>
    </row>
    <row r="245">
      <c r="A245" s="6"/>
      <c r="B245" s="7"/>
      <c r="C245" s="7"/>
      <c r="D245" s="7"/>
      <c r="E245" s="7"/>
      <c r="F245" s="7"/>
      <c r="G245" s="7"/>
      <c r="H245" s="7"/>
      <c r="I245" s="7"/>
      <c r="J245" s="8"/>
      <c r="K245" s="9"/>
    </row>
    <row r="246">
      <c r="A246" s="6"/>
      <c r="B246" s="7"/>
      <c r="C246" s="7"/>
      <c r="D246" s="7"/>
      <c r="E246" s="7"/>
      <c r="F246" s="7"/>
      <c r="G246" s="7"/>
      <c r="H246" s="7"/>
      <c r="I246" s="7"/>
      <c r="J246" s="8"/>
      <c r="K246" s="9"/>
    </row>
    <row r="247">
      <c r="A247" s="6"/>
      <c r="B247" s="7"/>
      <c r="C247" s="7"/>
      <c r="D247" s="7"/>
      <c r="E247" s="7"/>
      <c r="F247" s="7"/>
      <c r="G247" s="7"/>
      <c r="H247" s="7"/>
      <c r="I247" s="7"/>
      <c r="J247" s="8"/>
      <c r="K247" s="9"/>
    </row>
    <row r="248">
      <c r="A248" s="6"/>
      <c r="B248" s="7"/>
      <c r="C248" s="7"/>
      <c r="D248" s="7"/>
      <c r="E248" s="7"/>
      <c r="F248" s="7"/>
      <c r="G248" s="7"/>
      <c r="H248" s="7"/>
      <c r="I248" s="7"/>
      <c r="J248" s="8"/>
      <c r="K248" s="9"/>
    </row>
    <row r="249">
      <c r="A249" s="6"/>
      <c r="B249" s="7"/>
      <c r="C249" s="7"/>
      <c r="D249" s="7"/>
      <c r="E249" s="7"/>
      <c r="F249" s="7"/>
      <c r="G249" s="7"/>
      <c r="H249" s="7"/>
      <c r="I249" s="7"/>
      <c r="J249" s="8"/>
      <c r="K249" s="9"/>
    </row>
    <row r="250">
      <c r="A250" s="6"/>
      <c r="B250" s="7"/>
      <c r="C250" s="7"/>
      <c r="D250" s="7"/>
      <c r="E250" s="7"/>
      <c r="F250" s="7"/>
      <c r="G250" s="7"/>
      <c r="H250" s="7"/>
      <c r="I250" s="7"/>
      <c r="J250" s="8"/>
      <c r="K250" s="9"/>
    </row>
    <row r="251">
      <c r="A251" s="6"/>
      <c r="B251" s="7"/>
      <c r="C251" s="7"/>
      <c r="D251" s="7"/>
      <c r="E251" s="7"/>
      <c r="F251" s="7"/>
      <c r="G251" s="7"/>
      <c r="H251" s="7"/>
      <c r="I251" s="7"/>
      <c r="J251" s="8"/>
      <c r="K251" s="9"/>
    </row>
    <row r="252">
      <c r="A252" s="6"/>
      <c r="B252" s="7"/>
      <c r="C252" s="7"/>
      <c r="D252" s="7"/>
      <c r="E252" s="7"/>
      <c r="F252" s="7"/>
      <c r="G252" s="7"/>
      <c r="H252" s="7"/>
      <c r="I252" s="7"/>
      <c r="J252" s="8"/>
      <c r="K252" s="9"/>
    </row>
    <row r="253">
      <c r="A253" s="6"/>
      <c r="B253" s="7"/>
      <c r="C253" s="7"/>
      <c r="D253" s="7"/>
      <c r="E253" s="7"/>
      <c r="F253" s="7"/>
      <c r="G253" s="7"/>
      <c r="H253" s="7"/>
      <c r="I253" s="7"/>
      <c r="J253" s="8"/>
      <c r="K253" s="9"/>
    </row>
    <row r="254">
      <c r="A254" s="6"/>
      <c r="B254" s="7"/>
      <c r="C254" s="7"/>
      <c r="D254" s="7"/>
      <c r="E254" s="7"/>
      <c r="F254" s="7"/>
      <c r="G254" s="7"/>
      <c r="H254" s="7"/>
      <c r="I254" s="7"/>
      <c r="J254" s="8"/>
      <c r="K254" s="9"/>
    </row>
    <row r="255">
      <c r="A255" s="6"/>
      <c r="B255" s="7"/>
      <c r="C255" s="7"/>
      <c r="D255" s="7"/>
      <c r="E255" s="7"/>
      <c r="F255" s="7"/>
      <c r="G255" s="7"/>
      <c r="H255" s="7"/>
      <c r="I255" s="7"/>
      <c r="J255" s="8"/>
      <c r="K255" s="9"/>
    </row>
    <row r="256">
      <c r="A256" s="6"/>
      <c r="B256" s="7"/>
      <c r="C256" s="7"/>
      <c r="D256" s="7"/>
      <c r="E256" s="7"/>
      <c r="F256" s="7"/>
      <c r="G256" s="7"/>
      <c r="H256" s="7"/>
      <c r="I256" s="7"/>
      <c r="J256" s="8"/>
      <c r="K256" s="9"/>
    </row>
    <row r="257">
      <c r="A257" s="6"/>
      <c r="B257" s="7"/>
      <c r="C257" s="7"/>
      <c r="D257" s="7"/>
      <c r="E257" s="7"/>
      <c r="F257" s="7"/>
      <c r="G257" s="7"/>
      <c r="H257" s="7"/>
      <c r="I257" s="7"/>
      <c r="J257" s="8"/>
      <c r="K257" s="9"/>
    </row>
    <row r="258">
      <c r="A258" s="6"/>
      <c r="B258" s="7"/>
      <c r="C258" s="7"/>
      <c r="D258" s="7"/>
      <c r="E258" s="7"/>
      <c r="F258" s="7"/>
      <c r="G258" s="7"/>
      <c r="H258" s="7"/>
      <c r="I258" s="7"/>
      <c r="J258" s="8"/>
      <c r="K258" s="9"/>
    </row>
    <row r="259">
      <c r="A259" s="6"/>
      <c r="B259" s="7"/>
      <c r="C259" s="7"/>
      <c r="D259" s="7"/>
      <c r="E259" s="7"/>
      <c r="F259" s="7"/>
      <c r="G259" s="7"/>
      <c r="H259" s="7"/>
      <c r="I259" s="7"/>
      <c r="J259" s="8"/>
      <c r="K259" s="9"/>
    </row>
    <row r="260">
      <c r="A260" s="6"/>
      <c r="B260" s="7"/>
      <c r="C260" s="7"/>
      <c r="D260" s="7"/>
      <c r="E260" s="7"/>
      <c r="F260" s="7"/>
      <c r="G260" s="7"/>
      <c r="H260" s="7"/>
      <c r="I260" s="7"/>
      <c r="J260" s="8"/>
      <c r="K260" s="9"/>
    </row>
    <row r="261">
      <c r="A261" s="6"/>
      <c r="B261" s="7"/>
      <c r="C261" s="7"/>
      <c r="D261" s="7"/>
      <c r="E261" s="7"/>
      <c r="F261" s="7"/>
      <c r="G261" s="7"/>
      <c r="H261" s="7"/>
      <c r="I261" s="7"/>
      <c r="J261" s="8"/>
      <c r="K261" s="9"/>
    </row>
    <row r="262">
      <c r="A262" s="6"/>
      <c r="B262" s="7"/>
      <c r="C262" s="7"/>
      <c r="D262" s="7"/>
      <c r="E262" s="7"/>
      <c r="F262" s="7"/>
      <c r="G262" s="7"/>
      <c r="H262" s="7"/>
      <c r="I262" s="7"/>
      <c r="J262" s="8"/>
      <c r="K262" s="9"/>
    </row>
    <row r="263">
      <c r="A263" s="6"/>
      <c r="B263" s="7"/>
      <c r="C263" s="7"/>
      <c r="D263" s="7"/>
      <c r="E263" s="7"/>
      <c r="F263" s="7"/>
      <c r="G263" s="7"/>
      <c r="H263" s="7"/>
      <c r="I263" s="7"/>
      <c r="J263" s="8"/>
      <c r="K263" s="9"/>
    </row>
    <row r="264">
      <c r="A264" s="6"/>
      <c r="B264" s="7"/>
      <c r="C264" s="7"/>
      <c r="D264" s="7"/>
      <c r="E264" s="7"/>
      <c r="F264" s="7"/>
      <c r="G264" s="7"/>
      <c r="H264" s="7"/>
      <c r="I264" s="7"/>
      <c r="J264" s="8"/>
      <c r="K264" s="9"/>
    </row>
    <row r="265">
      <c r="A265" s="6"/>
      <c r="B265" s="7"/>
      <c r="C265" s="7"/>
      <c r="D265" s="7"/>
      <c r="E265" s="7"/>
      <c r="F265" s="7"/>
      <c r="G265" s="7"/>
      <c r="H265" s="7"/>
      <c r="I265" s="7"/>
      <c r="J265" s="8"/>
      <c r="K265" s="9"/>
    </row>
    <row r="266">
      <c r="A266" s="6"/>
      <c r="B266" s="7"/>
      <c r="C266" s="7"/>
      <c r="D266" s="7"/>
      <c r="E266" s="7"/>
      <c r="F266" s="7"/>
      <c r="G266" s="7"/>
      <c r="H266" s="7"/>
      <c r="I266" s="7"/>
      <c r="J266" s="8"/>
      <c r="K266" s="9"/>
    </row>
    <row r="267">
      <c r="A267" s="6"/>
      <c r="B267" s="7"/>
      <c r="C267" s="7"/>
      <c r="D267" s="7"/>
      <c r="E267" s="7"/>
      <c r="F267" s="7"/>
      <c r="G267" s="7"/>
      <c r="H267" s="7"/>
      <c r="I267" s="7"/>
      <c r="J267" s="8"/>
      <c r="K267" s="9"/>
    </row>
    <row r="268">
      <c r="A268" s="6"/>
      <c r="B268" s="7"/>
      <c r="C268" s="7"/>
      <c r="D268" s="7"/>
      <c r="E268" s="7"/>
      <c r="F268" s="7"/>
      <c r="G268" s="7"/>
      <c r="H268" s="7"/>
      <c r="I268" s="7"/>
      <c r="J268" s="8"/>
      <c r="K268" s="9"/>
    </row>
    <row r="269">
      <c r="A269" s="6"/>
      <c r="B269" s="7"/>
      <c r="C269" s="7"/>
      <c r="D269" s="7"/>
      <c r="E269" s="7"/>
      <c r="F269" s="7"/>
      <c r="G269" s="7"/>
      <c r="H269" s="7"/>
      <c r="I269" s="7"/>
      <c r="J269" s="8"/>
      <c r="K269" s="9"/>
    </row>
    <row r="270">
      <c r="A270" s="6"/>
      <c r="B270" s="7"/>
      <c r="C270" s="7"/>
      <c r="D270" s="7"/>
      <c r="E270" s="7"/>
      <c r="F270" s="7"/>
      <c r="G270" s="7"/>
      <c r="H270" s="7"/>
      <c r="I270" s="7"/>
      <c r="J270" s="8"/>
      <c r="K270" s="9"/>
    </row>
    <row r="271">
      <c r="A271" s="6"/>
      <c r="B271" s="7"/>
      <c r="C271" s="7"/>
      <c r="D271" s="7"/>
      <c r="E271" s="7"/>
      <c r="F271" s="7"/>
      <c r="G271" s="7"/>
      <c r="H271" s="7"/>
      <c r="I271" s="7"/>
      <c r="J271" s="8"/>
      <c r="K271" s="9"/>
    </row>
    <row r="272">
      <c r="A272" s="6"/>
      <c r="B272" s="7"/>
      <c r="C272" s="7"/>
      <c r="D272" s="7"/>
      <c r="E272" s="7"/>
      <c r="F272" s="7"/>
      <c r="G272" s="7"/>
      <c r="H272" s="7"/>
      <c r="I272" s="7"/>
      <c r="J272" s="8"/>
      <c r="K272" s="9"/>
    </row>
    <row r="273">
      <c r="A273" s="6"/>
      <c r="B273" s="7"/>
      <c r="C273" s="7"/>
      <c r="D273" s="7"/>
      <c r="E273" s="7"/>
      <c r="F273" s="7"/>
      <c r="G273" s="7"/>
      <c r="H273" s="7"/>
      <c r="I273" s="7"/>
      <c r="J273" s="8"/>
      <c r="K273" s="9"/>
    </row>
    <row r="274">
      <c r="A274" s="6"/>
      <c r="B274" s="7"/>
      <c r="C274" s="7"/>
      <c r="D274" s="7"/>
      <c r="E274" s="7"/>
      <c r="F274" s="7"/>
      <c r="G274" s="7"/>
      <c r="H274" s="7"/>
      <c r="I274" s="7"/>
      <c r="J274" s="8"/>
      <c r="K274" s="9"/>
    </row>
    <row r="275">
      <c r="A275" s="6"/>
      <c r="B275" s="7"/>
      <c r="C275" s="7"/>
      <c r="D275" s="7"/>
      <c r="E275" s="7"/>
      <c r="F275" s="7"/>
      <c r="G275" s="7"/>
      <c r="H275" s="7"/>
      <c r="I275" s="7"/>
      <c r="J275" s="8"/>
      <c r="K275" s="9"/>
    </row>
    <row r="276">
      <c r="A276" s="6"/>
      <c r="B276" s="7"/>
      <c r="C276" s="7"/>
      <c r="D276" s="7"/>
      <c r="E276" s="7"/>
      <c r="F276" s="7"/>
      <c r="G276" s="7"/>
      <c r="H276" s="7"/>
      <c r="I276" s="7"/>
      <c r="J276" s="8"/>
      <c r="K276" s="9"/>
    </row>
    <row r="277">
      <c r="A277" s="6"/>
      <c r="B277" s="7"/>
      <c r="C277" s="7"/>
      <c r="D277" s="7"/>
      <c r="E277" s="7"/>
      <c r="F277" s="7"/>
      <c r="G277" s="7"/>
      <c r="H277" s="7"/>
      <c r="I277" s="7"/>
      <c r="J277" s="8"/>
      <c r="K277" s="9"/>
    </row>
    <row r="278">
      <c r="A278" s="6"/>
      <c r="B278" s="7"/>
      <c r="C278" s="7"/>
      <c r="D278" s="7"/>
      <c r="E278" s="7"/>
      <c r="F278" s="7"/>
      <c r="G278" s="7"/>
      <c r="H278" s="7"/>
      <c r="I278" s="7"/>
      <c r="J278" s="8"/>
      <c r="K278" s="9"/>
    </row>
    <row r="279">
      <c r="A279" s="6"/>
      <c r="B279" s="7"/>
      <c r="C279" s="7"/>
      <c r="D279" s="7"/>
      <c r="E279" s="7"/>
      <c r="F279" s="7"/>
      <c r="G279" s="7"/>
      <c r="H279" s="7"/>
      <c r="I279" s="7"/>
      <c r="J279" s="8"/>
      <c r="K279" s="9"/>
    </row>
    <row r="280">
      <c r="A280" s="6"/>
      <c r="B280" s="7"/>
      <c r="C280" s="7"/>
      <c r="D280" s="7"/>
      <c r="E280" s="7"/>
      <c r="F280" s="7"/>
      <c r="G280" s="7"/>
      <c r="H280" s="7"/>
      <c r="I280" s="7"/>
      <c r="J280" s="8"/>
      <c r="K280" s="9"/>
    </row>
    <row r="281">
      <c r="A281" s="6"/>
      <c r="B281" s="7"/>
      <c r="C281" s="7"/>
      <c r="D281" s="7"/>
      <c r="E281" s="7"/>
      <c r="F281" s="7"/>
      <c r="G281" s="7"/>
      <c r="H281" s="7"/>
      <c r="I281" s="7"/>
      <c r="J281" s="8"/>
      <c r="K281" s="9"/>
    </row>
    <row r="282">
      <c r="A282" s="6"/>
      <c r="B282" s="7"/>
      <c r="C282" s="7"/>
      <c r="D282" s="7"/>
      <c r="E282" s="7"/>
      <c r="F282" s="7"/>
      <c r="G282" s="7"/>
      <c r="H282" s="7"/>
      <c r="I282" s="7"/>
      <c r="J282" s="8"/>
      <c r="K282" s="9"/>
    </row>
    <row r="283">
      <c r="A283" s="6"/>
      <c r="B283" s="7"/>
      <c r="C283" s="7"/>
      <c r="D283" s="7"/>
      <c r="E283" s="7"/>
      <c r="F283" s="7"/>
      <c r="G283" s="7"/>
      <c r="H283" s="7"/>
      <c r="I283" s="7"/>
      <c r="J283" s="8"/>
      <c r="K283" s="9"/>
    </row>
    <row r="284">
      <c r="A284" s="6"/>
      <c r="B284" s="7"/>
      <c r="C284" s="7"/>
      <c r="D284" s="7"/>
      <c r="E284" s="7"/>
      <c r="F284" s="7"/>
      <c r="G284" s="7"/>
      <c r="H284" s="7"/>
      <c r="I284" s="7"/>
      <c r="J284" s="8"/>
      <c r="K284" s="9"/>
    </row>
    <row r="285">
      <c r="A285" s="6"/>
      <c r="B285" s="7"/>
      <c r="C285" s="7"/>
      <c r="D285" s="7"/>
      <c r="E285" s="7"/>
      <c r="F285" s="7"/>
      <c r="G285" s="7"/>
      <c r="H285" s="7"/>
      <c r="I285" s="7"/>
      <c r="J285" s="8"/>
      <c r="K285" s="9"/>
    </row>
    <row r="286">
      <c r="A286" s="6"/>
      <c r="B286" s="7"/>
      <c r="C286" s="7"/>
      <c r="D286" s="7"/>
      <c r="E286" s="7"/>
      <c r="F286" s="7"/>
      <c r="G286" s="7"/>
      <c r="H286" s="7"/>
      <c r="I286" s="7"/>
      <c r="J286" s="8"/>
      <c r="K286" s="9"/>
    </row>
    <row r="287">
      <c r="A287" s="6"/>
      <c r="B287" s="7"/>
      <c r="C287" s="7"/>
      <c r="D287" s="7"/>
      <c r="E287" s="7"/>
      <c r="F287" s="7"/>
      <c r="G287" s="7"/>
      <c r="H287" s="7"/>
      <c r="I287" s="7"/>
      <c r="J287" s="8"/>
      <c r="K287" s="9"/>
    </row>
    <row r="288">
      <c r="A288" s="6"/>
      <c r="B288" s="7"/>
      <c r="C288" s="7"/>
      <c r="D288" s="7"/>
      <c r="E288" s="7"/>
      <c r="F288" s="7"/>
      <c r="G288" s="7"/>
      <c r="H288" s="7"/>
      <c r="I288" s="7"/>
      <c r="J288" s="8"/>
      <c r="K288" s="9"/>
    </row>
    <row r="289">
      <c r="A289" s="6"/>
      <c r="B289" s="7"/>
      <c r="C289" s="7"/>
      <c r="D289" s="7"/>
      <c r="E289" s="7"/>
      <c r="F289" s="7"/>
      <c r="G289" s="7"/>
      <c r="H289" s="7"/>
      <c r="I289" s="7"/>
      <c r="J289" s="8"/>
      <c r="K289" s="9"/>
    </row>
    <row r="290">
      <c r="A290" s="6"/>
      <c r="B290" s="7"/>
      <c r="C290" s="7"/>
      <c r="D290" s="7"/>
      <c r="E290" s="7"/>
      <c r="F290" s="7"/>
      <c r="G290" s="7"/>
      <c r="H290" s="7"/>
      <c r="I290" s="7"/>
      <c r="J290" s="8"/>
      <c r="K290" s="9"/>
    </row>
    <row r="291">
      <c r="A291" s="6"/>
      <c r="B291" s="7"/>
      <c r="C291" s="7"/>
      <c r="D291" s="7"/>
      <c r="E291" s="7"/>
      <c r="F291" s="7"/>
      <c r="G291" s="7"/>
      <c r="H291" s="7"/>
      <c r="I291" s="7"/>
      <c r="J291" s="8"/>
      <c r="K291" s="9"/>
    </row>
    <row r="292">
      <c r="A292" s="6"/>
      <c r="B292" s="7"/>
      <c r="C292" s="7"/>
      <c r="D292" s="7"/>
      <c r="E292" s="7"/>
      <c r="F292" s="7"/>
      <c r="G292" s="7"/>
      <c r="H292" s="7"/>
      <c r="I292" s="7"/>
      <c r="J292" s="8"/>
      <c r="K292" s="9"/>
    </row>
    <row r="293">
      <c r="A293" s="6"/>
      <c r="B293" s="7"/>
      <c r="C293" s="7"/>
      <c r="D293" s="7"/>
      <c r="E293" s="7"/>
      <c r="F293" s="7"/>
      <c r="G293" s="7"/>
      <c r="H293" s="7"/>
      <c r="I293" s="7"/>
      <c r="J293" s="8"/>
      <c r="K293" s="9"/>
    </row>
    <row r="294">
      <c r="A294" s="6"/>
      <c r="B294" s="7"/>
      <c r="C294" s="7"/>
      <c r="D294" s="7"/>
      <c r="E294" s="7"/>
      <c r="F294" s="7"/>
      <c r="G294" s="7"/>
      <c r="H294" s="7"/>
      <c r="I294" s="7"/>
      <c r="J294" s="8"/>
      <c r="K294" s="9"/>
    </row>
    <row r="295">
      <c r="A295" s="6"/>
      <c r="B295" s="7"/>
      <c r="C295" s="7"/>
      <c r="D295" s="7"/>
      <c r="E295" s="7"/>
      <c r="F295" s="7"/>
      <c r="G295" s="7"/>
      <c r="H295" s="7"/>
      <c r="I295" s="7"/>
      <c r="J295" s="8"/>
      <c r="K295" s="9"/>
    </row>
    <row r="296">
      <c r="A296" s="6"/>
      <c r="B296" s="7"/>
      <c r="C296" s="7"/>
      <c r="D296" s="7"/>
      <c r="E296" s="7"/>
      <c r="F296" s="7"/>
      <c r="G296" s="7"/>
      <c r="H296" s="7"/>
      <c r="I296" s="7"/>
      <c r="J296" s="8"/>
      <c r="K296" s="9"/>
    </row>
    <row r="297">
      <c r="A297" s="6"/>
      <c r="B297" s="7"/>
      <c r="C297" s="7"/>
      <c r="D297" s="7"/>
      <c r="E297" s="7"/>
      <c r="F297" s="7"/>
      <c r="G297" s="7"/>
      <c r="H297" s="7"/>
      <c r="I297" s="7"/>
      <c r="J297" s="8"/>
      <c r="K297" s="9"/>
    </row>
    <row r="298">
      <c r="A298" s="6"/>
      <c r="B298" s="7"/>
      <c r="C298" s="7"/>
      <c r="D298" s="7"/>
      <c r="E298" s="7"/>
      <c r="F298" s="7"/>
      <c r="G298" s="7"/>
      <c r="H298" s="7"/>
      <c r="I298" s="7"/>
      <c r="J298" s="8"/>
      <c r="K298" s="9"/>
    </row>
    <row r="299">
      <c r="A299" s="6"/>
      <c r="B299" s="7"/>
      <c r="C299" s="7"/>
      <c r="D299" s="7"/>
      <c r="E299" s="7"/>
      <c r="F299" s="7"/>
      <c r="G299" s="7"/>
      <c r="H299" s="7"/>
      <c r="I299" s="7"/>
      <c r="J299" s="8"/>
      <c r="K299" s="9"/>
    </row>
    <row r="300">
      <c r="A300" s="6"/>
      <c r="B300" s="7"/>
      <c r="C300" s="7"/>
      <c r="D300" s="7"/>
      <c r="E300" s="7"/>
      <c r="F300" s="7"/>
      <c r="G300" s="7"/>
      <c r="H300" s="7"/>
      <c r="I300" s="7"/>
      <c r="J300" s="8"/>
      <c r="K300" s="9"/>
    </row>
    <row r="301">
      <c r="A301" s="6"/>
      <c r="B301" s="7"/>
      <c r="C301" s="7"/>
      <c r="D301" s="7"/>
      <c r="E301" s="7"/>
      <c r="F301" s="7"/>
      <c r="G301" s="7"/>
      <c r="H301" s="7"/>
      <c r="I301" s="7"/>
      <c r="J301" s="8"/>
      <c r="K301" s="9"/>
    </row>
    <row r="302">
      <c r="A302" s="6"/>
      <c r="B302" s="7"/>
      <c r="C302" s="7"/>
      <c r="D302" s="7"/>
      <c r="E302" s="7"/>
      <c r="F302" s="7"/>
      <c r="G302" s="7"/>
      <c r="H302" s="7"/>
      <c r="I302" s="7"/>
      <c r="J302" s="8"/>
      <c r="K302" s="9"/>
    </row>
    <row r="303">
      <c r="A303" s="6"/>
      <c r="B303" s="7"/>
      <c r="C303" s="7"/>
      <c r="D303" s="7"/>
      <c r="E303" s="7"/>
      <c r="F303" s="7"/>
      <c r="G303" s="7"/>
      <c r="H303" s="7"/>
      <c r="I303" s="7"/>
      <c r="J303" s="8"/>
      <c r="K303" s="9"/>
    </row>
    <row r="304">
      <c r="A304" s="6"/>
      <c r="B304" s="7"/>
      <c r="C304" s="7"/>
      <c r="D304" s="7"/>
      <c r="E304" s="7"/>
      <c r="F304" s="7"/>
      <c r="G304" s="7"/>
      <c r="H304" s="7"/>
      <c r="I304" s="7"/>
      <c r="J304" s="8"/>
      <c r="K304" s="9"/>
    </row>
    <row r="305">
      <c r="A305" s="6"/>
      <c r="B305" s="7"/>
      <c r="C305" s="7"/>
      <c r="D305" s="7"/>
      <c r="E305" s="7"/>
      <c r="F305" s="7"/>
      <c r="G305" s="7"/>
      <c r="H305" s="7"/>
      <c r="I305" s="7"/>
      <c r="J305" s="8"/>
      <c r="K305" s="9"/>
    </row>
    <row r="306">
      <c r="A306" s="6"/>
      <c r="B306" s="7"/>
      <c r="C306" s="7"/>
      <c r="D306" s="7"/>
      <c r="E306" s="7"/>
      <c r="F306" s="7"/>
      <c r="G306" s="7"/>
      <c r="H306" s="7"/>
      <c r="I306" s="7"/>
      <c r="J306" s="8"/>
      <c r="K306" s="9"/>
    </row>
    <row r="307">
      <c r="A307" s="6"/>
      <c r="B307" s="7"/>
      <c r="C307" s="7"/>
      <c r="D307" s="7"/>
      <c r="E307" s="7"/>
      <c r="F307" s="7"/>
      <c r="G307" s="7"/>
      <c r="H307" s="7"/>
      <c r="I307" s="7"/>
      <c r="J307" s="8"/>
      <c r="K307" s="9"/>
    </row>
    <row r="308">
      <c r="A308" s="6"/>
      <c r="B308" s="7"/>
      <c r="C308" s="7"/>
      <c r="D308" s="7"/>
      <c r="E308" s="7"/>
      <c r="F308" s="7"/>
      <c r="G308" s="7"/>
      <c r="H308" s="7"/>
      <c r="I308" s="7"/>
      <c r="J308" s="8"/>
      <c r="K308" s="9"/>
    </row>
    <row r="309">
      <c r="A309" s="6"/>
      <c r="B309" s="7"/>
      <c r="C309" s="7"/>
      <c r="D309" s="7"/>
      <c r="E309" s="7"/>
      <c r="F309" s="7"/>
      <c r="G309" s="7"/>
      <c r="H309" s="7"/>
      <c r="I309" s="7"/>
      <c r="J309" s="8"/>
      <c r="K309" s="9"/>
    </row>
    <row r="310">
      <c r="A310" s="6"/>
      <c r="B310" s="7"/>
      <c r="C310" s="7"/>
      <c r="D310" s="7"/>
      <c r="E310" s="7"/>
      <c r="F310" s="7"/>
      <c r="G310" s="7"/>
      <c r="H310" s="7"/>
      <c r="I310" s="7"/>
      <c r="J310" s="8"/>
      <c r="K310" s="9"/>
    </row>
    <row r="311">
      <c r="A311" s="6"/>
      <c r="B311" s="7"/>
      <c r="C311" s="7"/>
      <c r="D311" s="7"/>
      <c r="E311" s="7"/>
      <c r="F311" s="7"/>
      <c r="G311" s="7"/>
      <c r="H311" s="7"/>
      <c r="I311" s="7"/>
      <c r="J311" s="8"/>
      <c r="K311" s="9"/>
    </row>
    <row r="312">
      <c r="A312" s="6"/>
      <c r="B312" s="7"/>
      <c r="C312" s="7"/>
      <c r="D312" s="7"/>
      <c r="E312" s="7"/>
      <c r="F312" s="7"/>
      <c r="G312" s="7"/>
      <c r="H312" s="7"/>
      <c r="I312" s="7"/>
      <c r="J312" s="8"/>
      <c r="K312" s="9"/>
    </row>
    <row r="313">
      <c r="A313" s="6"/>
      <c r="B313" s="7"/>
      <c r="C313" s="7"/>
      <c r="D313" s="7"/>
      <c r="E313" s="7"/>
      <c r="F313" s="7"/>
      <c r="G313" s="7"/>
      <c r="H313" s="7"/>
      <c r="I313" s="7"/>
      <c r="J313" s="8"/>
      <c r="K313" s="9"/>
    </row>
    <row r="314">
      <c r="A314" s="6"/>
      <c r="B314" s="7"/>
      <c r="C314" s="7"/>
      <c r="D314" s="7"/>
      <c r="E314" s="7"/>
      <c r="F314" s="7"/>
      <c r="G314" s="7"/>
      <c r="H314" s="7"/>
      <c r="I314" s="7"/>
      <c r="J314" s="8"/>
      <c r="K314" s="9"/>
    </row>
    <row r="315">
      <c r="A315" s="6"/>
      <c r="B315" s="7"/>
      <c r="C315" s="7"/>
      <c r="D315" s="7"/>
      <c r="E315" s="7"/>
      <c r="F315" s="7"/>
      <c r="G315" s="7"/>
      <c r="H315" s="7"/>
      <c r="I315" s="7"/>
      <c r="J315" s="8"/>
      <c r="K315" s="9"/>
    </row>
    <row r="316">
      <c r="A316" s="6"/>
      <c r="B316" s="7"/>
      <c r="C316" s="7"/>
      <c r="D316" s="7"/>
      <c r="E316" s="7"/>
      <c r="F316" s="7"/>
      <c r="G316" s="7"/>
      <c r="H316" s="7"/>
      <c r="I316" s="7"/>
      <c r="J316" s="8"/>
      <c r="K316" s="9"/>
    </row>
    <row r="317">
      <c r="A317" s="6"/>
      <c r="B317" s="7"/>
      <c r="C317" s="7"/>
      <c r="D317" s="7"/>
      <c r="E317" s="7"/>
      <c r="F317" s="7"/>
      <c r="G317" s="7"/>
      <c r="H317" s="7"/>
      <c r="I317" s="7"/>
      <c r="J317" s="8"/>
      <c r="K317" s="9"/>
    </row>
    <row r="318">
      <c r="A318" s="6"/>
      <c r="B318" s="7"/>
      <c r="C318" s="7"/>
      <c r="D318" s="7"/>
      <c r="E318" s="7"/>
      <c r="F318" s="7"/>
      <c r="G318" s="7"/>
      <c r="H318" s="7"/>
      <c r="I318" s="7"/>
      <c r="J318" s="8"/>
      <c r="K318" s="9"/>
    </row>
    <row r="319">
      <c r="A319" s="6"/>
      <c r="B319" s="7"/>
      <c r="C319" s="7"/>
      <c r="D319" s="7"/>
      <c r="E319" s="7"/>
      <c r="F319" s="7"/>
      <c r="G319" s="7"/>
      <c r="H319" s="7"/>
      <c r="I319" s="7"/>
      <c r="J319" s="8"/>
      <c r="K319" s="9"/>
    </row>
    <row r="320">
      <c r="A320" s="6"/>
      <c r="B320" s="7"/>
      <c r="C320" s="7"/>
      <c r="D320" s="7"/>
      <c r="E320" s="7"/>
      <c r="F320" s="7"/>
      <c r="G320" s="7"/>
      <c r="H320" s="7"/>
      <c r="I320" s="7"/>
      <c r="J320" s="8"/>
      <c r="K320" s="9"/>
    </row>
    <row r="321">
      <c r="A321" s="6"/>
      <c r="B321" s="7"/>
      <c r="C321" s="7"/>
      <c r="D321" s="7"/>
      <c r="E321" s="7"/>
      <c r="F321" s="7"/>
      <c r="G321" s="7"/>
      <c r="H321" s="7"/>
      <c r="I321" s="7"/>
      <c r="J321" s="8"/>
      <c r="K321" s="9"/>
    </row>
    <row r="322">
      <c r="A322" s="6"/>
      <c r="B322" s="7"/>
      <c r="C322" s="7"/>
      <c r="D322" s="7"/>
      <c r="E322" s="7"/>
      <c r="F322" s="7"/>
      <c r="G322" s="7"/>
      <c r="H322" s="7"/>
      <c r="I322" s="7"/>
      <c r="J322" s="8"/>
      <c r="K322" s="9"/>
    </row>
    <row r="323">
      <c r="A323" s="6"/>
      <c r="B323" s="7"/>
      <c r="C323" s="7"/>
      <c r="D323" s="7"/>
      <c r="E323" s="7"/>
      <c r="F323" s="7"/>
      <c r="G323" s="7"/>
      <c r="H323" s="7"/>
      <c r="I323" s="7"/>
      <c r="J323" s="8"/>
      <c r="K323" s="9"/>
    </row>
    <row r="324">
      <c r="A324" s="6"/>
      <c r="B324" s="7"/>
      <c r="C324" s="7"/>
      <c r="D324" s="7"/>
      <c r="E324" s="7"/>
      <c r="F324" s="7"/>
      <c r="G324" s="7"/>
      <c r="H324" s="7"/>
      <c r="I324" s="7"/>
      <c r="J324" s="8"/>
      <c r="K324" s="9"/>
    </row>
    <row r="325">
      <c r="A325" s="6"/>
      <c r="B325" s="7"/>
      <c r="C325" s="7"/>
      <c r="D325" s="7"/>
      <c r="E325" s="7"/>
      <c r="F325" s="7"/>
      <c r="G325" s="7"/>
      <c r="H325" s="7"/>
      <c r="I325" s="7"/>
      <c r="J325" s="8"/>
      <c r="K325" s="9"/>
    </row>
    <row r="326">
      <c r="A326" s="6"/>
      <c r="B326" s="7"/>
      <c r="C326" s="7"/>
      <c r="D326" s="7"/>
      <c r="E326" s="7"/>
      <c r="F326" s="7"/>
      <c r="G326" s="7"/>
      <c r="H326" s="7"/>
      <c r="I326" s="7"/>
      <c r="J326" s="8"/>
      <c r="K326" s="9"/>
    </row>
    <row r="327">
      <c r="A327" s="6"/>
      <c r="B327" s="7"/>
      <c r="C327" s="7"/>
      <c r="D327" s="7"/>
      <c r="E327" s="7"/>
      <c r="F327" s="7"/>
      <c r="G327" s="7"/>
      <c r="H327" s="7"/>
      <c r="I327" s="7"/>
      <c r="J327" s="8"/>
      <c r="K327" s="9"/>
    </row>
    <row r="328">
      <c r="A328" s="6"/>
      <c r="B328" s="7"/>
      <c r="C328" s="7"/>
      <c r="D328" s="7"/>
      <c r="E328" s="7"/>
      <c r="F328" s="7"/>
      <c r="G328" s="7"/>
      <c r="H328" s="7"/>
      <c r="I328" s="7"/>
      <c r="J328" s="8"/>
      <c r="K328" s="9"/>
    </row>
    <row r="329">
      <c r="A329" s="6"/>
      <c r="B329" s="7"/>
      <c r="C329" s="7"/>
      <c r="D329" s="7"/>
      <c r="E329" s="7"/>
      <c r="F329" s="7"/>
      <c r="G329" s="7"/>
      <c r="H329" s="7"/>
      <c r="I329" s="7"/>
      <c r="J329" s="8"/>
      <c r="K329" s="9"/>
    </row>
    <row r="330">
      <c r="A330" s="6"/>
      <c r="B330" s="7"/>
      <c r="C330" s="7"/>
      <c r="D330" s="7"/>
      <c r="E330" s="7"/>
      <c r="F330" s="7"/>
      <c r="G330" s="7"/>
      <c r="H330" s="7"/>
      <c r="I330" s="7"/>
      <c r="J330" s="8"/>
      <c r="K330" s="9"/>
    </row>
    <row r="331">
      <c r="A331" s="6"/>
      <c r="B331" s="7"/>
      <c r="C331" s="7"/>
      <c r="D331" s="7"/>
      <c r="E331" s="7"/>
      <c r="F331" s="7"/>
      <c r="G331" s="7"/>
      <c r="H331" s="7"/>
      <c r="I331" s="7"/>
      <c r="J331" s="8"/>
      <c r="K331" s="9"/>
    </row>
    <row r="332">
      <c r="A332" s="6"/>
      <c r="B332" s="7"/>
      <c r="C332" s="7"/>
      <c r="D332" s="7"/>
      <c r="E332" s="7"/>
      <c r="F332" s="7"/>
      <c r="G332" s="7"/>
      <c r="H332" s="7"/>
      <c r="I332" s="7"/>
      <c r="J332" s="8"/>
      <c r="K332" s="9"/>
    </row>
    <row r="333">
      <c r="A333" s="6"/>
      <c r="B333" s="7"/>
      <c r="C333" s="7"/>
      <c r="D333" s="7"/>
      <c r="E333" s="7"/>
      <c r="F333" s="7"/>
      <c r="G333" s="7"/>
      <c r="H333" s="7"/>
      <c r="I333" s="7"/>
      <c r="J333" s="8"/>
      <c r="K333" s="9"/>
    </row>
    <row r="334">
      <c r="A334" s="6"/>
      <c r="B334" s="7"/>
      <c r="C334" s="7"/>
      <c r="D334" s="7"/>
      <c r="E334" s="7"/>
      <c r="F334" s="7"/>
      <c r="G334" s="7"/>
      <c r="H334" s="7"/>
      <c r="I334" s="7"/>
      <c r="J334" s="8"/>
      <c r="K334" s="9"/>
    </row>
    <row r="335">
      <c r="A335" s="6"/>
      <c r="B335" s="7"/>
      <c r="C335" s="7"/>
      <c r="D335" s="7"/>
      <c r="E335" s="7"/>
      <c r="F335" s="7"/>
      <c r="G335" s="7"/>
      <c r="H335" s="7"/>
      <c r="I335" s="7"/>
      <c r="J335" s="8"/>
      <c r="K335" s="9"/>
    </row>
    <row r="336">
      <c r="A336" s="6"/>
      <c r="B336" s="7"/>
      <c r="C336" s="7"/>
      <c r="D336" s="7"/>
      <c r="E336" s="7"/>
      <c r="F336" s="7"/>
      <c r="G336" s="7"/>
      <c r="H336" s="7"/>
      <c r="I336" s="7"/>
      <c r="J336" s="8"/>
      <c r="K336" s="9"/>
    </row>
    <row r="337">
      <c r="A337" s="6"/>
      <c r="B337" s="7"/>
      <c r="C337" s="7"/>
      <c r="D337" s="7"/>
      <c r="E337" s="7"/>
      <c r="F337" s="7"/>
      <c r="G337" s="7"/>
      <c r="H337" s="7"/>
      <c r="I337" s="7"/>
      <c r="J337" s="8"/>
      <c r="K337" s="9"/>
    </row>
    <row r="338">
      <c r="A338" s="6"/>
      <c r="B338" s="7"/>
      <c r="C338" s="7"/>
      <c r="D338" s="7"/>
      <c r="E338" s="7"/>
      <c r="F338" s="7"/>
      <c r="G338" s="7"/>
      <c r="H338" s="7"/>
      <c r="I338" s="7"/>
      <c r="J338" s="8"/>
      <c r="K338" s="9"/>
    </row>
    <row r="339">
      <c r="A339" s="6"/>
      <c r="B339" s="7"/>
      <c r="C339" s="7"/>
      <c r="D339" s="7"/>
      <c r="E339" s="7"/>
      <c r="F339" s="7"/>
      <c r="G339" s="7"/>
      <c r="H339" s="7"/>
      <c r="I339" s="7"/>
      <c r="J339" s="8"/>
      <c r="K339" s="9"/>
    </row>
    <row r="340">
      <c r="A340" s="6"/>
      <c r="B340" s="7"/>
      <c r="C340" s="7"/>
      <c r="D340" s="7"/>
      <c r="E340" s="7"/>
      <c r="F340" s="7"/>
      <c r="G340" s="7"/>
      <c r="H340" s="7"/>
      <c r="I340" s="7"/>
      <c r="J340" s="8"/>
      <c r="K340" s="9"/>
    </row>
    <row r="341">
      <c r="A341" s="6"/>
      <c r="B341" s="7"/>
      <c r="C341" s="7"/>
      <c r="D341" s="7"/>
      <c r="E341" s="7"/>
      <c r="F341" s="7"/>
      <c r="G341" s="7"/>
      <c r="H341" s="7"/>
      <c r="I341" s="7"/>
      <c r="J341" s="8"/>
      <c r="K341" s="9"/>
    </row>
    <row r="342">
      <c r="A342" s="6"/>
      <c r="B342" s="7"/>
      <c r="C342" s="7"/>
      <c r="D342" s="7"/>
      <c r="E342" s="7"/>
      <c r="F342" s="7"/>
      <c r="G342" s="7"/>
      <c r="H342" s="7"/>
      <c r="I342" s="7"/>
      <c r="J342" s="8"/>
      <c r="K342" s="9"/>
    </row>
    <row r="343">
      <c r="A343" s="6"/>
      <c r="B343" s="7"/>
      <c r="C343" s="7"/>
      <c r="D343" s="7"/>
      <c r="E343" s="7"/>
      <c r="F343" s="7"/>
      <c r="G343" s="7"/>
      <c r="H343" s="7"/>
      <c r="I343" s="7"/>
      <c r="J343" s="8"/>
      <c r="K343" s="9"/>
    </row>
    <row r="344">
      <c r="A344" s="6"/>
      <c r="B344" s="7"/>
      <c r="C344" s="7"/>
      <c r="D344" s="7"/>
      <c r="E344" s="7"/>
      <c r="F344" s="7"/>
      <c r="G344" s="7"/>
      <c r="H344" s="7"/>
      <c r="I344" s="7"/>
      <c r="J344" s="8"/>
      <c r="K344" s="9"/>
    </row>
    <row r="345">
      <c r="A345" s="6"/>
      <c r="B345" s="7"/>
      <c r="C345" s="7"/>
      <c r="D345" s="7"/>
      <c r="E345" s="7"/>
      <c r="F345" s="7"/>
      <c r="G345" s="7"/>
      <c r="H345" s="7"/>
      <c r="I345" s="7"/>
      <c r="J345" s="8"/>
      <c r="K345" s="9"/>
    </row>
    <row r="346">
      <c r="A346" s="6"/>
      <c r="B346" s="7"/>
      <c r="C346" s="7"/>
      <c r="D346" s="7"/>
      <c r="E346" s="7"/>
      <c r="F346" s="7"/>
      <c r="G346" s="7"/>
      <c r="H346" s="7"/>
      <c r="I346" s="7"/>
      <c r="J346" s="8"/>
      <c r="K346" s="9"/>
    </row>
    <row r="347">
      <c r="A347" s="6"/>
      <c r="B347" s="7"/>
      <c r="C347" s="7"/>
      <c r="D347" s="7"/>
      <c r="E347" s="7"/>
      <c r="F347" s="7"/>
      <c r="G347" s="7"/>
      <c r="H347" s="7"/>
      <c r="I347" s="7"/>
      <c r="J347" s="8"/>
      <c r="K347" s="9"/>
    </row>
    <row r="348">
      <c r="A348" s="6"/>
      <c r="B348" s="7"/>
      <c r="C348" s="7"/>
      <c r="D348" s="7"/>
      <c r="E348" s="7"/>
      <c r="F348" s="7"/>
      <c r="G348" s="7"/>
      <c r="H348" s="7"/>
      <c r="I348" s="7"/>
      <c r="J348" s="8"/>
      <c r="K348" s="9"/>
    </row>
    <row r="349">
      <c r="A349" s="6"/>
      <c r="B349" s="7"/>
      <c r="C349" s="7"/>
      <c r="D349" s="7"/>
      <c r="E349" s="7"/>
      <c r="F349" s="7"/>
      <c r="G349" s="7"/>
      <c r="H349" s="7"/>
      <c r="I349" s="7"/>
      <c r="J349" s="8"/>
      <c r="K349" s="9"/>
    </row>
    <row r="350">
      <c r="A350" s="6"/>
      <c r="B350" s="7"/>
      <c r="C350" s="7"/>
      <c r="D350" s="7"/>
      <c r="E350" s="7"/>
      <c r="F350" s="7"/>
      <c r="G350" s="7"/>
      <c r="H350" s="7"/>
      <c r="I350" s="7"/>
      <c r="J350" s="8"/>
      <c r="K350" s="9"/>
    </row>
    <row r="351">
      <c r="A351" s="6"/>
      <c r="B351" s="7"/>
      <c r="C351" s="7"/>
      <c r="D351" s="7"/>
      <c r="E351" s="7"/>
      <c r="F351" s="7"/>
      <c r="G351" s="7"/>
      <c r="H351" s="7"/>
      <c r="I351" s="7"/>
      <c r="J351" s="8"/>
      <c r="K351" s="9"/>
    </row>
    <row r="352">
      <c r="A352" s="6"/>
      <c r="B352" s="7"/>
      <c r="C352" s="7"/>
      <c r="D352" s="7"/>
      <c r="E352" s="7"/>
      <c r="F352" s="7"/>
      <c r="G352" s="7"/>
      <c r="H352" s="7"/>
      <c r="I352" s="7"/>
      <c r="J352" s="8"/>
      <c r="K352" s="9"/>
    </row>
    <row r="353">
      <c r="A353" s="6"/>
      <c r="B353" s="7"/>
      <c r="C353" s="7"/>
      <c r="D353" s="7"/>
      <c r="E353" s="7"/>
      <c r="F353" s="7"/>
      <c r="G353" s="7"/>
      <c r="H353" s="7"/>
      <c r="I353" s="7"/>
      <c r="J353" s="8"/>
      <c r="K353" s="9"/>
    </row>
    <row r="354">
      <c r="A354" s="6"/>
      <c r="B354" s="7"/>
      <c r="C354" s="7"/>
      <c r="D354" s="7"/>
      <c r="E354" s="7"/>
      <c r="F354" s="7"/>
      <c r="G354" s="7"/>
      <c r="H354" s="7"/>
      <c r="I354" s="7"/>
      <c r="J354" s="8"/>
      <c r="K354" s="9"/>
    </row>
    <row r="355">
      <c r="A355" s="6"/>
      <c r="B355" s="7"/>
      <c r="C355" s="7"/>
      <c r="D355" s="7"/>
      <c r="E355" s="7"/>
      <c r="F355" s="7"/>
      <c r="G355" s="7"/>
      <c r="H355" s="7"/>
      <c r="I355" s="7"/>
      <c r="J355" s="8"/>
      <c r="K355" s="9"/>
    </row>
    <row r="356">
      <c r="A356" s="6"/>
      <c r="B356" s="7"/>
      <c r="C356" s="7"/>
      <c r="D356" s="7"/>
      <c r="E356" s="7"/>
      <c r="F356" s="7"/>
      <c r="G356" s="7"/>
      <c r="H356" s="7"/>
      <c r="I356" s="7"/>
      <c r="J356" s="8"/>
      <c r="K356" s="9"/>
    </row>
    <row r="357">
      <c r="A357" s="6"/>
      <c r="B357" s="7"/>
      <c r="C357" s="7"/>
      <c r="D357" s="7"/>
      <c r="E357" s="7"/>
      <c r="F357" s="7"/>
      <c r="G357" s="7"/>
      <c r="H357" s="7"/>
      <c r="I357" s="7"/>
      <c r="J357" s="8"/>
      <c r="K357" s="9"/>
    </row>
    <row r="358">
      <c r="A358" s="6"/>
      <c r="B358" s="7"/>
      <c r="C358" s="7"/>
      <c r="D358" s="7"/>
      <c r="E358" s="7"/>
      <c r="F358" s="7"/>
      <c r="G358" s="7"/>
      <c r="H358" s="7"/>
      <c r="I358" s="7"/>
      <c r="J358" s="8"/>
      <c r="K358" s="9"/>
    </row>
    <row r="359">
      <c r="A359" s="6"/>
      <c r="B359" s="7"/>
      <c r="C359" s="7"/>
      <c r="D359" s="7"/>
      <c r="E359" s="7"/>
      <c r="F359" s="7"/>
      <c r="G359" s="7"/>
      <c r="H359" s="7"/>
      <c r="I359" s="7"/>
      <c r="J359" s="8"/>
      <c r="K359" s="9"/>
    </row>
    <row r="360">
      <c r="A360" s="6"/>
      <c r="B360" s="7"/>
      <c r="C360" s="7"/>
      <c r="D360" s="7"/>
      <c r="E360" s="7"/>
      <c r="F360" s="7"/>
      <c r="G360" s="7"/>
      <c r="H360" s="7"/>
      <c r="I360" s="7"/>
      <c r="J360" s="8"/>
      <c r="K360" s="9"/>
    </row>
    <row r="361">
      <c r="A361" s="6"/>
      <c r="B361" s="7"/>
      <c r="C361" s="7"/>
      <c r="D361" s="7"/>
      <c r="E361" s="7"/>
      <c r="F361" s="7"/>
      <c r="G361" s="7"/>
      <c r="H361" s="7"/>
      <c r="I361" s="7"/>
      <c r="J361" s="8"/>
      <c r="K361" s="9"/>
    </row>
    <row r="362">
      <c r="A362" s="6"/>
      <c r="B362" s="7"/>
      <c r="C362" s="7"/>
      <c r="D362" s="7"/>
      <c r="E362" s="7"/>
      <c r="F362" s="7"/>
      <c r="G362" s="7"/>
      <c r="H362" s="7"/>
      <c r="I362" s="7"/>
      <c r="J362" s="8"/>
      <c r="K362" s="9"/>
    </row>
    <row r="363">
      <c r="A363" s="6"/>
      <c r="B363" s="7"/>
      <c r="C363" s="7"/>
      <c r="D363" s="7"/>
      <c r="E363" s="7"/>
      <c r="F363" s="7"/>
      <c r="G363" s="7"/>
      <c r="H363" s="7"/>
      <c r="I363" s="7"/>
      <c r="J363" s="8"/>
      <c r="K363" s="9"/>
    </row>
    <row r="364">
      <c r="A364" s="6"/>
      <c r="B364" s="7"/>
      <c r="C364" s="7"/>
      <c r="D364" s="7"/>
      <c r="E364" s="7"/>
      <c r="F364" s="7"/>
      <c r="G364" s="7"/>
      <c r="H364" s="7"/>
      <c r="I364" s="7"/>
      <c r="J364" s="8"/>
      <c r="K364" s="9"/>
    </row>
    <row r="365">
      <c r="A365" s="6"/>
      <c r="B365" s="7"/>
      <c r="C365" s="7"/>
      <c r="D365" s="7"/>
      <c r="E365" s="7"/>
      <c r="F365" s="7"/>
      <c r="G365" s="7"/>
      <c r="H365" s="7"/>
      <c r="I365" s="7"/>
      <c r="J365" s="8"/>
      <c r="K365" s="9"/>
    </row>
    <row r="366">
      <c r="A366" s="6"/>
      <c r="B366" s="7"/>
      <c r="C366" s="7"/>
      <c r="D366" s="7"/>
      <c r="E366" s="7"/>
      <c r="F366" s="7"/>
      <c r="G366" s="7"/>
      <c r="H366" s="7"/>
      <c r="I366" s="7"/>
      <c r="J366" s="8"/>
      <c r="K366" s="9"/>
    </row>
    <row r="367">
      <c r="A367" s="6"/>
      <c r="B367" s="7"/>
      <c r="C367" s="7"/>
      <c r="D367" s="7"/>
      <c r="E367" s="7"/>
      <c r="F367" s="7"/>
      <c r="G367" s="7"/>
      <c r="H367" s="7"/>
      <c r="I367" s="7"/>
      <c r="J367" s="8"/>
      <c r="K367" s="9"/>
    </row>
    <row r="368">
      <c r="A368" s="6"/>
      <c r="B368" s="7"/>
      <c r="C368" s="7"/>
      <c r="D368" s="7"/>
      <c r="E368" s="7"/>
      <c r="F368" s="7"/>
      <c r="G368" s="7"/>
      <c r="H368" s="7"/>
      <c r="I368" s="7"/>
      <c r="J368" s="8"/>
      <c r="K368" s="9"/>
    </row>
    <row r="369">
      <c r="A369" s="6"/>
      <c r="B369" s="7"/>
      <c r="C369" s="7"/>
      <c r="D369" s="7"/>
      <c r="E369" s="7"/>
      <c r="F369" s="7"/>
      <c r="G369" s="7"/>
      <c r="H369" s="7"/>
      <c r="I369" s="7"/>
      <c r="J369" s="8"/>
      <c r="K369" s="9"/>
    </row>
    <row r="370">
      <c r="A370" s="6"/>
      <c r="B370" s="7"/>
      <c r="C370" s="7"/>
      <c r="D370" s="7"/>
      <c r="E370" s="7"/>
      <c r="F370" s="7"/>
      <c r="G370" s="7"/>
      <c r="H370" s="7"/>
      <c r="I370" s="7"/>
      <c r="J370" s="8"/>
      <c r="K370" s="9"/>
    </row>
    <row r="371">
      <c r="A371" s="6"/>
      <c r="B371" s="7"/>
      <c r="C371" s="7"/>
      <c r="D371" s="7"/>
      <c r="E371" s="7"/>
      <c r="F371" s="7"/>
      <c r="G371" s="7"/>
      <c r="H371" s="7"/>
      <c r="I371" s="7"/>
      <c r="J371" s="8"/>
      <c r="K371" s="9"/>
    </row>
    <row r="372">
      <c r="A372" s="6"/>
      <c r="B372" s="7"/>
      <c r="C372" s="7"/>
      <c r="D372" s="7"/>
      <c r="E372" s="7"/>
      <c r="F372" s="7"/>
      <c r="G372" s="7"/>
      <c r="H372" s="7"/>
      <c r="I372" s="7"/>
      <c r="J372" s="8"/>
      <c r="K372" s="9"/>
    </row>
    <row r="373">
      <c r="A373" s="6"/>
      <c r="B373" s="7"/>
      <c r="C373" s="7"/>
      <c r="D373" s="7"/>
      <c r="E373" s="7"/>
      <c r="F373" s="7"/>
      <c r="G373" s="7"/>
      <c r="H373" s="7"/>
      <c r="I373" s="7"/>
      <c r="J373" s="8"/>
      <c r="K373" s="9"/>
    </row>
    <row r="374">
      <c r="A374" s="6"/>
      <c r="B374" s="7"/>
      <c r="C374" s="7"/>
      <c r="D374" s="7"/>
      <c r="E374" s="7"/>
      <c r="F374" s="7"/>
      <c r="G374" s="7"/>
      <c r="H374" s="7"/>
      <c r="I374" s="7"/>
      <c r="J374" s="8"/>
      <c r="K374" s="9"/>
    </row>
    <row r="375">
      <c r="A375" s="6"/>
      <c r="B375" s="7"/>
      <c r="C375" s="7"/>
      <c r="D375" s="7"/>
      <c r="E375" s="7"/>
      <c r="F375" s="7"/>
      <c r="G375" s="7"/>
      <c r="H375" s="7"/>
      <c r="I375" s="7"/>
      <c r="J375" s="8"/>
      <c r="K375" s="9"/>
    </row>
    <row r="376">
      <c r="A376" s="6"/>
      <c r="B376" s="7"/>
      <c r="C376" s="7"/>
      <c r="D376" s="7"/>
      <c r="E376" s="7"/>
      <c r="F376" s="7"/>
      <c r="G376" s="7"/>
      <c r="H376" s="7"/>
      <c r="I376" s="7"/>
      <c r="J376" s="8"/>
      <c r="K376" s="9"/>
    </row>
    <row r="377">
      <c r="A377" s="6"/>
      <c r="B377" s="7"/>
      <c r="C377" s="7"/>
      <c r="D377" s="7"/>
      <c r="E377" s="7"/>
      <c r="F377" s="7"/>
      <c r="G377" s="7"/>
      <c r="H377" s="7"/>
      <c r="I377" s="7"/>
      <c r="J377" s="8"/>
      <c r="K377" s="9"/>
    </row>
    <row r="378">
      <c r="A378" s="6"/>
      <c r="B378" s="7"/>
      <c r="C378" s="7"/>
      <c r="D378" s="7"/>
      <c r="E378" s="7"/>
      <c r="F378" s="7"/>
      <c r="G378" s="7"/>
      <c r="H378" s="7"/>
      <c r="I378" s="7"/>
      <c r="J378" s="8"/>
      <c r="K378" s="9"/>
    </row>
    <row r="379">
      <c r="A379" s="6"/>
      <c r="B379" s="7"/>
      <c r="C379" s="7"/>
      <c r="D379" s="7"/>
      <c r="E379" s="7"/>
      <c r="F379" s="7"/>
      <c r="G379" s="7"/>
      <c r="H379" s="7"/>
      <c r="I379" s="7"/>
      <c r="J379" s="8"/>
      <c r="K379" s="9"/>
    </row>
    <row r="380">
      <c r="A380" s="6"/>
      <c r="B380" s="7"/>
      <c r="C380" s="7"/>
      <c r="D380" s="7"/>
      <c r="E380" s="7"/>
      <c r="F380" s="7"/>
      <c r="G380" s="7"/>
      <c r="H380" s="7"/>
      <c r="I380" s="7"/>
      <c r="J380" s="8"/>
      <c r="K380" s="9"/>
    </row>
    <row r="381">
      <c r="A381" s="6"/>
      <c r="B381" s="7"/>
      <c r="C381" s="7"/>
      <c r="D381" s="7"/>
      <c r="E381" s="7"/>
      <c r="F381" s="7"/>
      <c r="G381" s="7"/>
      <c r="H381" s="7"/>
      <c r="I381" s="7"/>
      <c r="J381" s="8"/>
      <c r="K381" s="9"/>
    </row>
    <row r="382">
      <c r="A382" s="6"/>
      <c r="B382" s="7"/>
      <c r="C382" s="7"/>
      <c r="D382" s="7"/>
      <c r="E382" s="7"/>
      <c r="F382" s="7"/>
      <c r="G382" s="7"/>
      <c r="H382" s="7"/>
      <c r="I382" s="7"/>
      <c r="J382" s="8"/>
      <c r="K382" s="9"/>
    </row>
    <row r="383">
      <c r="A383" s="6"/>
      <c r="B383" s="7"/>
      <c r="C383" s="7"/>
      <c r="D383" s="7"/>
      <c r="E383" s="7"/>
      <c r="F383" s="7"/>
      <c r="G383" s="7"/>
      <c r="H383" s="7"/>
      <c r="I383" s="7"/>
      <c r="J383" s="8"/>
      <c r="K383" s="9"/>
    </row>
    <row r="384">
      <c r="A384" s="6"/>
      <c r="B384" s="7"/>
      <c r="C384" s="7"/>
      <c r="D384" s="7"/>
      <c r="E384" s="7"/>
      <c r="F384" s="7"/>
      <c r="G384" s="7"/>
      <c r="H384" s="7"/>
      <c r="I384" s="7"/>
      <c r="J384" s="8"/>
      <c r="K384" s="9"/>
    </row>
    <row r="385">
      <c r="A385" s="6"/>
      <c r="B385" s="7"/>
      <c r="C385" s="7"/>
      <c r="D385" s="7"/>
      <c r="E385" s="7"/>
      <c r="F385" s="7"/>
      <c r="G385" s="7"/>
      <c r="H385" s="7"/>
      <c r="I385" s="7"/>
      <c r="J385" s="8"/>
      <c r="K385" s="9"/>
    </row>
    <row r="386">
      <c r="A386" s="6"/>
      <c r="B386" s="7"/>
      <c r="C386" s="7"/>
      <c r="D386" s="7"/>
      <c r="E386" s="7"/>
      <c r="F386" s="7"/>
      <c r="G386" s="7"/>
      <c r="H386" s="7"/>
      <c r="I386" s="7"/>
      <c r="J386" s="8"/>
      <c r="K386" s="9"/>
    </row>
    <row r="387">
      <c r="A387" s="6"/>
      <c r="B387" s="7"/>
      <c r="C387" s="7"/>
      <c r="D387" s="7"/>
      <c r="E387" s="7"/>
      <c r="F387" s="7"/>
      <c r="G387" s="7"/>
      <c r="H387" s="7"/>
      <c r="I387" s="7"/>
      <c r="J387" s="8"/>
      <c r="K387" s="9"/>
    </row>
    <row r="388">
      <c r="A388" s="6"/>
      <c r="B388" s="7"/>
      <c r="C388" s="7"/>
      <c r="D388" s="7"/>
      <c r="E388" s="7"/>
      <c r="F388" s="7"/>
      <c r="G388" s="7"/>
      <c r="H388" s="7"/>
      <c r="I388" s="7"/>
      <c r="J388" s="8"/>
      <c r="K388" s="9"/>
    </row>
    <row r="389">
      <c r="A389" s="6"/>
      <c r="B389" s="7"/>
      <c r="C389" s="7"/>
      <c r="D389" s="7"/>
      <c r="E389" s="7"/>
      <c r="F389" s="7"/>
      <c r="G389" s="7"/>
      <c r="H389" s="7"/>
      <c r="I389" s="7"/>
      <c r="J389" s="8"/>
      <c r="K389" s="9"/>
    </row>
    <row r="390">
      <c r="A390" s="6"/>
      <c r="B390" s="7"/>
      <c r="C390" s="7"/>
      <c r="D390" s="7"/>
      <c r="E390" s="7"/>
      <c r="F390" s="7"/>
      <c r="G390" s="7"/>
      <c r="H390" s="7"/>
      <c r="I390" s="7"/>
      <c r="J390" s="8"/>
      <c r="K390" s="9"/>
    </row>
    <row r="391">
      <c r="A391" s="6"/>
      <c r="B391" s="7"/>
      <c r="C391" s="7"/>
      <c r="D391" s="7"/>
      <c r="E391" s="7"/>
      <c r="F391" s="7"/>
      <c r="G391" s="7"/>
      <c r="H391" s="7"/>
      <c r="I391" s="7"/>
      <c r="J391" s="8"/>
      <c r="K391" s="9"/>
    </row>
    <row r="392">
      <c r="A392" s="6"/>
      <c r="B392" s="7"/>
      <c r="C392" s="7"/>
      <c r="D392" s="7"/>
      <c r="E392" s="7"/>
      <c r="F392" s="7"/>
      <c r="G392" s="7"/>
      <c r="H392" s="7"/>
      <c r="I392" s="7"/>
      <c r="J392" s="8"/>
      <c r="K392" s="9"/>
    </row>
    <row r="393">
      <c r="A393" s="6"/>
      <c r="B393" s="7"/>
      <c r="C393" s="7"/>
      <c r="D393" s="7"/>
      <c r="E393" s="7"/>
      <c r="F393" s="7"/>
      <c r="G393" s="7"/>
      <c r="H393" s="7"/>
      <c r="I393" s="7"/>
      <c r="J393" s="8"/>
      <c r="K393" s="9"/>
    </row>
    <row r="394">
      <c r="A394" s="6"/>
      <c r="B394" s="7"/>
      <c r="C394" s="7"/>
      <c r="D394" s="7"/>
      <c r="E394" s="7"/>
      <c r="F394" s="7"/>
      <c r="G394" s="7"/>
      <c r="H394" s="7"/>
      <c r="I394" s="7"/>
      <c r="J394" s="8"/>
      <c r="K394" s="9"/>
    </row>
    <row r="395">
      <c r="A395" s="6"/>
      <c r="B395" s="7"/>
      <c r="C395" s="7"/>
      <c r="D395" s="7"/>
      <c r="E395" s="7"/>
      <c r="F395" s="7"/>
      <c r="G395" s="7"/>
      <c r="H395" s="7"/>
      <c r="I395" s="7"/>
      <c r="J395" s="8"/>
      <c r="K395" s="9"/>
    </row>
    <row r="396">
      <c r="A396" s="6"/>
      <c r="B396" s="7"/>
      <c r="C396" s="7"/>
      <c r="D396" s="7"/>
      <c r="E396" s="7"/>
      <c r="F396" s="7"/>
      <c r="G396" s="7"/>
      <c r="H396" s="7"/>
      <c r="I396" s="7"/>
      <c r="J396" s="8"/>
      <c r="K396" s="9"/>
    </row>
    <row r="397">
      <c r="A397" s="6"/>
      <c r="B397" s="7"/>
      <c r="C397" s="7"/>
      <c r="D397" s="7"/>
      <c r="E397" s="7"/>
      <c r="F397" s="7"/>
      <c r="G397" s="7"/>
      <c r="H397" s="7"/>
      <c r="I397" s="7"/>
      <c r="J397" s="8"/>
      <c r="K397" s="9"/>
    </row>
    <row r="398">
      <c r="A398" s="6"/>
      <c r="B398" s="7"/>
      <c r="C398" s="7"/>
      <c r="D398" s="7"/>
      <c r="E398" s="7"/>
      <c r="F398" s="7"/>
      <c r="G398" s="7"/>
      <c r="H398" s="7"/>
      <c r="I398" s="7"/>
      <c r="J398" s="8"/>
      <c r="K398" s="9"/>
    </row>
    <row r="399">
      <c r="A399" s="6"/>
      <c r="B399" s="7"/>
      <c r="C399" s="7"/>
      <c r="D399" s="7"/>
      <c r="E399" s="7"/>
      <c r="F399" s="7"/>
      <c r="G399" s="7"/>
      <c r="H399" s="7"/>
      <c r="I399" s="7"/>
      <c r="J399" s="8"/>
      <c r="K399" s="9"/>
    </row>
    <row r="400">
      <c r="A400" s="6"/>
      <c r="B400" s="7"/>
      <c r="C400" s="7"/>
      <c r="D400" s="7"/>
      <c r="E400" s="7"/>
      <c r="F400" s="7"/>
      <c r="G400" s="7"/>
      <c r="H400" s="7"/>
      <c r="I400" s="7"/>
      <c r="J400" s="8"/>
      <c r="K400" s="9"/>
    </row>
    <row r="401">
      <c r="A401" s="6"/>
      <c r="B401" s="7"/>
      <c r="C401" s="7"/>
      <c r="D401" s="7"/>
      <c r="E401" s="7"/>
      <c r="F401" s="7"/>
      <c r="G401" s="7"/>
      <c r="H401" s="7"/>
      <c r="I401" s="7"/>
      <c r="J401" s="8"/>
      <c r="K401" s="9"/>
    </row>
    <row r="402">
      <c r="A402" s="6"/>
      <c r="B402" s="7"/>
      <c r="C402" s="7"/>
      <c r="D402" s="7"/>
      <c r="E402" s="7"/>
      <c r="F402" s="7"/>
      <c r="G402" s="7"/>
      <c r="H402" s="7"/>
      <c r="I402" s="7"/>
      <c r="J402" s="8"/>
      <c r="K402" s="9"/>
    </row>
    <row r="403">
      <c r="A403" s="6"/>
      <c r="B403" s="7"/>
      <c r="C403" s="7"/>
      <c r="D403" s="7"/>
      <c r="E403" s="7"/>
      <c r="F403" s="7"/>
      <c r="G403" s="7"/>
      <c r="H403" s="7"/>
      <c r="I403" s="7"/>
      <c r="J403" s="8"/>
      <c r="K403" s="9"/>
    </row>
    <row r="404">
      <c r="A404" s="6"/>
      <c r="B404" s="7"/>
      <c r="C404" s="7"/>
      <c r="D404" s="7"/>
      <c r="E404" s="7"/>
      <c r="F404" s="7"/>
      <c r="G404" s="7"/>
      <c r="H404" s="7"/>
      <c r="I404" s="7"/>
      <c r="J404" s="8"/>
      <c r="K404" s="9"/>
    </row>
    <row r="405">
      <c r="A405" s="6"/>
      <c r="B405" s="7"/>
      <c r="C405" s="7"/>
      <c r="D405" s="7"/>
      <c r="E405" s="7"/>
      <c r="F405" s="7"/>
      <c r="G405" s="7"/>
      <c r="H405" s="7"/>
      <c r="I405" s="7"/>
      <c r="J405" s="8"/>
      <c r="K405" s="9"/>
    </row>
    <row r="406">
      <c r="A406" s="6"/>
      <c r="B406" s="7"/>
      <c r="C406" s="7"/>
      <c r="D406" s="7"/>
      <c r="E406" s="7"/>
      <c r="F406" s="7"/>
      <c r="G406" s="7"/>
      <c r="H406" s="7"/>
      <c r="I406" s="7"/>
      <c r="J406" s="8"/>
      <c r="K406" s="9"/>
    </row>
    <row r="407">
      <c r="A407" s="6"/>
      <c r="B407" s="7"/>
      <c r="C407" s="7"/>
      <c r="D407" s="7"/>
      <c r="E407" s="7"/>
      <c r="F407" s="7"/>
      <c r="G407" s="7"/>
      <c r="H407" s="7"/>
      <c r="I407" s="7"/>
      <c r="J407" s="8"/>
      <c r="K407" s="9"/>
    </row>
    <row r="408">
      <c r="A408" s="6"/>
      <c r="B408" s="7"/>
      <c r="C408" s="7"/>
      <c r="D408" s="7"/>
      <c r="E408" s="7"/>
      <c r="F408" s="7"/>
      <c r="G408" s="7"/>
      <c r="H408" s="7"/>
      <c r="I408" s="7"/>
      <c r="J408" s="8"/>
      <c r="K408" s="9"/>
    </row>
    <row r="409">
      <c r="A409" s="6"/>
      <c r="B409" s="7"/>
      <c r="C409" s="7"/>
      <c r="D409" s="7"/>
      <c r="E409" s="7"/>
      <c r="F409" s="7"/>
      <c r="G409" s="7"/>
      <c r="H409" s="7"/>
      <c r="I409" s="7"/>
      <c r="J409" s="8"/>
      <c r="K409" s="9"/>
    </row>
    <row r="410">
      <c r="A410" s="6"/>
      <c r="B410" s="7"/>
      <c r="C410" s="7"/>
      <c r="D410" s="7"/>
      <c r="E410" s="7"/>
      <c r="F410" s="7"/>
      <c r="G410" s="7"/>
      <c r="H410" s="7"/>
      <c r="I410" s="7"/>
      <c r="J410" s="8"/>
      <c r="K410" s="9"/>
    </row>
    <row r="411">
      <c r="A411" s="6"/>
      <c r="B411" s="7"/>
      <c r="C411" s="7"/>
      <c r="D411" s="7"/>
      <c r="E411" s="7"/>
      <c r="F411" s="7"/>
      <c r="G411" s="7"/>
      <c r="H411" s="7"/>
      <c r="I411" s="7"/>
      <c r="J411" s="8"/>
      <c r="K411" s="9"/>
    </row>
    <row r="412">
      <c r="A412" s="6"/>
      <c r="B412" s="7"/>
      <c r="C412" s="7"/>
      <c r="D412" s="7"/>
      <c r="E412" s="7"/>
      <c r="F412" s="7"/>
      <c r="G412" s="7"/>
      <c r="H412" s="7"/>
      <c r="I412" s="7"/>
      <c r="J412" s="8"/>
      <c r="K412" s="9"/>
    </row>
    <row r="413">
      <c r="A413" s="6"/>
      <c r="B413" s="7"/>
      <c r="C413" s="7"/>
      <c r="D413" s="7"/>
      <c r="E413" s="7"/>
      <c r="F413" s="7"/>
      <c r="G413" s="7"/>
      <c r="H413" s="7"/>
      <c r="I413" s="7"/>
      <c r="J413" s="8"/>
      <c r="K413" s="9"/>
    </row>
    <row r="414">
      <c r="A414" s="6"/>
      <c r="B414" s="7"/>
      <c r="C414" s="7"/>
      <c r="D414" s="7"/>
      <c r="E414" s="7"/>
      <c r="F414" s="7"/>
      <c r="G414" s="7"/>
      <c r="H414" s="7"/>
      <c r="I414" s="7"/>
      <c r="J414" s="8"/>
      <c r="K414" s="9"/>
    </row>
    <row r="415">
      <c r="A415" s="6"/>
      <c r="B415" s="7"/>
      <c r="C415" s="7"/>
      <c r="D415" s="7"/>
      <c r="E415" s="7"/>
      <c r="F415" s="7"/>
      <c r="G415" s="7"/>
      <c r="H415" s="7"/>
      <c r="I415" s="7"/>
      <c r="J415" s="8"/>
      <c r="K415" s="9"/>
    </row>
    <row r="416">
      <c r="A416" s="6"/>
      <c r="B416" s="7"/>
      <c r="C416" s="7"/>
      <c r="D416" s="7"/>
      <c r="E416" s="7"/>
      <c r="F416" s="7"/>
      <c r="G416" s="7"/>
      <c r="H416" s="7"/>
      <c r="I416" s="7"/>
      <c r="J416" s="8"/>
      <c r="K416" s="9"/>
    </row>
    <row r="417">
      <c r="A417" s="6"/>
      <c r="B417" s="7"/>
      <c r="C417" s="7"/>
      <c r="D417" s="7"/>
      <c r="E417" s="7"/>
      <c r="F417" s="7"/>
      <c r="G417" s="7"/>
      <c r="H417" s="7"/>
      <c r="I417" s="7"/>
      <c r="J417" s="8"/>
      <c r="K417" s="9"/>
    </row>
    <row r="418">
      <c r="A418" s="6"/>
      <c r="B418" s="7"/>
      <c r="C418" s="7"/>
      <c r="D418" s="7"/>
      <c r="E418" s="7"/>
      <c r="F418" s="7"/>
      <c r="G418" s="7"/>
      <c r="H418" s="7"/>
      <c r="I418" s="7"/>
      <c r="J418" s="8"/>
      <c r="K418" s="9"/>
    </row>
    <row r="419">
      <c r="A419" s="6"/>
      <c r="B419" s="7"/>
      <c r="C419" s="7"/>
      <c r="D419" s="7"/>
      <c r="E419" s="7"/>
      <c r="F419" s="7"/>
      <c r="G419" s="7"/>
      <c r="H419" s="7"/>
      <c r="I419" s="7"/>
      <c r="J419" s="8"/>
      <c r="K419" s="9"/>
    </row>
    <row r="420">
      <c r="A420" s="6"/>
      <c r="B420" s="7"/>
      <c r="C420" s="7"/>
      <c r="D420" s="7"/>
      <c r="E420" s="7"/>
      <c r="F420" s="7"/>
      <c r="G420" s="7"/>
      <c r="H420" s="7"/>
      <c r="I420" s="7"/>
      <c r="J420" s="8"/>
      <c r="K420" s="9"/>
    </row>
    <row r="421">
      <c r="A421" s="6"/>
      <c r="B421" s="7"/>
      <c r="C421" s="7"/>
      <c r="D421" s="7"/>
      <c r="E421" s="7"/>
      <c r="F421" s="7"/>
      <c r="G421" s="7"/>
      <c r="H421" s="7"/>
      <c r="I421" s="7"/>
      <c r="J421" s="8"/>
      <c r="K421" s="9"/>
    </row>
    <row r="422">
      <c r="A422" s="6"/>
      <c r="B422" s="7"/>
      <c r="C422" s="7"/>
      <c r="D422" s="7"/>
      <c r="E422" s="7"/>
      <c r="F422" s="7"/>
      <c r="G422" s="7"/>
      <c r="H422" s="7"/>
      <c r="I422" s="7"/>
      <c r="J422" s="8"/>
      <c r="K422" s="9"/>
    </row>
    <row r="423">
      <c r="A423" s="6"/>
      <c r="B423" s="7"/>
      <c r="C423" s="7"/>
      <c r="D423" s="7"/>
      <c r="E423" s="7"/>
      <c r="F423" s="7"/>
      <c r="G423" s="7"/>
      <c r="H423" s="7"/>
      <c r="I423" s="7"/>
      <c r="J423" s="8"/>
      <c r="K423" s="9"/>
    </row>
    <row r="424">
      <c r="A424" s="6"/>
      <c r="B424" s="7"/>
      <c r="C424" s="7"/>
      <c r="D424" s="7"/>
      <c r="E424" s="7"/>
      <c r="F424" s="7"/>
      <c r="G424" s="7"/>
      <c r="H424" s="7"/>
      <c r="I424" s="7"/>
      <c r="J424" s="8"/>
      <c r="K424" s="9"/>
    </row>
    <row r="425">
      <c r="A425" s="6"/>
      <c r="B425" s="7"/>
      <c r="C425" s="7"/>
      <c r="D425" s="7"/>
      <c r="E425" s="7"/>
      <c r="F425" s="7"/>
      <c r="G425" s="7"/>
      <c r="H425" s="7"/>
      <c r="I425" s="7"/>
      <c r="J425" s="8"/>
      <c r="K425" s="9"/>
    </row>
    <row r="426">
      <c r="A426" s="6"/>
      <c r="B426" s="7"/>
      <c r="C426" s="7"/>
      <c r="D426" s="7"/>
      <c r="E426" s="7"/>
      <c r="F426" s="7"/>
      <c r="G426" s="7"/>
      <c r="H426" s="7"/>
      <c r="I426" s="7"/>
      <c r="J426" s="8"/>
      <c r="K426" s="9"/>
    </row>
    <row r="427">
      <c r="A427" s="6"/>
      <c r="B427" s="7"/>
      <c r="C427" s="7"/>
      <c r="D427" s="7"/>
      <c r="E427" s="7"/>
      <c r="F427" s="7"/>
      <c r="G427" s="7"/>
      <c r="H427" s="7"/>
      <c r="I427" s="7"/>
      <c r="J427" s="8"/>
      <c r="K427" s="9"/>
    </row>
    <row r="428">
      <c r="A428" s="6"/>
      <c r="B428" s="7"/>
      <c r="C428" s="7"/>
      <c r="D428" s="7"/>
      <c r="E428" s="7"/>
      <c r="F428" s="7"/>
      <c r="G428" s="7"/>
      <c r="H428" s="7"/>
      <c r="I428" s="7"/>
      <c r="J428" s="8"/>
      <c r="K428" s="9"/>
    </row>
    <row r="429">
      <c r="A429" s="6"/>
      <c r="B429" s="7"/>
      <c r="C429" s="7"/>
      <c r="D429" s="7"/>
      <c r="E429" s="7"/>
      <c r="F429" s="7"/>
      <c r="G429" s="7"/>
      <c r="H429" s="7"/>
      <c r="I429" s="7"/>
      <c r="J429" s="8"/>
      <c r="K429" s="9"/>
    </row>
    <row r="430">
      <c r="A430" s="6"/>
      <c r="B430" s="7"/>
      <c r="C430" s="7"/>
      <c r="D430" s="7"/>
      <c r="E430" s="7"/>
      <c r="F430" s="7"/>
      <c r="G430" s="7"/>
      <c r="H430" s="7"/>
      <c r="I430" s="7"/>
      <c r="J430" s="8"/>
      <c r="K430" s="9"/>
    </row>
    <row r="431">
      <c r="A431" s="6"/>
      <c r="B431" s="7"/>
      <c r="C431" s="7"/>
      <c r="D431" s="7"/>
      <c r="E431" s="7"/>
      <c r="F431" s="7"/>
      <c r="G431" s="7"/>
      <c r="H431" s="7"/>
      <c r="I431" s="7"/>
      <c r="J431" s="8"/>
      <c r="K431" s="9"/>
    </row>
    <row r="432">
      <c r="A432" s="6"/>
      <c r="B432" s="7"/>
      <c r="C432" s="7"/>
      <c r="D432" s="7"/>
      <c r="E432" s="7"/>
      <c r="F432" s="7"/>
      <c r="G432" s="7"/>
      <c r="H432" s="7"/>
      <c r="I432" s="7"/>
      <c r="J432" s="8"/>
      <c r="K432" s="9"/>
    </row>
    <row r="433">
      <c r="A433" s="6"/>
      <c r="B433" s="7"/>
      <c r="C433" s="7"/>
      <c r="D433" s="7"/>
      <c r="E433" s="7"/>
      <c r="F433" s="7"/>
      <c r="G433" s="7"/>
      <c r="H433" s="7"/>
      <c r="I433" s="7"/>
      <c r="J433" s="8"/>
      <c r="K433" s="9"/>
    </row>
    <row r="434">
      <c r="A434" s="6"/>
      <c r="B434" s="7"/>
      <c r="C434" s="7"/>
      <c r="D434" s="7"/>
      <c r="E434" s="7"/>
      <c r="F434" s="7"/>
      <c r="G434" s="7"/>
      <c r="H434" s="7"/>
      <c r="I434" s="7"/>
      <c r="J434" s="8"/>
      <c r="K434" s="9"/>
    </row>
    <row r="435">
      <c r="A435" s="6"/>
      <c r="B435" s="7"/>
      <c r="C435" s="7"/>
      <c r="D435" s="7"/>
      <c r="E435" s="7"/>
      <c r="F435" s="7"/>
      <c r="G435" s="7"/>
      <c r="H435" s="7"/>
      <c r="I435" s="7"/>
      <c r="J435" s="8"/>
      <c r="K435" s="9"/>
    </row>
    <row r="436">
      <c r="A436" s="6"/>
      <c r="B436" s="7"/>
      <c r="C436" s="7"/>
      <c r="D436" s="7"/>
      <c r="E436" s="7"/>
      <c r="F436" s="7"/>
      <c r="G436" s="7"/>
      <c r="H436" s="7"/>
      <c r="I436" s="7"/>
      <c r="J436" s="8"/>
      <c r="K436" s="9"/>
    </row>
    <row r="437">
      <c r="A437" s="6"/>
      <c r="B437" s="7"/>
      <c r="C437" s="7"/>
      <c r="D437" s="7"/>
      <c r="E437" s="7"/>
      <c r="F437" s="7"/>
      <c r="G437" s="7"/>
      <c r="H437" s="7"/>
      <c r="I437" s="7"/>
      <c r="J437" s="8"/>
      <c r="K437" s="9"/>
    </row>
    <row r="438">
      <c r="A438" s="6"/>
      <c r="B438" s="7"/>
      <c r="C438" s="7"/>
      <c r="D438" s="7"/>
      <c r="E438" s="7"/>
      <c r="F438" s="7"/>
      <c r="G438" s="7"/>
      <c r="H438" s="7"/>
      <c r="I438" s="7"/>
      <c r="J438" s="8"/>
      <c r="K438" s="9"/>
    </row>
    <row r="439">
      <c r="A439" s="6"/>
      <c r="B439" s="7"/>
      <c r="C439" s="7"/>
      <c r="D439" s="7"/>
      <c r="E439" s="7"/>
      <c r="F439" s="7"/>
      <c r="G439" s="7"/>
      <c r="H439" s="7"/>
      <c r="I439" s="7"/>
      <c r="J439" s="8"/>
      <c r="K439" s="9"/>
    </row>
    <row r="440">
      <c r="A440" s="6"/>
      <c r="B440" s="7"/>
      <c r="C440" s="7"/>
      <c r="D440" s="7"/>
      <c r="E440" s="7"/>
      <c r="F440" s="7"/>
      <c r="G440" s="7"/>
      <c r="H440" s="7"/>
      <c r="I440" s="7"/>
      <c r="J440" s="8"/>
      <c r="K440" s="9"/>
    </row>
    <row r="441">
      <c r="A441" s="6"/>
      <c r="B441" s="7"/>
      <c r="C441" s="7"/>
      <c r="D441" s="7"/>
      <c r="E441" s="7"/>
      <c r="F441" s="7"/>
      <c r="G441" s="7"/>
      <c r="H441" s="7"/>
      <c r="I441" s="7"/>
      <c r="J441" s="8"/>
      <c r="K441" s="9"/>
    </row>
    <row r="442">
      <c r="A442" s="6"/>
      <c r="B442" s="7"/>
      <c r="C442" s="7"/>
      <c r="D442" s="7"/>
      <c r="E442" s="7"/>
      <c r="F442" s="7"/>
      <c r="G442" s="7"/>
      <c r="H442" s="7"/>
      <c r="I442" s="7"/>
      <c r="J442" s="8"/>
      <c r="K442" s="9"/>
    </row>
    <row r="443">
      <c r="A443" s="6"/>
      <c r="B443" s="7"/>
      <c r="C443" s="7"/>
      <c r="D443" s="7"/>
      <c r="E443" s="7"/>
      <c r="F443" s="7"/>
      <c r="G443" s="7"/>
      <c r="H443" s="7"/>
      <c r="I443" s="7"/>
      <c r="J443" s="8"/>
      <c r="K443" s="9"/>
    </row>
    <row r="444">
      <c r="A444" s="6"/>
      <c r="B444" s="7"/>
      <c r="C444" s="7"/>
      <c r="D444" s="7"/>
      <c r="E444" s="7"/>
      <c r="F444" s="7"/>
      <c r="G444" s="7"/>
      <c r="H444" s="7"/>
      <c r="I444" s="7"/>
      <c r="J444" s="8"/>
      <c r="K444" s="9"/>
    </row>
    <row r="445">
      <c r="A445" s="6"/>
      <c r="B445" s="7"/>
      <c r="C445" s="7"/>
      <c r="D445" s="7"/>
      <c r="E445" s="7"/>
      <c r="F445" s="7"/>
      <c r="G445" s="7"/>
      <c r="H445" s="7"/>
      <c r="I445" s="7"/>
      <c r="J445" s="8"/>
      <c r="K445" s="9"/>
    </row>
    <row r="446">
      <c r="A446" s="6"/>
      <c r="B446" s="7"/>
      <c r="C446" s="7"/>
      <c r="D446" s="7"/>
      <c r="E446" s="7"/>
      <c r="F446" s="7"/>
      <c r="G446" s="7"/>
      <c r="H446" s="7"/>
      <c r="I446" s="7"/>
      <c r="J446" s="8"/>
      <c r="K446" s="9"/>
    </row>
    <row r="447">
      <c r="A447" s="6"/>
      <c r="B447" s="7"/>
      <c r="C447" s="7"/>
      <c r="D447" s="7"/>
      <c r="E447" s="7"/>
      <c r="F447" s="7"/>
      <c r="G447" s="7"/>
      <c r="H447" s="7"/>
      <c r="I447" s="7"/>
      <c r="J447" s="8"/>
      <c r="K447" s="9"/>
    </row>
    <row r="448">
      <c r="A448" s="6"/>
      <c r="B448" s="7"/>
      <c r="C448" s="7"/>
      <c r="D448" s="7"/>
      <c r="E448" s="7"/>
      <c r="F448" s="7"/>
      <c r="G448" s="7"/>
      <c r="H448" s="7"/>
      <c r="I448" s="7"/>
      <c r="J448" s="8"/>
      <c r="K448" s="9"/>
    </row>
    <row r="449">
      <c r="A449" s="6"/>
      <c r="B449" s="7"/>
      <c r="C449" s="7"/>
      <c r="D449" s="7"/>
      <c r="E449" s="7"/>
      <c r="F449" s="7"/>
      <c r="G449" s="7"/>
      <c r="H449" s="7"/>
      <c r="I449" s="7"/>
      <c r="J449" s="8"/>
      <c r="K449" s="9"/>
    </row>
    <row r="450">
      <c r="A450" s="6"/>
      <c r="B450" s="7"/>
      <c r="C450" s="7"/>
      <c r="D450" s="7"/>
      <c r="E450" s="7"/>
      <c r="F450" s="7"/>
      <c r="G450" s="7"/>
      <c r="H450" s="7"/>
      <c r="I450" s="7"/>
      <c r="J450" s="8"/>
      <c r="K450" s="9"/>
    </row>
    <row r="451">
      <c r="A451" s="6"/>
      <c r="B451" s="7"/>
      <c r="C451" s="7"/>
      <c r="D451" s="7"/>
      <c r="E451" s="7"/>
      <c r="F451" s="7"/>
      <c r="G451" s="7"/>
      <c r="H451" s="7"/>
      <c r="I451" s="7"/>
      <c r="J451" s="8"/>
      <c r="K451" s="9"/>
    </row>
    <row r="452">
      <c r="A452" s="6"/>
      <c r="B452" s="7"/>
      <c r="C452" s="7"/>
      <c r="D452" s="7"/>
      <c r="E452" s="7"/>
      <c r="F452" s="7"/>
      <c r="G452" s="7"/>
      <c r="H452" s="7"/>
      <c r="I452" s="7"/>
      <c r="J452" s="8"/>
      <c r="K452" s="9"/>
    </row>
    <row r="453">
      <c r="A453" s="6"/>
      <c r="B453" s="7"/>
      <c r="C453" s="7"/>
      <c r="D453" s="7"/>
      <c r="E453" s="7"/>
      <c r="F453" s="7"/>
      <c r="G453" s="7"/>
      <c r="H453" s="7"/>
      <c r="I453" s="7"/>
      <c r="J453" s="8"/>
      <c r="K453" s="9"/>
    </row>
    <row r="454">
      <c r="A454" s="6"/>
      <c r="B454" s="7"/>
      <c r="C454" s="7"/>
      <c r="D454" s="7"/>
      <c r="E454" s="7"/>
      <c r="F454" s="7"/>
      <c r="G454" s="7"/>
      <c r="H454" s="7"/>
      <c r="I454" s="7"/>
      <c r="J454" s="8"/>
      <c r="K454" s="9"/>
    </row>
    <row r="455">
      <c r="A455" s="6"/>
      <c r="B455" s="7"/>
      <c r="C455" s="7"/>
      <c r="D455" s="7"/>
      <c r="E455" s="7"/>
      <c r="F455" s="7"/>
      <c r="G455" s="7"/>
      <c r="H455" s="7"/>
      <c r="I455" s="7"/>
      <c r="J455" s="8"/>
      <c r="K455" s="9"/>
    </row>
    <row r="456">
      <c r="A456" s="6"/>
      <c r="B456" s="7"/>
      <c r="C456" s="7"/>
      <c r="D456" s="7"/>
      <c r="E456" s="7"/>
      <c r="F456" s="7"/>
      <c r="G456" s="7"/>
      <c r="H456" s="7"/>
      <c r="I456" s="7"/>
      <c r="J456" s="8"/>
      <c r="K456" s="9"/>
    </row>
    <row r="457">
      <c r="A457" s="6"/>
      <c r="B457" s="7"/>
      <c r="C457" s="7"/>
      <c r="D457" s="7"/>
      <c r="E457" s="7"/>
      <c r="F457" s="7"/>
      <c r="G457" s="7"/>
      <c r="H457" s="7"/>
      <c r="I457" s="7"/>
      <c r="J457" s="8"/>
      <c r="K457" s="9"/>
    </row>
    <row r="458">
      <c r="A458" s="6"/>
      <c r="B458" s="7"/>
      <c r="C458" s="7"/>
      <c r="D458" s="7"/>
      <c r="E458" s="7"/>
      <c r="F458" s="7"/>
      <c r="G458" s="7"/>
      <c r="H458" s="7"/>
      <c r="I458" s="7"/>
      <c r="J458" s="8"/>
      <c r="K458" s="9"/>
    </row>
    <row r="459">
      <c r="A459" s="6"/>
      <c r="B459" s="7"/>
      <c r="C459" s="7"/>
      <c r="D459" s="7"/>
      <c r="E459" s="7"/>
      <c r="F459" s="7"/>
      <c r="G459" s="7"/>
      <c r="H459" s="7"/>
      <c r="I459" s="7"/>
      <c r="J459" s="8"/>
      <c r="K459" s="9"/>
    </row>
    <row r="460">
      <c r="A460" s="6"/>
      <c r="B460" s="7"/>
      <c r="C460" s="7"/>
      <c r="D460" s="7"/>
      <c r="E460" s="7"/>
      <c r="F460" s="7"/>
      <c r="G460" s="7"/>
      <c r="H460" s="7"/>
      <c r="I460" s="7"/>
      <c r="J460" s="8"/>
      <c r="K460" s="9"/>
    </row>
    <row r="461">
      <c r="A461" s="6"/>
      <c r="B461" s="7"/>
      <c r="C461" s="7"/>
      <c r="D461" s="7"/>
      <c r="E461" s="7"/>
      <c r="F461" s="7"/>
      <c r="G461" s="7"/>
      <c r="H461" s="7"/>
      <c r="I461" s="7"/>
      <c r="J461" s="8"/>
      <c r="K461" s="9"/>
    </row>
    <row r="462">
      <c r="A462" s="6"/>
      <c r="B462" s="7"/>
      <c r="C462" s="7"/>
      <c r="D462" s="7"/>
      <c r="E462" s="7"/>
      <c r="F462" s="7"/>
      <c r="G462" s="7"/>
      <c r="H462" s="7"/>
      <c r="I462" s="7"/>
      <c r="J462" s="8"/>
      <c r="K462" s="9"/>
    </row>
    <row r="463">
      <c r="A463" s="6"/>
      <c r="B463" s="7"/>
      <c r="C463" s="7"/>
      <c r="D463" s="7"/>
      <c r="E463" s="7"/>
      <c r="F463" s="7"/>
      <c r="G463" s="7"/>
      <c r="H463" s="7"/>
      <c r="I463" s="7"/>
      <c r="J463" s="8"/>
      <c r="K463" s="9"/>
    </row>
    <row r="464">
      <c r="A464" s="6"/>
      <c r="B464" s="7"/>
      <c r="C464" s="7"/>
      <c r="D464" s="7"/>
      <c r="E464" s="7"/>
      <c r="F464" s="7"/>
      <c r="G464" s="7"/>
      <c r="H464" s="7"/>
      <c r="I464" s="7"/>
      <c r="J464" s="8"/>
      <c r="K464" s="9"/>
    </row>
    <row r="465">
      <c r="A465" s="6"/>
      <c r="B465" s="7"/>
      <c r="C465" s="7"/>
      <c r="D465" s="7"/>
      <c r="E465" s="7"/>
      <c r="F465" s="7"/>
      <c r="G465" s="7"/>
      <c r="H465" s="7"/>
      <c r="I465" s="7"/>
      <c r="J465" s="8"/>
      <c r="K465" s="9"/>
    </row>
    <row r="466">
      <c r="A466" s="6"/>
      <c r="B466" s="7"/>
      <c r="C466" s="7"/>
      <c r="D466" s="7"/>
      <c r="E466" s="7"/>
      <c r="F466" s="7"/>
      <c r="G466" s="7"/>
      <c r="H466" s="7"/>
      <c r="I466" s="7"/>
      <c r="J466" s="8"/>
      <c r="K466" s="9"/>
    </row>
    <row r="467">
      <c r="A467" s="6"/>
      <c r="B467" s="7"/>
      <c r="C467" s="7"/>
      <c r="D467" s="7"/>
      <c r="E467" s="7"/>
      <c r="F467" s="7"/>
      <c r="G467" s="7"/>
      <c r="H467" s="7"/>
      <c r="I467" s="7"/>
      <c r="J467" s="8"/>
      <c r="K467" s="9"/>
    </row>
    <row r="468">
      <c r="A468" s="6"/>
      <c r="B468" s="7"/>
      <c r="C468" s="7"/>
      <c r="D468" s="7"/>
      <c r="E468" s="7"/>
      <c r="F468" s="7"/>
      <c r="G468" s="7"/>
      <c r="H468" s="7"/>
      <c r="I468" s="7"/>
      <c r="J468" s="8"/>
      <c r="K468" s="9"/>
    </row>
    <row r="469">
      <c r="A469" s="6"/>
      <c r="B469" s="7"/>
      <c r="C469" s="7"/>
      <c r="D469" s="7"/>
      <c r="E469" s="7"/>
      <c r="F469" s="7"/>
      <c r="G469" s="7"/>
      <c r="H469" s="7"/>
      <c r="I469" s="7"/>
      <c r="J469" s="8"/>
      <c r="K469" s="9"/>
    </row>
    <row r="470">
      <c r="A470" s="6"/>
      <c r="B470" s="7"/>
      <c r="C470" s="7"/>
      <c r="D470" s="7"/>
      <c r="E470" s="7"/>
      <c r="F470" s="7"/>
      <c r="G470" s="7"/>
      <c r="H470" s="7"/>
      <c r="I470" s="7"/>
      <c r="J470" s="8"/>
      <c r="K470" s="9"/>
    </row>
    <row r="471">
      <c r="A471" s="6"/>
      <c r="B471" s="7"/>
      <c r="C471" s="7"/>
      <c r="D471" s="7"/>
      <c r="E471" s="7"/>
      <c r="F471" s="7"/>
      <c r="G471" s="7"/>
      <c r="H471" s="7"/>
      <c r="I471" s="7"/>
      <c r="J471" s="8"/>
      <c r="K471" s="9"/>
    </row>
    <row r="472">
      <c r="A472" s="6"/>
      <c r="B472" s="7"/>
      <c r="C472" s="7"/>
      <c r="D472" s="7"/>
      <c r="E472" s="7"/>
      <c r="F472" s="7"/>
      <c r="G472" s="7"/>
      <c r="H472" s="7"/>
      <c r="I472" s="7"/>
      <c r="J472" s="8"/>
      <c r="K472" s="9"/>
    </row>
    <row r="473">
      <c r="A473" s="6"/>
      <c r="B473" s="7"/>
      <c r="C473" s="7"/>
      <c r="D473" s="7"/>
      <c r="E473" s="7"/>
      <c r="F473" s="7"/>
      <c r="G473" s="7"/>
      <c r="H473" s="7"/>
      <c r="I473" s="7"/>
      <c r="J473" s="8"/>
      <c r="K473" s="9"/>
    </row>
    <row r="474">
      <c r="A474" s="6"/>
      <c r="B474" s="7"/>
      <c r="C474" s="7"/>
      <c r="D474" s="7"/>
      <c r="E474" s="7"/>
      <c r="F474" s="7"/>
      <c r="G474" s="7"/>
      <c r="H474" s="7"/>
      <c r="I474" s="7"/>
      <c r="J474" s="8"/>
      <c r="K474" s="9"/>
    </row>
    <row r="475">
      <c r="A475" s="6"/>
      <c r="B475" s="7"/>
      <c r="C475" s="7"/>
      <c r="D475" s="7"/>
      <c r="E475" s="7"/>
      <c r="F475" s="7"/>
      <c r="G475" s="7"/>
      <c r="H475" s="7"/>
      <c r="I475" s="7"/>
      <c r="J475" s="8"/>
      <c r="K475" s="9"/>
    </row>
    <row r="476">
      <c r="A476" s="6"/>
      <c r="B476" s="7"/>
      <c r="C476" s="7"/>
      <c r="D476" s="7"/>
      <c r="E476" s="7"/>
      <c r="F476" s="7"/>
      <c r="G476" s="7"/>
      <c r="H476" s="7"/>
      <c r="I476" s="7"/>
      <c r="J476" s="8"/>
      <c r="K476" s="9"/>
    </row>
    <row r="477">
      <c r="A477" s="6"/>
      <c r="B477" s="7"/>
      <c r="C477" s="7"/>
      <c r="D477" s="7"/>
      <c r="E477" s="7"/>
      <c r="F477" s="7"/>
      <c r="G477" s="7"/>
      <c r="H477" s="7"/>
      <c r="I477" s="7"/>
      <c r="J477" s="8"/>
      <c r="K477" s="9"/>
    </row>
    <row r="478">
      <c r="A478" s="6"/>
      <c r="B478" s="7"/>
      <c r="C478" s="7"/>
      <c r="D478" s="7"/>
      <c r="E478" s="7"/>
      <c r="F478" s="7"/>
      <c r="G478" s="7"/>
      <c r="H478" s="7"/>
      <c r="I478" s="7"/>
      <c r="J478" s="8"/>
      <c r="K478" s="9"/>
    </row>
    <row r="479">
      <c r="A479" s="6"/>
      <c r="B479" s="7"/>
      <c r="C479" s="7"/>
      <c r="D479" s="7"/>
      <c r="E479" s="7"/>
      <c r="F479" s="7"/>
      <c r="G479" s="7"/>
      <c r="H479" s="7"/>
      <c r="I479" s="7"/>
      <c r="J479" s="8"/>
      <c r="K479" s="9"/>
    </row>
    <row r="480">
      <c r="A480" s="6"/>
      <c r="B480" s="7"/>
      <c r="C480" s="7"/>
      <c r="D480" s="7"/>
      <c r="E480" s="7"/>
      <c r="F480" s="7"/>
      <c r="G480" s="7"/>
      <c r="H480" s="7"/>
      <c r="I480" s="7"/>
      <c r="J480" s="8"/>
      <c r="K480" s="9"/>
    </row>
    <row r="481">
      <c r="A481" s="6"/>
      <c r="B481" s="7"/>
      <c r="C481" s="7"/>
      <c r="D481" s="7"/>
      <c r="E481" s="7"/>
      <c r="F481" s="7"/>
      <c r="G481" s="7"/>
      <c r="H481" s="7"/>
      <c r="I481" s="7"/>
      <c r="J481" s="8"/>
      <c r="K481" s="9"/>
    </row>
    <row r="482">
      <c r="A482" s="6"/>
      <c r="B482" s="7"/>
      <c r="C482" s="7"/>
      <c r="D482" s="7"/>
      <c r="E482" s="7"/>
      <c r="F482" s="7"/>
      <c r="G482" s="7"/>
      <c r="H482" s="7"/>
      <c r="I482" s="7"/>
      <c r="J482" s="8"/>
      <c r="K482" s="9"/>
    </row>
    <row r="483">
      <c r="A483" s="6"/>
      <c r="B483" s="7"/>
      <c r="C483" s="7"/>
      <c r="D483" s="7"/>
      <c r="E483" s="7"/>
      <c r="F483" s="7"/>
      <c r="G483" s="7"/>
      <c r="H483" s="7"/>
      <c r="I483" s="7"/>
      <c r="J483" s="8"/>
      <c r="K483" s="9"/>
    </row>
    <row r="484">
      <c r="A484" s="6"/>
      <c r="B484" s="7"/>
      <c r="C484" s="7"/>
      <c r="D484" s="7"/>
      <c r="E484" s="7"/>
      <c r="F484" s="7"/>
      <c r="G484" s="7"/>
      <c r="H484" s="7"/>
      <c r="I484" s="7"/>
      <c r="J484" s="8"/>
      <c r="K484" s="9"/>
    </row>
    <row r="485">
      <c r="A485" s="6"/>
      <c r="B485" s="7"/>
      <c r="C485" s="7"/>
      <c r="D485" s="7"/>
      <c r="E485" s="7"/>
      <c r="F485" s="7"/>
      <c r="G485" s="7"/>
      <c r="H485" s="7"/>
      <c r="I485" s="7"/>
      <c r="J485" s="8"/>
      <c r="K485" s="9"/>
    </row>
    <row r="486">
      <c r="A486" s="6"/>
      <c r="B486" s="7"/>
      <c r="C486" s="7"/>
      <c r="D486" s="7"/>
      <c r="E486" s="7"/>
      <c r="F486" s="7"/>
      <c r="G486" s="7"/>
      <c r="H486" s="7"/>
      <c r="I486" s="7"/>
      <c r="J486" s="8"/>
      <c r="K486" s="9"/>
    </row>
    <row r="487">
      <c r="A487" s="6"/>
      <c r="B487" s="7"/>
      <c r="C487" s="7"/>
      <c r="D487" s="7"/>
      <c r="E487" s="7"/>
      <c r="F487" s="7"/>
      <c r="G487" s="7"/>
      <c r="H487" s="7"/>
      <c r="I487" s="7"/>
      <c r="J487" s="8"/>
      <c r="K487" s="9"/>
    </row>
    <row r="488">
      <c r="A488" s="6"/>
      <c r="B488" s="7"/>
      <c r="C488" s="7"/>
      <c r="D488" s="7"/>
      <c r="E488" s="7"/>
      <c r="F488" s="7"/>
      <c r="G488" s="7"/>
      <c r="H488" s="7"/>
      <c r="I488" s="7"/>
      <c r="J488" s="8"/>
      <c r="K488" s="9"/>
    </row>
    <row r="489">
      <c r="A489" s="6"/>
      <c r="B489" s="7"/>
      <c r="C489" s="7"/>
      <c r="D489" s="7"/>
      <c r="E489" s="7"/>
      <c r="F489" s="7"/>
      <c r="G489" s="7"/>
      <c r="H489" s="7"/>
      <c r="I489" s="7"/>
      <c r="J489" s="8"/>
      <c r="K489" s="9"/>
    </row>
    <row r="490">
      <c r="A490" s="6"/>
      <c r="B490" s="7"/>
      <c r="C490" s="7"/>
      <c r="D490" s="7"/>
      <c r="E490" s="7"/>
      <c r="F490" s="7"/>
      <c r="G490" s="7"/>
      <c r="H490" s="7"/>
      <c r="I490" s="7"/>
      <c r="J490" s="8"/>
      <c r="K490" s="9"/>
    </row>
    <row r="491">
      <c r="A491" s="6"/>
      <c r="B491" s="7"/>
      <c r="C491" s="7"/>
      <c r="D491" s="7"/>
      <c r="E491" s="7"/>
      <c r="F491" s="7"/>
      <c r="G491" s="7"/>
      <c r="H491" s="7"/>
      <c r="I491" s="7"/>
      <c r="J491" s="8"/>
      <c r="K491" s="9"/>
    </row>
    <row r="492">
      <c r="A492" s="6"/>
      <c r="B492" s="7"/>
      <c r="C492" s="7"/>
      <c r="D492" s="7"/>
      <c r="E492" s="7"/>
      <c r="F492" s="7"/>
      <c r="G492" s="7"/>
      <c r="H492" s="7"/>
      <c r="I492" s="7"/>
      <c r="J492" s="8"/>
      <c r="K492" s="9"/>
    </row>
    <row r="493">
      <c r="A493" s="6"/>
      <c r="B493" s="7"/>
      <c r="C493" s="7"/>
      <c r="D493" s="7"/>
      <c r="E493" s="7"/>
      <c r="F493" s="7"/>
      <c r="G493" s="7"/>
      <c r="H493" s="7"/>
      <c r="I493" s="7"/>
      <c r="J493" s="8"/>
      <c r="K493" s="9"/>
    </row>
    <row r="494">
      <c r="A494" s="6"/>
      <c r="B494" s="7"/>
      <c r="C494" s="7"/>
      <c r="D494" s="7"/>
      <c r="E494" s="7"/>
      <c r="F494" s="7"/>
      <c r="G494" s="7"/>
      <c r="H494" s="7"/>
      <c r="I494" s="7"/>
      <c r="J494" s="8"/>
      <c r="K494" s="9"/>
    </row>
    <row r="495">
      <c r="A495" s="6"/>
      <c r="B495" s="7"/>
      <c r="C495" s="7"/>
      <c r="D495" s="7"/>
      <c r="E495" s="7"/>
      <c r="F495" s="7"/>
      <c r="G495" s="7"/>
      <c r="H495" s="7"/>
      <c r="I495" s="7"/>
      <c r="J495" s="8"/>
      <c r="K495" s="9"/>
    </row>
    <row r="496">
      <c r="A496" s="6"/>
      <c r="B496" s="7"/>
      <c r="C496" s="7"/>
      <c r="D496" s="7"/>
      <c r="E496" s="7"/>
      <c r="F496" s="7"/>
      <c r="G496" s="7"/>
      <c r="H496" s="7"/>
      <c r="I496" s="7"/>
      <c r="J496" s="8"/>
      <c r="K496" s="9"/>
    </row>
    <row r="497">
      <c r="A497" s="6"/>
      <c r="B497" s="7"/>
      <c r="C497" s="7"/>
      <c r="D497" s="7"/>
      <c r="E497" s="7"/>
      <c r="F497" s="7"/>
      <c r="G497" s="7"/>
      <c r="H497" s="7"/>
      <c r="I497" s="7"/>
      <c r="J497" s="8"/>
      <c r="K497" s="9"/>
    </row>
    <row r="498">
      <c r="A498" s="6"/>
      <c r="B498" s="7"/>
      <c r="C498" s="7"/>
      <c r="D498" s="7"/>
      <c r="E498" s="7"/>
      <c r="F498" s="7"/>
      <c r="G498" s="7"/>
      <c r="H498" s="7"/>
      <c r="I498" s="7"/>
      <c r="J498" s="8"/>
      <c r="K498" s="9"/>
    </row>
    <row r="499">
      <c r="A499" s="6"/>
      <c r="B499" s="7"/>
      <c r="C499" s="7"/>
      <c r="D499" s="7"/>
      <c r="E499" s="7"/>
      <c r="F499" s="7"/>
      <c r="G499" s="7"/>
      <c r="H499" s="7"/>
      <c r="I499" s="7"/>
      <c r="J499" s="8"/>
      <c r="K499" s="9"/>
    </row>
    <row r="500">
      <c r="A500" s="6"/>
      <c r="B500" s="7"/>
      <c r="C500" s="7"/>
      <c r="D500" s="7"/>
      <c r="E500" s="7"/>
      <c r="F500" s="7"/>
      <c r="G500" s="7"/>
      <c r="H500" s="7"/>
      <c r="I500" s="7"/>
      <c r="J500" s="8"/>
      <c r="K500" s="9"/>
    </row>
    <row r="501">
      <c r="A501" s="6"/>
      <c r="B501" s="7"/>
      <c r="C501" s="7"/>
      <c r="D501" s="7"/>
      <c r="E501" s="7"/>
      <c r="F501" s="7"/>
      <c r="G501" s="7"/>
      <c r="H501" s="7"/>
      <c r="I501" s="7"/>
      <c r="J501" s="8"/>
      <c r="K501" s="9"/>
    </row>
    <row r="502">
      <c r="A502" s="6"/>
      <c r="B502" s="7"/>
      <c r="C502" s="7"/>
      <c r="D502" s="7"/>
      <c r="E502" s="7"/>
      <c r="F502" s="7"/>
      <c r="G502" s="7"/>
      <c r="H502" s="7"/>
      <c r="I502" s="7"/>
      <c r="J502" s="8"/>
      <c r="K502" s="9"/>
    </row>
    <row r="503">
      <c r="A503" s="6"/>
      <c r="B503" s="7"/>
      <c r="C503" s="7"/>
      <c r="D503" s="7"/>
      <c r="E503" s="7"/>
      <c r="F503" s="7"/>
      <c r="G503" s="7"/>
      <c r="H503" s="7"/>
      <c r="I503" s="7"/>
      <c r="J503" s="8"/>
      <c r="K503" s="9"/>
    </row>
    <row r="504">
      <c r="A504" s="6"/>
      <c r="B504" s="7"/>
      <c r="C504" s="7"/>
      <c r="D504" s="7"/>
      <c r="E504" s="7"/>
      <c r="F504" s="7"/>
      <c r="G504" s="7"/>
      <c r="H504" s="7"/>
      <c r="I504" s="7"/>
      <c r="J504" s="8"/>
      <c r="K504" s="9"/>
    </row>
    <row r="505">
      <c r="A505" s="6"/>
      <c r="B505" s="7"/>
      <c r="C505" s="7"/>
      <c r="D505" s="7"/>
      <c r="E505" s="7"/>
      <c r="F505" s="7"/>
      <c r="G505" s="7"/>
      <c r="H505" s="7"/>
      <c r="I505" s="7"/>
      <c r="J505" s="8"/>
      <c r="K505" s="9"/>
    </row>
    <row r="506">
      <c r="A506" s="6"/>
      <c r="B506" s="7"/>
      <c r="C506" s="7"/>
      <c r="D506" s="7"/>
      <c r="E506" s="7"/>
      <c r="F506" s="7"/>
      <c r="G506" s="7"/>
      <c r="H506" s="7"/>
      <c r="I506" s="7"/>
      <c r="J506" s="8"/>
      <c r="K506" s="9"/>
    </row>
    <row r="507">
      <c r="A507" s="6"/>
      <c r="B507" s="7"/>
      <c r="C507" s="7"/>
      <c r="D507" s="7"/>
      <c r="E507" s="7"/>
      <c r="F507" s="7"/>
      <c r="G507" s="7"/>
      <c r="H507" s="7"/>
      <c r="I507" s="7"/>
      <c r="J507" s="8"/>
      <c r="K507" s="9"/>
    </row>
    <row r="508">
      <c r="A508" s="6"/>
      <c r="B508" s="7"/>
      <c r="C508" s="7"/>
      <c r="D508" s="7"/>
      <c r="E508" s="7"/>
      <c r="F508" s="7"/>
      <c r="G508" s="7"/>
      <c r="H508" s="7"/>
      <c r="I508" s="7"/>
      <c r="J508" s="8"/>
      <c r="K508" s="9"/>
    </row>
    <row r="509">
      <c r="A509" s="6"/>
      <c r="B509" s="7"/>
      <c r="C509" s="7"/>
      <c r="D509" s="7"/>
      <c r="E509" s="7"/>
      <c r="F509" s="7"/>
      <c r="G509" s="7"/>
      <c r="H509" s="7"/>
      <c r="I509" s="7"/>
      <c r="J509" s="8"/>
      <c r="K509" s="9"/>
    </row>
    <row r="510">
      <c r="A510" s="6"/>
      <c r="B510" s="7"/>
      <c r="C510" s="7"/>
      <c r="D510" s="7"/>
      <c r="E510" s="7"/>
      <c r="F510" s="7"/>
      <c r="G510" s="7"/>
      <c r="H510" s="7"/>
      <c r="I510" s="7"/>
      <c r="J510" s="8"/>
      <c r="K510" s="9"/>
    </row>
    <row r="511">
      <c r="A511" s="6"/>
      <c r="B511" s="7"/>
      <c r="C511" s="7"/>
      <c r="D511" s="7"/>
      <c r="E511" s="7"/>
      <c r="F511" s="7"/>
      <c r="G511" s="7"/>
      <c r="H511" s="7"/>
      <c r="I511" s="7"/>
      <c r="J511" s="8"/>
      <c r="K511" s="9"/>
    </row>
    <row r="512">
      <c r="A512" s="6"/>
      <c r="B512" s="7"/>
      <c r="C512" s="7"/>
      <c r="D512" s="7"/>
      <c r="E512" s="7"/>
      <c r="F512" s="7"/>
      <c r="G512" s="7"/>
      <c r="H512" s="7"/>
      <c r="I512" s="7"/>
      <c r="J512" s="8"/>
      <c r="K512" s="9"/>
    </row>
    <row r="513">
      <c r="A513" s="6"/>
      <c r="B513" s="7"/>
      <c r="C513" s="7"/>
      <c r="D513" s="7"/>
      <c r="E513" s="7"/>
      <c r="F513" s="7"/>
      <c r="G513" s="7"/>
      <c r="H513" s="7"/>
      <c r="I513" s="7"/>
      <c r="J513" s="8"/>
      <c r="K513" s="9"/>
    </row>
    <row r="514">
      <c r="A514" s="6"/>
      <c r="B514" s="7"/>
      <c r="C514" s="7"/>
      <c r="D514" s="7"/>
      <c r="E514" s="7"/>
      <c r="F514" s="7"/>
      <c r="G514" s="7"/>
      <c r="H514" s="7"/>
      <c r="I514" s="7"/>
      <c r="J514" s="8"/>
      <c r="K514" s="9"/>
    </row>
    <row r="515">
      <c r="A515" s="6"/>
      <c r="B515" s="7"/>
      <c r="C515" s="7"/>
      <c r="D515" s="7"/>
      <c r="E515" s="7"/>
      <c r="F515" s="7"/>
      <c r="G515" s="7"/>
      <c r="H515" s="7"/>
      <c r="I515" s="7"/>
      <c r="J515" s="8"/>
      <c r="K515" s="9"/>
    </row>
    <row r="516">
      <c r="A516" s="6"/>
      <c r="B516" s="7"/>
      <c r="C516" s="7"/>
      <c r="D516" s="7"/>
      <c r="E516" s="7"/>
      <c r="F516" s="7"/>
      <c r="G516" s="7"/>
      <c r="H516" s="7"/>
      <c r="I516" s="7"/>
      <c r="J516" s="8"/>
      <c r="K516" s="9"/>
    </row>
    <row r="517">
      <c r="A517" s="6"/>
      <c r="B517" s="7"/>
      <c r="C517" s="7"/>
      <c r="D517" s="7"/>
      <c r="E517" s="7"/>
      <c r="F517" s="7"/>
      <c r="G517" s="7"/>
      <c r="H517" s="7"/>
      <c r="I517" s="7"/>
      <c r="J517" s="8"/>
      <c r="K517" s="9"/>
    </row>
    <row r="518">
      <c r="A518" s="6"/>
      <c r="B518" s="7"/>
      <c r="C518" s="7"/>
      <c r="D518" s="7"/>
      <c r="E518" s="7"/>
      <c r="F518" s="7"/>
      <c r="G518" s="7"/>
      <c r="H518" s="7"/>
      <c r="I518" s="7"/>
      <c r="J518" s="8"/>
      <c r="K518" s="9"/>
    </row>
    <row r="519">
      <c r="A519" s="6"/>
      <c r="B519" s="7"/>
      <c r="C519" s="7"/>
      <c r="D519" s="7"/>
      <c r="E519" s="7"/>
      <c r="F519" s="7"/>
      <c r="G519" s="7"/>
      <c r="H519" s="7"/>
      <c r="I519" s="7"/>
      <c r="J519" s="8"/>
      <c r="K519" s="9"/>
    </row>
    <row r="520">
      <c r="A520" s="6"/>
      <c r="B520" s="7"/>
      <c r="C520" s="7"/>
      <c r="D520" s="7"/>
      <c r="E520" s="7"/>
      <c r="F520" s="7"/>
      <c r="G520" s="7"/>
      <c r="H520" s="7"/>
      <c r="I520" s="7"/>
      <c r="J520" s="8"/>
      <c r="K520" s="9"/>
    </row>
    <row r="521">
      <c r="A521" s="6"/>
      <c r="B521" s="7"/>
      <c r="C521" s="7"/>
      <c r="D521" s="7"/>
      <c r="E521" s="7"/>
      <c r="F521" s="7"/>
      <c r="G521" s="7"/>
      <c r="H521" s="7"/>
      <c r="I521" s="7"/>
      <c r="J521" s="8"/>
      <c r="K521" s="9"/>
    </row>
    <row r="522">
      <c r="A522" s="6"/>
      <c r="B522" s="7"/>
      <c r="C522" s="7"/>
      <c r="D522" s="7"/>
      <c r="E522" s="7"/>
      <c r="F522" s="7"/>
      <c r="G522" s="7"/>
      <c r="H522" s="7"/>
      <c r="I522" s="7"/>
      <c r="J522" s="8"/>
      <c r="K522" s="9"/>
    </row>
    <row r="523">
      <c r="A523" s="6"/>
      <c r="B523" s="7"/>
      <c r="C523" s="7"/>
      <c r="D523" s="7"/>
      <c r="E523" s="7"/>
      <c r="F523" s="7"/>
      <c r="G523" s="7"/>
      <c r="H523" s="7"/>
      <c r="I523" s="7"/>
      <c r="J523" s="8"/>
      <c r="K523" s="9"/>
    </row>
    <row r="524">
      <c r="A524" s="6"/>
      <c r="B524" s="7"/>
      <c r="C524" s="7"/>
      <c r="D524" s="7"/>
      <c r="E524" s="7"/>
      <c r="F524" s="7"/>
      <c r="G524" s="7"/>
      <c r="H524" s="7"/>
      <c r="I524" s="7"/>
      <c r="J524" s="8"/>
      <c r="K524" s="9"/>
    </row>
    <row r="525">
      <c r="A525" s="6"/>
      <c r="B525" s="7"/>
      <c r="C525" s="7"/>
      <c r="D525" s="7"/>
      <c r="E525" s="7"/>
      <c r="F525" s="7"/>
      <c r="G525" s="7"/>
      <c r="H525" s="7"/>
      <c r="I525" s="7"/>
      <c r="J525" s="8"/>
      <c r="K525" s="9"/>
    </row>
    <row r="526">
      <c r="A526" s="6"/>
      <c r="B526" s="7"/>
      <c r="C526" s="7"/>
      <c r="D526" s="7"/>
      <c r="E526" s="7"/>
      <c r="F526" s="7"/>
      <c r="G526" s="7"/>
      <c r="H526" s="7"/>
      <c r="I526" s="7"/>
      <c r="J526" s="8"/>
      <c r="K526" s="9"/>
    </row>
    <row r="527">
      <c r="A527" s="6"/>
      <c r="B527" s="7"/>
      <c r="C527" s="7"/>
      <c r="D527" s="7"/>
      <c r="E527" s="7"/>
      <c r="F527" s="7"/>
      <c r="G527" s="7"/>
      <c r="H527" s="7"/>
      <c r="I527" s="7"/>
      <c r="J527" s="8"/>
      <c r="K527" s="9"/>
    </row>
    <row r="528">
      <c r="A528" s="6"/>
      <c r="B528" s="7"/>
      <c r="C528" s="7"/>
      <c r="D528" s="7"/>
      <c r="E528" s="7"/>
      <c r="F528" s="7"/>
      <c r="G528" s="7"/>
      <c r="H528" s="7"/>
      <c r="I528" s="7"/>
      <c r="J528" s="8"/>
      <c r="K528" s="9"/>
    </row>
    <row r="529">
      <c r="A529" s="6"/>
      <c r="B529" s="7"/>
      <c r="C529" s="7"/>
      <c r="D529" s="7"/>
      <c r="E529" s="7"/>
      <c r="F529" s="7"/>
      <c r="G529" s="7"/>
      <c r="H529" s="7"/>
      <c r="I529" s="7"/>
      <c r="J529" s="8"/>
      <c r="K529" s="9"/>
    </row>
    <row r="530">
      <c r="A530" s="6"/>
      <c r="B530" s="7"/>
      <c r="C530" s="7"/>
      <c r="D530" s="7"/>
      <c r="E530" s="7"/>
      <c r="F530" s="7"/>
      <c r="G530" s="7"/>
      <c r="H530" s="7"/>
      <c r="I530" s="7"/>
      <c r="J530" s="8"/>
      <c r="K530" s="9"/>
    </row>
    <row r="531">
      <c r="A531" s="6"/>
      <c r="B531" s="7"/>
      <c r="C531" s="7"/>
      <c r="D531" s="7"/>
      <c r="E531" s="7"/>
      <c r="F531" s="7"/>
      <c r="G531" s="7"/>
      <c r="H531" s="7"/>
      <c r="I531" s="7"/>
      <c r="J531" s="8"/>
      <c r="K531" s="9"/>
    </row>
    <row r="532">
      <c r="A532" s="6"/>
      <c r="B532" s="7"/>
      <c r="C532" s="7"/>
      <c r="D532" s="7"/>
      <c r="E532" s="7"/>
      <c r="F532" s="7"/>
      <c r="G532" s="7"/>
      <c r="H532" s="7"/>
      <c r="I532" s="7"/>
      <c r="J532" s="8"/>
      <c r="K532" s="9"/>
    </row>
    <row r="533">
      <c r="A533" s="6"/>
      <c r="B533" s="7"/>
      <c r="C533" s="7"/>
      <c r="D533" s="7"/>
      <c r="E533" s="7"/>
      <c r="F533" s="7"/>
      <c r="G533" s="7"/>
      <c r="H533" s="7"/>
      <c r="I533" s="7"/>
      <c r="J533" s="8"/>
      <c r="K533" s="9"/>
    </row>
    <row r="534">
      <c r="A534" s="6"/>
      <c r="B534" s="7"/>
      <c r="C534" s="7"/>
      <c r="D534" s="7"/>
      <c r="E534" s="7"/>
      <c r="F534" s="7"/>
      <c r="G534" s="7"/>
      <c r="H534" s="7"/>
      <c r="I534" s="7"/>
      <c r="J534" s="8"/>
      <c r="K534" s="9"/>
    </row>
    <row r="535">
      <c r="A535" s="6"/>
      <c r="B535" s="7"/>
      <c r="C535" s="7"/>
      <c r="D535" s="7"/>
      <c r="E535" s="7"/>
      <c r="F535" s="7"/>
      <c r="G535" s="7"/>
      <c r="H535" s="7"/>
      <c r="I535" s="7"/>
      <c r="J535" s="8"/>
      <c r="K535" s="9"/>
    </row>
    <row r="536">
      <c r="A536" s="6"/>
      <c r="B536" s="7"/>
      <c r="C536" s="7"/>
      <c r="D536" s="7"/>
      <c r="E536" s="7"/>
      <c r="F536" s="7"/>
      <c r="G536" s="7"/>
      <c r="H536" s="7"/>
      <c r="I536" s="7"/>
      <c r="J536" s="8"/>
      <c r="K536" s="9"/>
    </row>
    <row r="537">
      <c r="A537" s="6"/>
      <c r="B537" s="7"/>
      <c r="C537" s="7"/>
      <c r="D537" s="7"/>
      <c r="E537" s="7"/>
      <c r="F537" s="7"/>
      <c r="G537" s="7"/>
      <c r="H537" s="7"/>
      <c r="I537" s="7"/>
      <c r="J537" s="8"/>
      <c r="K537" s="9"/>
    </row>
    <row r="538">
      <c r="A538" s="6"/>
      <c r="B538" s="7"/>
      <c r="C538" s="7"/>
      <c r="D538" s="7"/>
      <c r="E538" s="7"/>
      <c r="F538" s="7"/>
      <c r="G538" s="7"/>
      <c r="H538" s="7"/>
      <c r="I538" s="7"/>
      <c r="J538" s="8"/>
      <c r="K538" s="9"/>
    </row>
    <row r="539">
      <c r="A539" s="6"/>
      <c r="B539" s="7"/>
      <c r="C539" s="7"/>
      <c r="D539" s="7"/>
      <c r="E539" s="7"/>
      <c r="F539" s="7"/>
      <c r="G539" s="7"/>
      <c r="H539" s="7"/>
      <c r="I539" s="7"/>
      <c r="J539" s="8"/>
      <c r="K539" s="9"/>
    </row>
    <row r="540">
      <c r="A540" s="6"/>
      <c r="B540" s="7"/>
      <c r="C540" s="7"/>
      <c r="D540" s="7"/>
      <c r="E540" s="7"/>
      <c r="F540" s="7"/>
      <c r="G540" s="7"/>
      <c r="H540" s="7"/>
      <c r="I540" s="7"/>
      <c r="J540" s="8"/>
      <c r="K540" s="9"/>
    </row>
    <row r="541">
      <c r="A541" s="6"/>
      <c r="B541" s="7"/>
      <c r="C541" s="7"/>
      <c r="D541" s="7"/>
      <c r="E541" s="7"/>
      <c r="F541" s="7"/>
      <c r="G541" s="7"/>
      <c r="H541" s="7"/>
      <c r="I541" s="7"/>
      <c r="J541" s="8"/>
      <c r="K541" s="9"/>
    </row>
    <row r="542">
      <c r="A542" s="6"/>
      <c r="B542" s="7"/>
      <c r="C542" s="7"/>
      <c r="D542" s="7"/>
      <c r="E542" s="7"/>
      <c r="F542" s="7"/>
      <c r="G542" s="7"/>
      <c r="H542" s="7"/>
      <c r="I542" s="7"/>
      <c r="J542" s="8"/>
      <c r="K542" s="9"/>
    </row>
    <row r="543">
      <c r="A543" s="6"/>
      <c r="B543" s="7"/>
      <c r="C543" s="7"/>
      <c r="D543" s="7"/>
      <c r="E543" s="7"/>
      <c r="F543" s="7"/>
      <c r="G543" s="7"/>
      <c r="H543" s="7"/>
      <c r="I543" s="7"/>
      <c r="J543" s="8"/>
      <c r="K543" s="9"/>
    </row>
    <row r="544">
      <c r="A544" s="6"/>
      <c r="B544" s="7"/>
      <c r="C544" s="7"/>
      <c r="D544" s="7"/>
      <c r="E544" s="7"/>
      <c r="F544" s="7"/>
      <c r="G544" s="7"/>
      <c r="H544" s="7"/>
      <c r="I544" s="7"/>
      <c r="J544" s="8"/>
      <c r="K544" s="9"/>
    </row>
    <row r="545">
      <c r="A545" s="6"/>
      <c r="B545" s="7"/>
      <c r="C545" s="7"/>
      <c r="D545" s="7"/>
      <c r="E545" s="7"/>
      <c r="F545" s="7"/>
      <c r="G545" s="7"/>
      <c r="H545" s="7"/>
      <c r="I545" s="7"/>
      <c r="J545" s="8"/>
      <c r="K545" s="9"/>
    </row>
    <row r="546">
      <c r="A546" s="6"/>
      <c r="B546" s="7"/>
      <c r="C546" s="7"/>
      <c r="D546" s="7"/>
      <c r="E546" s="7"/>
      <c r="F546" s="7"/>
      <c r="G546" s="7"/>
      <c r="H546" s="7"/>
      <c r="I546" s="7"/>
      <c r="J546" s="8"/>
      <c r="K546" s="9"/>
    </row>
    <row r="547">
      <c r="A547" s="6"/>
      <c r="B547" s="7"/>
      <c r="C547" s="7"/>
      <c r="D547" s="7"/>
      <c r="E547" s="7"/>
      <c r="F547" s="7"/>
      <c r="G547" s="7"/>
      <c r="H547" s="7"/>
      <c r="I547" s="7"/>
      <c r="J547" s="8"/>
      <c r="K547" s="9"/>
    </row>
    <row r="548">
      <c r="A548" s="6"/>
      <c r="B548" s="7"/>
      <c r="C548" s="7"/>
      <c r="D548" s="7"/>
      <c r="E548" s="7"/>
      <c r="F548" s="7"/>
      <c r="G548" s="7"/>
      <c r="H548" s="7"/>
      <c r="I548" s="7"/>
      <c r="J548" s="8"/>
      <c r="K548" s="9"/>
    </row>
    <row r="549">
      <c r="A549" s="6"/>
      <c r="B549" s="7"/>
      <c r="C549" s="7"/>
      <c r="D549" s="7"/>
      <c r="E549" s="7"/>
      <c r="F549" s="7"/>
      <c r="G549" s="7"/>
      <c r="H549" s="7"/>
      <c r="I549" s="7"/>
      <c r="J549" s="8"/>
      <c r="K549" s="9"/>
    </row>
    <row r="550">
      <c r="A550" s="6"/>
      <c r="B550" s="7"/>
      <c r="C550" s="7"/>
      <c r="D550" s="7"/>
      <c r="E550" s="7"/>
      <c r="F550" s="7"/>
      <c r="G550" s="7"/>
      <c r="H550" s="7"/>
      <c r="I550" s="7"/>
      <c r="J550" s="8"/>
      <c r="K550" s="9"/>
    </row>
    <row r="551">
      <c r="A551" s="6"/>
      <c r="B551" s="7"/>
      <c r="C551" s="7"/>
      <c r="D551" s="7"/>
      <c r="E551" s="7"/>
      <c r="F551" s="7"/>
      <c r="G551" s="7"/>
      <c r="H551" s="7"/>
      <c r="I551" s="7"/>
      <c r="J551" s="8"/>
      <c r="K551" s="9"/>
    </row>
    <row r="552">
      <c r="A552" s="6"/>
      <c r="B552" s="7"/>
      <c r="C552" s="7"/>
      <c r="D552" s="7"/>
      <c r="E552" s="7"/>
      <c r="F552" s="7"/>
      <c r="G552" s="7"/>
      <c r="H552" s="7"/>
      <c r="I552" s="7"/>
      <c r="J552" s="8"/>
      <c r="K552" s="9"/>
    </row>
    <row r="553">
      <c r="A553" s="6"/>
      <c r="B553" s="7"/>
      <c r="C553" s="7"/>
      <c r="D553" s="7"/>
      <c r="E553" s="7"/>
      <c r="F553" s="7"/>
      <c r="G553" s="7"/>
      <c r="H553" s="7"/>
      <c r="I553" s="7"/>
      <c r="J553" s="8"/>
      <c r="K553" s="9"/>
    </row>
    <row r="554">
      <c r="A554" s="6"/>
      <c r="B554" s="7"/>
      <c r="C554" s="7"/>
      <c r="D554" s="7"/>
      <c r="E554" s="7"/>
      <c r="F554" s="7"/>
      <c r="G554" s="7"/>
      <c r="H554" s="7"/>
      <c r="I554" s="7"/>
      <c r="J554" s="8"/>
      <c r="K554" s="9"/>
    </row>
    <row r="555">
      <c r="A555" s="6"/>
      <c r="B555" s="7"/>
      <c r="C555" s="7"/>
      <c r="D555" s="7"/>
      <c r="E555" s="7"/>
      <c r="F555" s="7"/>
      <c r="G555" s="7"/>
      <c r="H555" s="7"/>
      <c r="I555" s="7"/>
      <c r="J555" s="8"/>
      <c r="K555" s="9"/>
    </row>
    <row r="556">
      <c r="A556" s="6"/>
      <c r="B556" s="7"/>
      <c r="C556" s="7"/>
      <c r="D556" s="7"/>
      <c r="E556" s="7"/>
      <c r="F556" s="7"/>
      <c r="G556" s="7"/>
      <c r="H556" s="7"/>
      <c r="I556" s="7"/>
      <c r="J556" s="8"/>
      <c r="K556" s="9"/>
    </row>
    <row r="557">
      <c r="A557" s="6"/>
      <c r="B557" s="7"/>
      <c r="C557" s="7"/>
      <c r="D557" s="7"/>
      <c r="E557" s="7"/>
      <c r="F557" s="7"/>
      <c r="G557" s="7"/>
      <c r="H557" s="7"/>
      <c r="I557" s="7"/>
      <c r="J557" s="8"/>
      <c r="K557" s="9"/>
    </row>
    <row r="558">
      <c r="A558" s="6"/>
      <c r="B558" s="7"/>
      <c r="C558" s="7"/>
      <c r="D558" s="7"/>
      <c r="E558" s="7"/>
      <c r="F558" s="7"/>
      <c r="G558" s="7"/>
      <c r="H558" s="7"/>
      <c r="I558" s="7"/>
      <c r="J558" s="8"/>
      <c r="K558" s="9"/>
    </row>
    <row r="559">
      <c r="A559" s="6"/>
      <c r="B559" s="7"/>
      <c r="C559" s="7"/>
      <c r="D559" s="7"/>
      <c r="E559" s="7"/>
      <c r="F559" s="7"/>
      <c r="G559" s="7"/>
      <c r="H559" s="7"/>
      <c r="I559" s="7"/>
      <c r="J559" s="8"/>
      <c r="K559" s="9"/>
    </row>
    <row r="560">
      <c r="A560" s="6"/>
      <c r="B560" s="7"/>
      <c r="C560" s="7"/>
      <c r="D560" s="7"/>
      <c r="E560" s="7"/>
      <c r="F560" s="7"/>
      <c r="G560" s="7"/>
      <c r="H560" s="7"/>
      <c r="I560" s="7"/>
      <c r="J560" s="8"/>
      <c r="K560" s="9"/>
    </row>
    <row r="561">
      <c r="A561" s="6"/>
      <c r="B561" s="7"/>
      <c r="C561" s="7"/>
      <c r="D561" s="7"/>
      <c r="E561" s="7"/>
      <c r="F561" s="7"/>
      <c r="G561" s="7"/>
      <c r="H561" s="7"/>
      <c r="I561" s="7"/>
      <c r="J561" s="8"/>
      <c r="K561" s="9"/>
    </row>
    <row r="562">
      <c r="A562" s="6"/>
      <c r="B562" s="7"/>
      <c r="C562" s="7"/>
      <c r="D562" s="7"/>
      <c r="E562" s="7"/>
      <c r="F562" s="7"/>
      <c r="G562" s="7"/>
      <c r="H562" s="7"/>
      <c r="I562" s="7"/>
      <c r="J562" s="8"/>
      <c r="K562" s="9"/>
    </row>
    <row r="563">
      <c r="A563" s="6"/>
      <c r="B563" s="7"/>
      <c r="C563" s="7"/>
      <c r="D563" s="7"/>
      <c r="E563" s="7"/>
      <c r="F563" s="7"/>
      <c r="G563" s="7"/>
      <c r="H563" s="7"/>
      <c r="I563" s="7"/>
      <c r="J563" s="8"/>
      <c r="K563" s="9"/>
    </row>
    <row r="564">
      <c r="A564" s="6"/>
      <c r="B564" s="7"/>
      <c r="C564" s="7"/>
      <c r="D564" s="7"/>
      <c r="E564" s="7"/>
      <c r="F564" s="7"/>
      <c r="G564" s="7"/>
      <c r="H564" s="7"/>
      <c r="I564" s="7"/>
      <c r="J564" s="8"/>
      <c r="K564" s="9"/>
    </row>
    <row r="565">
      <c r="A565" s="6"/>
      <c r="B565" s="7"/>
      <c r="C565" s="7"/>
      <c r="D565" s="7"/>
      <c r="E565" s="7"/>
      <c r="F565" s="7"/>
      <c r="G565" s="7"/>
      <c r="H565" s="7"/>
      <c r="I565" s="7"/>
      <c r="J565" s="8"/>
      <c r="K565" s="9"/>
    </row>
    <row r="566">
      <c r="A566" s="6"/>
      <c r="B566" s="7"/>
      <c r="C566" s="7"/>
      <c r="D566" s="7"/>
      <c r="E566" s="7"/>
      <c r="F566" s="7"/>
      <c r="G566" s="7"/>
      <c r="H566" s="7"/>
      <c r="I566" s="7"/>
      <c r="J566" s="8"/>
      <c r="K566" s="9"/>
    </row>
    <row r="567">
      <c r="A567" s="6"/>
      <c r="B567" s="7"/>
      <c r="C567" s="7"/>
      <c r="D567" s="7"/>
      <c r="E567" s="7"/>
      <c r="F567" s="7"/>
      <c r="G567" s="7"/>
      <c r="H567" s="7"/>
      <c r="I567" s="7"/>
      <c r="J567" s="8"/>
      <c r="K567" s="9"/>
    </row>
    <row r="568">
      <c r="A568" s="6"/>
      <c r="B568" s="7"/>
      <c r="C568" s="7"/>
      <c r="D568" s="7"/>
      <c r="E568" s="7"/>
      <c r="F568" s="7"/>
      <c r="G568" s="7"/>
      <c r="H568" s="7"/>
      <c r="I568" s="7"/>
      <c r="J568" s="8"/>
      <c r="K568" s="9"/>
    </row>
    <row r="569">
      <c r="A569" s="6"/>
      <c r="B569" s="7"/>
      <c r="C569" s="7"/>
      <c r="D569" s="7"/>
      <c r="E569" s="7"/>
      <c r="F569" s="7"/>
      <c r="G569" s="7"/>
      <c r="H569" s="7"/>
      <c r="I569" s="7"/>
      <c r="J569" s="8"/>
      <c r="K569" s="9"/>
    </row>
    <row r="570">
      <c r="A570" s="6"/>
      <c r="B570" s="7"/>
      <c r="C570" s="7"/>
      <c r="D570" s="7"/>
      <c r="E570" s="7"/>
      <c r="F570" s="7"/>
      <c r="G570" s="7"/>
      <c r="H570" s="7"/>
      <c r="I570" s="7"/>
      <c r="J570" s="8"/>
      <c r="K570" s="9"/>
    </row>
    <row r="571">
      <c r="A571" s="6"/>
      <c r="B571" s="7"/>
      <c r="C571" s="7"/>
      <c r="D571" s="7"/>
      <c r="E571" s="7"/>
      <c r="F571" s="7"/>
      <c r="G571" s="7"/>
      <c r="H571" s="7"/>
      <c r="I571" s="7"/>
      <c r="J571" s="8"/>
      <c r="K571" s="9"/>
    </row>
    <row r="572">
      <c r="A572" s="6"/>
      <c r="B572" s="7"/>
      <c r="C572" s="7"/>
      <c r="D572" s="7"/>
      <c r="E572" s="7"/>
      <c r="F572" s="7"/>
      <c r="G572" s="7"/>
      <c r="H572" s="7"/>
      <c r="I572" s="7"/>
      <c r="J572" s="8"/>
      <c r="K572" s="9"/>
    </row>
    <row r="573">
      <c r="A573" s="6"/>
      <c r="B573" s="7"/>
      <c r="C573" s="7"/>
      <c r="D573" s="7"/>
      <c r="E573" s="7"/>
      <c r="F573" s="7"/>
      <c r="G573" s="7"/>
      <c r="H573" s="7"/>
      <c r="I573" s="7"/>
      <c r="J573" s="8"/>
      <c r="K573" s="9"/>
    </row>
    <row r="574">
      <c r="A574" s="6"/>
      <c r="B574" s="7"/>
      <c r="C574" s="7"/>
      <c r="D574" s="7"/>
      <c r="E574" s="7"/>
      <c r="F574" s="7"/>
      <c r="G574" s="7"/>
      <c r="H574" s="7"/>
      <c r="I574" s="7"/>
      <c r="J574" s="8"/>
      <c r="K574" s="9"/>
    </row>
    <row r="575">
      <c r="A575" s="6"/>
      <c r="B575" s="7"/>
      <c r="C575" s="7"/>
      <c r="D575" s="7"/>
      <c r="E575" s="7"/>
      <c r="F575" s="7"/>
      <c r="G575" s="7"/>
      <c r="H575" s="7"/>
      <c r="I575" s="7"/>
      <c r="J575" s="8"/>
      <c r="K575" s="9"/>
    </row>
    <row r="576">
      <c r="A576" s="6"/>
      <c r="B576" s="7"/>
      <c r="C576" s="7"/>
      <c r="D576" s="7"/>
      <c r="E576" s="7"/>
      <c r="F576" s="7"/>
      <c r="G576" s="7"/>
      <c r="H576" s="7"/>
      <c r="I576" s="7"/>
      <c r="J576" s="8"/>
      <c r="K576" s="9"/>
    </row>
    <row r="577">
      <c r="A577" s="6"/>
      <c r="B577" s="7"/>
      <c r="C577" s="7"/>
      <c r="D577" s="7"/>
      <c r="E577" s="7"/>
      <c r="F577" s="7"/>
      <c r="G577" s="7"/>
      <c r="H577" s="7"/>
      <c r="I577" s="7"/>
      <c r="J577" s="8"/>
      <c r="K577" s="9"/>
    </row>
    <row r="578">
      <c r="A578" s="6"/>
      <c r="B578" s="7"/>
      <c r="C578" s="7"/>
      <c r="D578" s="7"/>
      <c r="E578" s="7"/>
      <c r="F578" s="7"/>
      <c r="G578" s="7"/>
      <c r="H578" s="7"/>
      <c r="I578" s="7"/>
      <c r="J578" s="8"/>
      <c r="K578" s="9"/>
    </row>
    <row r="579">
      <c r="A579" s="6"/>
      <c r="B579" s="7"/>
      <c r="C579" s="7"/>
      <c r="D579" s="7"/>
      <c r="E579" s="7"/>
      <c r="F579" s="7"/>
      <c r="G579" s="7"/>
      <c r="H579" s="7"/>
      <c r="I579" s="7"/>
      <c r="J579" s="8"/>
      <c r="K579" s="9"/>
    </row>
    <row r="580">
      <c r="A580" s="6"/>
      <c r="B580" s="7"/>
      <c r="C580" s="7"/>
      <c r="D580" s="7"/>
      <c r="E580" s="7"/>
      <c r="F580" s="7"/>
      <c r="G580" s="7"/>
      <c r="H580" s="7"/>
      <c r="I580" s="7"/>
      <c r="J580" s="8"/>
      <c r="K580" s="9"/>
    </row>
    <row r="581">
      <c r="A581" s="6"/>
      <c r="B581" s="7"/>
      <c r="C581" s="7"/>
      <c r="D581" s="7"/>
      <c r="E581" s="7"/>
      <c r="F581" s="7"/>
      <c r="G581" s="7"/>
      <c r="H581" s="7"/>
      <c r="I581" s="7"/>
      <c r="J581" s="8"/>
      <c r="K581" s="9"/>
    </row>
    <row r="582">
      <c r="A582" s="6"/>
      <c r="B582" s="7"/>
      <c r="C582" s="7"/>
      <c r="D582" s="7"/>
      <c r="E582" s="7"/>
      <c r="F582" s="7"/>
      <c r="G582" s="7"/>
      <c r="H582" s="7"/>
      <c r="I582" s="7"/>
      <c r="J582" s="8"/>
      <c r="K582" s="9"/>
    </row>
    <row r="583">
      <c r="A583" s="6"/>
      <c r="B583" s="7"/>
      <c r="C583" s="7"/>
      <c r="D583" s="7"/>
      <c r="E583" s="7"/>
      <c r="F583" s="7"/>
      <c r="G583" s="7"/>
      <c r="H583" s="7"/>
      <c r="I583" s="7"/>
      <c r="J583" s="8"/>
      <c r="K583" s="9"/>
    </row>
    <row r="584">
      <c r="A584" s="6"/>
      <c r="B584" s="7"/>
      <c r="C584" s="7"/>
      <c r="D584" s="7"/>
      <c r="E584" s="7"/>
      <c r="F584" s="7"/>
      <c r="G584" s="7"/>
      <c r="H584" s="7"/>
      <c r="I584" s="7"/>
      <c r="J584" s="8"/>
      <c r="K584" s="9"/>
    </row>
    <row r="585">
      <c r="A585" s="6"/>
      <c r="B585" s="7"/>
      <c r="C585" s="7"/>
      <c r="D585" s="7"/>
      <c r="E585" s="7"/>
      <c r="F585" s="7"/>
      <c r="G585" s="7"/>
      <c r="H585" s="7"/>
      <c r="I585" s="7"/>
      <c r="J585" s="8"/>
      <c r="K585" s="9"/>
    </row>
    <row r="586">
      <c r="A586" s="6"/>
      <c r="B586" s="7"/>
      <c r="C586" s="7"/>
      <c r="D586" s="7"/>
      <c r="E586" s="7"/>
      <c r="F586" s="7"/>
      <c r="G586" s="7"/>
      <c r="H586" s="7"/>
      <c r="I586" s="7"/>
      <c r="J586" s="8"/>
      <c r="K586" s="9"/>
    </row>
    <row r="587">
      <c r="A587" s="6"/>
      <c r="B587" s="7"/>
      <c r="C587" s="7"/>
      <c r="D587" s="7"/>
      <c r="E587" s="7"/>
      <c r="F587" s="7"/>
      <c r="G587" s="7"/>
      <c r="H587" s="7"/>
      <c r="I587" s="7"/>
      <c r="J587" s="8"/>
      <c r="K587" s="9"/>
    </row>
    <row r="588">
      <c r="A588" s="6"/>
      <c r="B588" s="7"/>
      <c r="C588" s="7"/>
      <c r="D588" s="7"/>
      <c r="E588" s="7"/>
      <c r="F588" s="7"/>
      <c r="G588" s="7"/>
      <c r="H588" s="7"/>
      <c r="I588" s="7"/>
      <c r="J588" s="8"/>
      <c r="K588" s="9"/>
    </row>
    <row r="589">
      <c r="A589" s="6"/>
      <c r="B589" s="7"/>
      <c r="C589" s="7"/>
      <c r="D589" s="7"/>
      <c r="E589" s="7"/>
      <c r="F589" s="7"/>
      <c r="G589" s="7"/>
      <c r="H589" s="7"/>
      <c r="I589" s="7"/>
      <c r="J589" s="8"/>
      <c r="K589" s="9"/>
    </row>
    <row r="590">
      <c r="A590" s="6"/>
      <c r="B590" s="7"/>
      <c r="C590" s="7"/>
      <c r="D590" s="7"/>
      <c r="E590" s="7"/>
      <c r="F590" s="7"/>
      <c r="G590" s="7"/>
      <c r="H590" s="7"/>
      <c r="I590" s="7"/>
      <c r="J590" s="8"/>
      <c r="K590" s="9"/>
    </row>
    <row r="591">
      <c r="A591" s="6"/>
      <c r="B591" s="7"/>
      <c r="C591" s="7"/>
      <c r="D591" s="7"/>
      <c r="E591" s="7"/>
      <c r="F591" s="7"/>
      <c r="G591" s="7"/>
      <c r="H591" s="7"/>
      <c r="I591" s="7"/>
      <c r="J591" s="8"/>
      <c r="K591" s="9"/>
    </row>
    <row r="592">
      <c r="A592" s="6"/>
      <c r="B592" s="7"/>
      <c r="C592" s="7"/>
      <c r="D592" s="7"/>
      <c r="E592" s="7"/>
      <c r="F592" s="7"/>
      <c r="G592" s="7"/>
      <c r="H592" s="7"/>
      <c r="I592" s="7"/>
      <c r="J592" s="8"/>
      <c r="K592" s="9"/>
    </row>
    <row r="593">
      <c r="A593" s="6"/>
      <c r="B593" s="7"/>
      <c r="C593" s="7"/>
      <c r="D593" s="7"/>
      <c r="E593" s="7"/>
      <c r="F593" s="7"/>
      <c r="G593" s="7"/>
      <c r="H593" s="7"/>
      <c r="I593" s="7"/>
      <c r="J593" s="8"/>
      <c r="K593" s="9"/>
    </row>
    <row r="594">
      <c r="A594" s="6"/>
      <c r="B594" s="7"/>
      <c r="C594" s="7"/>
      <c r="D594" s="7"/>
      <c r="E594" s="7"/>
      <c r="F594" s="7"/>
      <c r="G594" s="7"/>
      <c r="H594" s="7"/>
      <c r="I594" s="7"/>
      <c r="J594" s="8"/>
      <c r="K594" s="9"/>
    </row>
    <row r="595">
      <c r="A595" s="6"/>
      <c r="B595" s="7"/>
      <c r="C595" s="7"/>
      <c r="D595" s="7"/>
      <c r="E595" s="7"/>
      <c r="F595" s="7"/>
      <c r="G595" s="7"/>
      <c r="H595" s="7"/>
      <c r="I595" s="7"/>
      <c r="J595" s="8"/>
      <c r="K595" s="9"/>
    </row>
    <row r="596">
      <c r="A596" s="6"/>
      <c r="B596" s="7"/>
      <c r="C596" s="7"/>
      <c r="D596" s="7"/>
      <c r="E596" s="7"/>
      <c r="F596" s="7"/>
      <c r="G596" s="7"/>
      <c r="H596" s="7"/>
      <c r="I596" s="7"/>
      <c r="J596" s="8"/>
      <c r="K596" s="9"/>
    </row>
    <row r="597">
      <c r="A597" s="6"/>
      <c r="B597" s="7"/>
      <c r="C597" s="7"/>
      <c r="D597" s="7"/>
      <c r="E597" s="7"/>
      <c r="F597" s="7"/>
      <c r="G597" s="7"/>
      <c r="H597" s="7"/>
      <c r="I597" s="7"/>
      <c r="J597" s="8"/>
      <c r="K597" s="9"/>
    </row>
    <row r="598">
      <c r="A598" s="6"/>
      <c r="B598" s="7"/>
      <c r="C598" s="7"/>
      <c r="D598" s="7"/>
      <c r="E598" s="7"/>
      <c r="F598" s="7"/>
      <c r="G598" s="7"/>
      <c r="H598" s="7"/>
      <c r="I598" s="7"/>
      <c r="J598" s="8"/>
      <c r="K598" s="9"/>
    </row>
    <row r="599">
      <c r="A599" s="6"/>
      <c r="B599" s="7"/>
      <c r="C599" s="7"/>
      <c r="D599" s="7"/>
      <c r="E599" s="7"/>
      <c r="F599" s="7"/>
      <c r="G599" s="7"/>
      <c r="H599" s="7"/>
      <c r="I599" s="7"/>
      <c r="J599" s="8"/>
      <c r="K599" s="9"/>
    </row>
    <row r="600">
      <c r="A600" s="6"/>
      <c r="B600" s="7"/>
      <c r="C600" s="7"/>
      <c r="D600" s="7"/>
      <c r="E600" s="7"/>
      <c r="F600" s="7"/>
      <c r="G600" s="7"/>
      <c r="H600" s="7"/>
      <c r="I600" s="7"/>
      <c r="J600" s="8"/>
      <c r="K600" s="9"/>
    </row>
    <row r="601">
      <c r="A601" s="6"/>
      <c r="B601" s="7"/>
      <c r="C601" s="7"/>
      <c r="D601" s="7"/>
      <c r="E601" s="7"/>
      <c r="F601" s="7"/>
      <c r="G601" s="7"/>
      <c r="H601" s="7"/>
      <c r="I601" s="7"/>
      <c r="J601" s="8"/>
      <c r="K601" s="9"/>
    </row>
    <row r="602">
      <c r="A602" s="6"/>
      <c r="B602" s="7"/>
      <c r="C602" s="7"/>
      <c r="D602" s="7"/>
      <c r="E602" s="7"/>
      <c r="F602" s="7"/>
      <c r="G602" s="7"/>
      <c r="H602" s="7"/>
      <c r="I602" s="7"/>
      <c r="J602" s="8"/>
      <c r="K602" s="9"/>
    </row>
    <row r="603">
      <c r="A603" s="6"/>
      <c r="B603" s="7"/>
      <c r="C603" s="7"/>
      <c r="D603" s="7"/>
      <c r="E603" s="7"/>
      <c r="F603" s="7"/>
      <c r="G603" s="7"/>
      <c r="H603" s="7"/>
      <c r="I603" s="7"/>
      <c r="J603" s="8"/>
      <c r="K603" s="9"/>
    </row>
    <row r="604">
      <c r="A604" s="6"/>
      <c r="B604" s="7"/>
      <c r="C604" s="7"/>
      <c r="D604" s="7"/>
      <c r="E604" s="7"/>
      <c r="F604" s="7"/>
      <c r="G604" s="7"/>
      <c r="H604" s="7"/>
      <c r="I604" s="7"/>
      <c r="J604" s="8"/>
      <c r="K604" s="9"/>
    </row>
    <row r="605">
      <c r="A605" s="6"/>
      <c r="B605" s="7"/>
      <c r="C605" s="7"/>
      <c r="D605" s="7"/>
      <c r="E605" s="7"/>
      <c r="F605" s="7"/>
      <c r="G605" s="7"/>
      <c r="H605" s="7"/>
      <c r="I605" s="7"/>
      <c r="J605" s="8"/>
      <c r="K605" s="9"/>
    </row>
    <row r="606">
      <c r="A606" s="6"/>
      <c r="B606" s="7"/>
      <c r="C606" s="7"/>
      <c r="D606" s="7"/>
      <c r="E606" s="7"/>
      <c r="F606" s="7"/>
      <c r="G606" s="7"/>
      <c r="H606" s="7"/>
      <c r="I606" s="7"/>
      <c r="J606" s="8"/>
      <c r="K606" s="9"/>
    </row>
    <row r="607">
      <c r="A607" s="6"/>
      <c r="B607" s="7"/>
      <c r="C607" s="7"/>
      <c r="D607" s="7"/>
      <c r="E607" s="7"/>
      <c r="F607" s="7"/>
      <c r="G607" s="7"/>
      <c r="H607" s="7"/>
      <c r="I607" s="7"/>
      <c r="J607" s="8"/>
      <c r="K607" s="9"/>
    </row>
    <row r="608">
      <c r="A608" s="6"/>
      <c r="B608" s="7"/>
      <c r="C608" s="7"/>
      <c r="D608" s="7"/>
      <c r="E608" s="7"/>
      <c r="F608" s="7"/>
      <c r="G608" s="7"/>
      <c r="H608" s="7"/>
      <c r="I608" s="7"/>
      <c r="J608" s="8"/>
      <c r="K608" s="9"/>
    </row>
    <row r="609">
      <c r="A609" s="6"/>
      <c r="B609" s="7"/>
      <c r="C609" s="7"/>
      <c r="D609" s="7"/>
      <c r="E609" s="7"/>
      <c r="F609" s="7"/>
      <c r="G609" s="7"/>
      <c r="H609" s="7"/>
      <c r="I609" s="7"/>
      <c r="J609" s="8"/>
      <c r="K609" s="9"/>
    </row>
    <row r="610">
      <c r="A610" s="6"/>
      <c r="B610" s="7"/>
      <c r="C610" s="7"/>
      <c r="D610" s="7"/>
      <c r="E610" s="7"/>
      <c r="F610" s="7"/>
      <c r="G610" s="7"/>
      <c r="H610" s="7"/>
      <c r="I610" s="7"/>
      <c r="J610" s="8"/>
      <c r="K610" s="9"/>
    </row>
    <row r="611">
      <c r="A611" s="6"/>
      <c r="B611" s="7"/>
      <c r="C611" s="7"/>
      <c r="D611" s="7"/>
      <c r="E611" s="7"/>
      <c r="F611" s="7"/>
      <c r="G611" s="7"/>
      <c r="H611" s="7"/>
      <c r="I611" s="7"/>
      <c r="J611" s="8"/>
      <c r="K611" s="9"/>
    </row>
    <row r="612">
      <c r="A612" s="6"/>
      <c r="B612" s="7"/>
      <c r="C612" s="7"/>
      <c r="D612" s="7"/>
      <c r="E612" s="7"/>
      <c r="F612" s="7"/>
      <c r="G612" s="7"/>
      <c r="H612" s="7"/>
      <c r="I612" s="7"/>
      <c r="J612" s="8"/>
      <c r="K612" s="9"/>
    </row>
    <row r="613">
      <c r="A613" s="6"/>
      <c r="B613" s="7"/>
      <c r="C613" s="7"/>
      <c r="D613" s="7"/>
      <c r="E613" s="7"/>
      <c r="F613" s="7"/>
      <c r="G613" s="7"/>
      <c r="H613" s="7"/>
      <c r="I613" s="7"/>
      <c r="J613" s="8"/>
      <c r="K613" s="9"/>
    </row>
    <row r="614">
      <c r="A614" s="6"/>
      <c r="B614" s="7"/>
      <c r="C614" s="7"/>
      <c r="D614" s="7"/>
      <c r="E614" s="7"/>
      <c r="F614" s="7"/>
      <c r="G614" s="7"/>
      <c r="H614" s="7"/>
      <c r="I614" s="7"/>
      <c r="J614" s="8"/>
      <c r="K614" s="9"/>
    </row>
    <row r="615">
      <c r="A615" s="6"/>
      <c r="B615" s="7"/>
      <c r="C615" s="7"/>
      <c r="D615" s="7"/>
      <c r="E615" s="7"/>
      <c r="F615" s="7"/>
      <c r="G615" s="7"/>
      <c r="H615" s="7"/>
      <c r="I615" s="7"/>
      <c r="J615" s="8"/>
      <c r="K615" s="9"/>
    </row>
    <row r="616">
      <c r="A616" s="6"/>
      <c r="B616" s="7"/>
      <c r="C616" s="7"/>
      <c r="D616" s="7"/>
      <c r="E616" s="7"/>
      <c r="F616" s="7"/>
      <c r="G616" s="7"/>
      <c r="H616" s="7"/>
      <c r="I616" s="7"/>
      <c r="J616" s="8"/>
      <c r="K616" s="9"/>
    </row>
    <row r="617">
      <c r="A617" s="6"/>
      <c r="B617" s="7"/>
      <c r="C617" s="7"/>
      <c r="D617" s="7"/>
      <c r="E617" s="7"/>
      <c r="F617" s="7"/>
      <c r="G617" s="7"/>
      <c r="H617" s="7"/>
      <c r="I617" s="7"/>
      <c r="J617" s="8"/>
      <c r="K617" s="9"/>
    </row>
    <row r="618">
      <c r="A618" s="6"/>
      <c r="B618" s="7"/>
      <c r="C618" s="7"/>
      <c r="D618" s="7"/>
      <c r="E618" s="7"/>
      <c r="F618" s="7"/>
      <c r="G618" s="7"/>
      <c r="H618" s="7"/>
      <c r="I618" s="7"/>
      <c r="J618" s="8"/>
      <c r="K618" s="9"/>
    </row>
    <row r="619">
      <c r="A619" s="6"/>
      <c r="B619" s="7"/>
      <c r="C619" s="7"/>
      <c r="D619" s="7"/>
      <c r="E619" s="7"/>
      <c r="F619" s="7"/>
      <c r="G619" s="7"/>
      <c r="H619" s="7"/>
      <c r="I619" s="7"/>
      <c r="J619" s="8"/>
      <c r="K619" s="9"/>
    </row>
    <row r="620">
      <c r="A620" s="6"/>
      <c r="B620" s="7"/>
      <c r="C620" s="7"/>
      <c r="D620" s="7"/>
      <c r="E620" s="7"/>
      <c r="F620" s="7"/>
      <c r="G620" s="7"/>
      <c r="H620" s="7"/>
      <c r="I620" s="7"/>
      <c r="J620" s="8"/>
      <c r="K620" s="9"/>
    </row>
    <row r="621">
      <c r="A621" s="6"/>
      <c r="B621" s="7"/>
      <c r="C621" s="7"/>
      <c r="D621" s="7"/>
      <c r="E621" s="7"/>
      <c r="F621" s="7"/>
      <c r="G621" s="7"/>
      <c r="H621" s="7"/>
      <c r="I621" s="7"/>
      <c r="J621" s="8"/>
      <c r="K621" s="9"/>
    </row>
    <row r="622">
      <c r="A622" s="6"/>
      <c r="B622" s="7"/>
      <c r="C622" s="7"/>
      <c r="D622" s="7"/>
      <c r="E622" s="7"/>
      <c r="F622" s="7"/>
      <c r="G622" s="7"/>
      <c r="H622" s="7"/>
      <c r="I622" s="7"/>
      <c r="J622" s="8"/>
      <c r="K622" s="9"/>
    </row>
    <row r="623">
      <c r="A623" s="6"/>
      <c r="B623" s="7"/>
      <c r="C623" s="7"/>
      <c r="D623" s="7"/>
      <c r="E623" s="7"/>
      <c r="F623" s="7"/>
      <c r="G623" s="7"/>
      <c r="H623" s="7"/>
      <c r="I623" s="7"/>
      <c r="J623" s="8"/>
      <c r="K623" s="9"/>
    </row>
    <row r="624">
      <c r="A624" s="6"/>
      <c r="B624" s="7"/>
      <c r="C624" s="7"/>
      <c r="D624" s="7"/>
      <c r="E624" s="7"/>
      <c r="F624" s="7"/>
      <c r="G624" s="7"/>
      <c r="H624" s="7"/>
      <c r="I624" s="7"/>
      <c r="J624" s="8"/>
      <c r="K624" s="9"/>
    </row>
    <row r="625">
      <c r="A625" s="6"/>
      <c r="B625" s="7"/>
      <c r="C625" s="7"/>
      <c r="D625" s="7"/>
      <c r="E625" s="7"/>
      <c r="F625" s="7"/>
      <c r="G625" s="7"/>
      <c r="H625" s="7"/>
      <c r="I625" s="7"/>
      <c r="J625" s="8"/>
      <c r="K625" s="9"/>
    </row>
    <row r="626">
      <c r="A626" s="6"/>
      <c r="B626" s="7"/>
      <c r="C626" s="7"/>
      <c r="D626" s="7"/>
      <c r="E626" s="7"/>
      <c r="F626" s="7"/>
      <c r="G626" s="7"/>
      <c r="H626" s="7"/>
      <c r="I626" s="7"/>
      <c r="J626" s="8"/>
      <c r="K626" s="9"/>
    </row>
    <row r="627">
      <c r="A627" s="6"/>
      <c r="B627" s="7"/>
      <c r="C627" s="7"/>
      <c r="D627" s="7"/>
      <c r="E627" s="7"/>
      <c r="F627" s="7"/>
      <c r="G627" s="7"/>
      <c r="H627" s="7"/>
      <c r="I627" s="7"/>
      <c r="J627" s="8"/>
      <c r="K627" s="9"/>
    </row>
    <row r="628">
      <c r="A628" s="6"/>
      <c r="B628" s="7"/>
      <c r="C628" s="7"/>
      <c r="D628" s="7"/>
      <c r="E628" s="7"/>
      <c r="F628" s="7"/>
      <c r="G628" s="7"/>
      <c r="H628" s="7"/>
      <c r="I628" s="7"/>
      <c r="J628" s="8"/>
      <c r="K628" s="9"/>
    </row>
    <row r="629">
      <c r="A629" s="6"/>
      <c r="B629" s="7"/>
      <c r="C629" s="7"/>
      <c r="D629" s="7"/>
      <c r="E629" s="7"/>
      <c r="F629" s="7"/>
      <c r="G629" s="7"/>
      <c r="H629" s="7"/>
      <c r="I629" s="7"/>
      <c r="J629" s="8"/>
      <c r="K629" s="9"/>
    </row>
    <row r="630">
      <c r="A630" s="6"/>
      <c r="B630" s="7"/>
      <c r="C630" s="7"/>
      <c r="D630" s="7"/>
      <c r="E630" s="7"/>
      <c r="F630" s="7"/>
      <c r="G630" s="7"/>
      <c r="H630" s="7"/>
      <c r="I630" s="7"/>
      <c r="J630" s="8"/>
      <c r="K630" s="9"/>
    </row>
    <row r="631">
      <c r="A631" s="6"/>
      <c r="B631" s="7"/>
      <c r="C631" s="7"/>
      <c r="D631" s="7"/>
      <c r="E631" s="7"/>
      <c r="F631" s="7"/>
      <c r="G631" s="7"/>
      <c r="H631" s="7"/>
      <c r="I631" s="7"/>
      <c r="J631" s="8"/>
      <c r="K631" s="9"/>
    </row>
    <row r="632">
      <c r="A632" s="6"/>
      <c r="B632" s="7"/>
      <c r="C632" s="7"/>
      <c r="D632" s="7"/>
      <c r="E632" s="7"/>
      <c r="F632" s="7"/>
      <c r="G632" s="7"/>
      <c r="H632" s="7"/>
      <c r="I632" s="7"/>
      <c r="J632" s="8"/>
      <c r="K632" s="9"/>
    </row>
    <row r="633">
      <c r="A633" s="6"/>
      <c r="B633" s="7"/>
      <c r="C633" s="7"/>
      <c r="D633" s="7"/>
      <c r="E633" s="7"/>
      <c r="F633" s="7"/>
      <c r="G633" s="7"/>
      <c r="H633" s="7"/>
      <c r="I633" s="7"/>
      <c r="J633" s="8"/>
      <c r="K633" s="9"/>
    </row>
    <row r="634">
      <c r="A634" s="6"/>
      <c r="B634" s="7"/>
      <c r="C634" s="7"/>
      <c r="D634" s="7"/>
      <c r="E634" s="7"/>
      <c r="F634" s="7"/>
      <c r="G634" s="7"/>
      <c r="H634" s="7"/>
      <c r="I634" s="7"/>
      <c r="J634" s="8"/>
      <c r="K634" s="9"/>
    </row>
    <row r="635">
      <c r="A635" s="6"/>
      <c r="B635" s="7"/>
      <c r="C635" s="7"/>
      <c r="D635" s="7"/>
      <c r="E635" s="7"/>
      <c r="F635" s="7"/>
      <c r="G635" s="7"/>
      <c r="H635" s="7"/>
      <c r="I635" s="7"/>
      <c r="J635" s="8"/>
      <c r="K635" s="9"/>
    </row>
    <row r="636">
      <c r="A636" s="6"/>
      <c r="B636" s="7"/>
      <c r="C636" s="7"/>
      <c r="D636" s="7"/>
      <c r="E636" s="7"/>
      <c r="F636" s="7"/>
      <c r="G636" s="7"/>
      <c r="H636" s="7"/>
      <c r="I636" s="7"/>
      <c r="J636" s="8"/>
      <c r="K636" s="9"/>
    </row>
    <row r="637">
      <c r="A637" s="6"/>
      <c r="B637" s="7"/>
      <c r="C637" s="7"/>
      <c r="D637" s="7"/>
      <c r="E637" s="7"/>
      <c r="F637" s="7"/>
      <c r="G637" s="7"/>
      <c r="H637" s="7"/>
      <c r="I637" s="7"/>
      <c r="J637" s="8"/>
      <c r="K637" s="9"/>
    </row>
    <row r="638">
      <c r="A638" s="6"/>
      <c r="B638" s="7"/>
      <c r="C638" s="7"/>
      <c r="D638" s="7"/>
      <c r="E638" s="7"/>
      <c r="F638" s="7"/>
      <c r="G638" s="7"/>
      <c r="H638" s="7"/>
      <c r="I638" s="7"/>
      <c r="J638" s="8"/>
      <c r="K638" s="9"/>
    </row>
    <row r="639">
      <c r="A639" s="6"/>
      <c r="B639" s="7"/>
      <c r="C639" s="7"/>
      <c r="D639" s="7"/>
      <c r="E639" s="7"/>
      <c r="F639" s="7"/>
      <c r="G639" s="7"/>
      <c r="H639" s="7"/>
      <c r="I639" s="7"/>
      <c r="J639" s="8"/>
      <c r="K639" s="9"/>
    </row>
    <row r="640">
      <c r="A640" s="6"/>
      <c r="B640" s="7"/>
      <c r="C640" s="7"/>
      <c r="D640" s="7"/>
      <c r="E640" s="7"/>
      <c r="F640" s="7"/>
      <c r="G640" s="7"/>
      <c r="H640" s="7"/>
      <c r="I640" s="7"/>
      <c r="J640" s="8"/>
      <c r="K640" s="9"/>
    </row>
    <row r="641">
      <c r="A641" s="6"/>
      <c r="B641" s="7"/>
      <c r="C641" s="7"/>
      <c r="D641" s="7"/>
      <c r="E641" s="7"/>
      <c r="F641" s="7"/>
      <c r="G641" s="7"/>
      <c r="H641" s="7"/>
      <c r="I641" s="7"/>
      <c r="J641" s="8"/>
      <c r="K641" s="9"/>
    </row>
    <row r="642">
      <c r="A642" s="6"/>
      <c r="B642" s="7"/>
      <c r="C642" s="7"/>
      <c r="D642" s="7"/>
      <c r="E642" s="7"/>
      <c r="F642" s="7"/>
      <c r="G642" s="7"/>
      <c r="H642" s="7"/>
      <c r="I642" s="7"/>
      <c r="J642" s="8"/>
      <c r="K642" s="9"/>
    </row>
    <row r="643">
      <c r="A643" s="6"/>
      <c r="B643" s="7"/>
      <c r="C643" s="7"/>
      <c r="D643" s="7"/>
      <c r="E643" s="7"/>
      <c r="F643" s="7"/>
      <c r="G643" s="7"/>
      <c r="H643" s="7"/>
      <c r="I643" s="7"/>
      <c r="J643" s="8"/>
      <c r="K643" s="9"/>
    </row>
    <row r="644">
      <c r="A644" s="6"/>
      <c r="B644" s="7"/>
      <c r="C644" s="7"/>
      <c r="D644" s="7"/>
      <c r="E644" s="7"/>
      <c r="F644" s="7"/>
      <c r="G644" s="7"/>
      <c r="H644" s="7"/>
      <c r="I644" s="7"/>
      <c r="J644" s="8"/>
      <c r="K644" s="9"/>
    </row>
    <row r="645">
      <c r="A645" s="6"/>
      <c r="B645" s="7"/>
      <c r="C645" s="7"/>
      <c r="D645" s="7"/>
      <c r="E645" s="7"/>
      <c r="F645" s="7"/>
      <c r="G645" s="7"/>
      <c r="H645" s="7"/>
      <c r="I645" s="7"/>
      <c r="J645" s="8"/>
      <c r="K645" s="9"/>
    </row>
    <row r="646">
      <c r="A646" s="6"/>
      <c r="B646" s="7"/>
      <c r="C646" s="7"/>
      <c r="D646" s="7"/>
      <c r="E646" s="7"/>
      <c r="F646" s="7"/>
      <c r="G646" s="7"/>
      <c r="H646" s="7"/>
      <c r="I646" s="7"/>
      <c r="J646" s="8"/>
      <c r="K646" s="9"/>
    </row>
    <row r="647">
      <c r="A647" s="6"/>
      <c r="B647" s="7"/>
      <c r="C647" s="7"/>
      <c r="D647" s="7"/>
      <c r="E647" s="7"/>
      <c r="F647" s="7"/>
      <c r="G647" s="7"/>
      <c r="H647" s="7"/>
      <c r="I647" s="7"/>
      <c r="J647" s="8"/>
      <c r="K647" s="9"/>
    </row>
    <row r="648">
      <c r="A648" s="6"/>
      <c r="B648" s="7"/>
      <c r="C648" s="7"/>
      <c r="D648" s="7"/>
      <c r="E648" s="7"/>
      <c r="F648" s="7"/>
      <c r="G648" s="7"/>
      <c r="H648" s="7"/>
      <c r="I648" s="7"/>
      <c r="J648" s="8"/>
      <c r="K648" s="9"/>
    </row>
    <row r="649">
      <c r="A649" s="6"/>
      <c r="B649" s="7"/>
      <c r="C649" s="7"/>
      <c r="D649" s="7"/>
      <c r="E649" s="7"/>
      <c r="F649" s="7"/>
      <c r="G649" s="7"/>
      <c r="H649" s="7"/>
      <c r="I649" s="7"/>
      <c r="J649" s="8"/>
      <c r="K649" s="9"/>
    </row>
    <row r="650">
      <c r="A650" s="6"/>
      <c r="B650" s="7"/>
      <c r="C650" s="7"/>
      <c r="D650" s="7"/>
      <c r="E650" s="7"/>
      <c r="F650" s="7"/>
      <c r="G650" s="7"/>
      <c r="H650" s="7"/>
      <c r="I650" s="7"/>
      <c r="J650" s="8"/>
      <c r="K650" s="9"/>
    </row>
    <row r="651">
      <c r="A651" s="6"/>
      <c r="B651" s="7"/>
      <c r="C651" s="7"/>
      <c r="D651" s="7"/>
      <c r="E651" s="7"/>
      <c r="F651" s="7"/>
      <c r="G651" s="7"/>
      <c r="H651" s="7"/>
      <c r="I651" s="7"/>
      <c r="J651" s="8"/>
      <c r="K651" s="9"/>
    </row>
    <row r="652">
      <c r="A652" s="6"/>
      <c r="B652" s="7"/>
      <c r="C652" s="7"/>
      <c r="D652" s="7"/>
      <c r="E652" s="7"/>
      <c r="F652" s="7"/>
      <c r="G652" s="7"/>
      <c r="H652" s="7"/>
      <c r="I652" s="7"/>
      <c r="J652" s="8"/>
      <c r="K652" s="9"/>
    </row>
    <row r="653">
      <c r="A653" s="6"/>
      <c r="B653" s="7"/>
      <c r="C653" s="7"/>
      <c r="D653" s="7"/>
      <c r="E653" s="7"/>
      <c r="F653" s="7"/>
      <c r="G653" s="7"/>
      <c r="H653" s="7"/>
      <c r="I653" s="7"/>
      <c r="J653" s="8"/>
      <c r="K653" s="9"/>
    </row>
    <row r="654">
      <c r="A654" s="6"/>
      <c r="B654" s="7"/>
      <c r="C654" s="7"/>
      <c r="D654" s="7"/>
      <c r="E654" s="7"/>
      <c r="F654" s="7"/>
      <c r="G654" s="7"/>
      <c r="H654" s="7"/>
      <c r="I654" s="7"/>
      <c r="J654" s="8"/>
      <c r="K654" s="9"/>
    </row>
    <row r="655">
      <c r="A655" s="6"/>
      <c r="B655" s="7"/>
      <c r="C655" s="7"/>
      <c r="D655" s="7"/>
      <c r="E655" s="7"/>
      <c r="F655" s="7"/>
      <c r="G655" s="7"/>
      <c r="H655" s="7"/>
      <c r="I655" s="7"/>
      <c r="J655" s="8"/>
      <c r="K655" s="9"/>
    </row>
    <row r="656">
      <c r="A656" s="6"/>
      <c r="B656" s="7"/>
      <c r="C656" s="7"/>
      <c r="D656" s="7"/>
      <c r="E656" s="7"/>
      <c r="F656" s="7"/>
      <c r="G656" s="7"/>
      <c r="H656" s="7"/>
      <c r="I656" s="7"/>
      <c r="J656" s="8"/>
      <c r="K656" s="9"/>
    </row>
    <row r="657">
      <c r="A657" s="6"/>
      <c r="B657" s="7"/>
      <c r="C657" s="7"/>
      <c r="D657" s="7"/>
      <c r="E657" s="7"/>
      <c r="F657" s="7"/>
      <c r="G657" s="7"/>
      <c r="H657" s="7"/>
      <c r="I657" s="7"/>
      <c r="J657" s="8"/>
      <c r="K657" s="9"/>
    </row>
    <row r="658">
      <c r="A658" s="6"/>
      <c r="B658" s="7"/>
      <c r="C658" s="7"/>
      <c r="D658" s="7"/>
      <c r="E658" s="7"/>
      <c r="F658" s="7"/>
      <c r="G658" s="7"/>
      <c r="H658" s="7"/>
      <c r="I658" s="7"/>
      <c r="J658" s="8"/>
      <c r="K658" s="9"/>
    </row>
    <row r="659">
      <c r="A659" s="6"/>
      <c r="B659" s="7"/>
      <c r="C659" s="7"/>
      <c r="D659" s="7"/>
      <c r="E659" s="7"/>
      <c r="F659" s="7"/>
      <c r="G659" s="7"/>
      <c r="H659" s="7"/>
      <c r="I659" s="7"/>
      <c r="J659" s="8"/>
      <c r="K659" s="9"/>
    </row>
    <row r="660">
      <c r="A660" s="6"/>
      <c r="B660" s="7"/>
      <c r="C660" s="7"/>
      <c r="D660" s="7"/>
      <c r="E660" s="7"/>
      <c r="F660" s="7"/>
      <c r="G660" s="7"/>
      <c r="H660" s="7"/>
      <c r="I660" s="7"/>
      <c r="J660" s="8"/>
      <c r="K660" s="9"/>
    </row>
    <row r="661">
      <c r="A661" s="6"/>
      <c r="B661" s="7"/>
      <c r="C661" s="7"/>
      <c r="D661" s="7"/>
      <c r="E661" s="7"/>
      <c r="F661" s="7"/>
      <c r="G661" s="7"/>
      <c r="H661" s="7"/>
      <c r="I661" s="7"/>
      <c r="J661" s="8"/>
      <c r="K661" s="9"/>
    </row>
    <row r="662">
      <c r="A662" s="6"/>
      <c r="B662" s="7"/>
      <c r="C662" s="7"/>
      <c r="D662" s="7"/>
      <c r="E662" s="7"/>
      <c r="F662" s="7"/>
      <c r="G662" s="7"/>
      <c r="H662" s="7"/>
      <c r="I662" s="7"/>
      <c r="J662" s="8"/>
      <c r="K662" s="9"/>
    </row>
    <row r="663">
      <c r="A663" s="6"/>
      <c r="B663" s="7"/>
      <c r="C663" s="7"/>
      <c r="D663" s="7"/>
      <c r="E663" s="7"/>
      <c r="F663" s="7"/>
      <c r="G663" s="7"/>
      <c r="H663" s="7"/>
      <c r="I663" s="7"/>
      <c r="J663" s="8"/>
      <c r="K663" s="9"/>
    </row>
    <row r="664">
      <c r="A664" s="6"/>
      <c r="B664" s="7"/>
      <c r="C664" s="7"/>
      <c r="D664" s="7"/>
      <c r="E664" s="7"/>
      <c r="F664" s="7"/>
      <c r="G664" s="7"/>
      <c r="H664" s="7"/>
      <c r="I664" s="7"/>
      <c r="J664" s="8"/>
      <c r="K664" s="9"/>
    </row>
    <row r="665">
      <c r="A665" s="6"/>
      <c r="B665" s="7"/>
      <c r="C665" s="7"/>
      <c r="D665" s="7"/>
      <c r="E665" s="7"/>
      <c r="F665" s="7"/>
      <c r="G665" s="7"/>
      <c r="H665" s="7"/>
      <c r="I665" s="7"/>
      <c r="J665" s="8"/>
      <c r="K665" s="9"/>
    </row>
    <row r="666">
      <c r="A666" s="6"/>
      <c r="B666" s="7"/>
      <c r="C666" s="7"/>
      <c r="D666" s="7"/>
      <c r="E666" s="7"/>
      <c r="F666" s="7"/>
      <c r="G666" s="7"/>
      <c r="H666" s="7"/>
      <c r="I666" s="7"/>
      <c r="J666" s="8"/>
      <c r="K666" s="9"/>
    </row>
    <row r="667">
      <c r="A667" s="6"/>
      <c r="B667" s="7"/>
      <c r="C667" s="7"/>
      <c r="D667" s="7"/>
      <c r="E667" s="7"/>
      <c r="F667" s="7"/>
      <c r="G667" s="7"/>
      <c r="H667" s="7"/>
      <c r="I667" s="7"/>
      <c r="J667" s="8"/>
      <c r="K667" s="9"/>
    </row>
    <row r="668">
      <c r="A668" s="6"/>
      <c r="B668" s="7"/>
      <c r="C668" s="7"/>
      <c r="D668" s="7"/>
      <c r="E668" s="7"/>
      <c r="F668" s="7"/>
      <c r="G668" s="7"/>
      <c r="H668" s="7"/>
      <c r="I668" s="7"/>
      <c r="J668" s="8"/>
      <c r="K668" s="9"/>
    </row>
    <row r="669">
      <c r="A669" s="6"/>
      <c r="B669" s="7"/>
      <c r="C669" s="7"/>
      <c r="D669" s="7"/>
      <c r="E669" s="7"/>
      <c r="F669" s="7"/>
      <c r="G669" s="7"/>
      <c r="H669" s="7"/>
      <c r="I669" s="7"/>
      <c r="J669" s="8"/>
      <c r="K669" s="9"/>
    </row>
    <row r="670">
      <c r="A670" s="6"/>
      <c r="B670" s="7"/>
      <c r="C670" s="7"/>
      <c r="D670" s="7"/>
      <c r="E670" s="7"/>
      <c r="F670" s="7"/>
      <c r="G670" s="7"/>
      <c r="H670" s="7"/>
      <c r="I670" s="7"/>
      <c r="J670" s="8"/>
      <c r="K670" s="9"/>
    </row>
    <row r="671">
      <c r="A671" s="6"/>
      <c r="B671" s="7"/>
      <c r="C671" s="7"/>
      <c r="D671" s="7"/>
      <c r="E671" s="7"/>
      <c r="F671" s="7"/>
      <c r="G671" s="7"/>
      <c r="H671" s="7"/>
      <c r="I671" s="7"/>
      <c r="J671" s="8"/>
      <c r="K671" s="9"/>
    </row>
    <row r="672">
      <c r="A672" s="6"/>
      <c r="B672" s="7"/>
      <c r="C672" s="7"/>
      <c r="D672" s="7"/>
      <c r="E672" s="7"/>
      <c r="F672" s="7"/>
      <c r="G672" s="7"/>
      <c r="H672" s="7"/>
      <c r="I672" s="7"/>
      <c r="J672" s="8"/>
      <c r="K672" s="9"/>
    </row>
    <row r="673">
      <c r="A673" s="6"/>
      <c r="B673" s="7"/>
      <c r="C673" s="7"/>
      <c r="D673" s="7"/>
      <c r="E673" s="7"/>
      <c r="F673" s="7"/>
      <c r="G673" s="7"/>
      <c r="H673" s="7"/>
      <c r="I673" s="7"/>
      <c r="J673" s="8"/>
      <c r="K673" s="9"/>
    </row>
    <row r="674">
      <c r="A674" s="6"/>
      <c r="B674" s="7"/>
      <c r="C674" s="7"/>
      <c r="D674" s="7"/>
      <c r="E674" s="7"/>
      <c r="F674" s="7"/>
      <c r="G674" s="7"/>
      <c r="H674" s="7"/>
      <c r="I674" s="7"/>
      <c r="J674" s="8"/>
      <c r="K674" s="9"/>
    </row>
    <row r="675">
      <c r="A675" s="6"/>
      <c r="B675" s="7"/>
      <c r="C675" s="7"/>
      <c r="D675" s="7"/>
      <c r="E675" s="7"/>
      <c r="F675" s="7"/>
      <c r="G675" s="7"/>
      <c r="H675" s="7"/>
      <c r="I675" s="7"/>
      <c r="J675" s="8"/>
      <c r="K675" s="9"/>
    </row>
    <row r="676">
      <c r="A676" s="6"/>
      <c r="B676" s="7"/>
      <c r="C676" s="7"/>
      <c r="D676" s="7"/>
      <c r="E676" s="7"/>
      <c r="F676" s="7"/>
      <c r="G676" s="7"/>
      <c r="H676" s="7"/>
      <c r="I676" s="7"/>
      <c r="J676" s="8"/>
      <c r="K676" s="9"/>
    </row>
    <row r="677">
      <c r="A677" s="6"/>
      <c r="B677" s="7"/>
      <c r="C677" s="7"/>
      <c r="D677" s="7"/>
      <c r="E677" s="7"/>
      <c r="F677" s="7"/>
      <c r="G677" s="7"/>
      <c r="H677" s="7"/>
      <c r="I677" s="7"/>
      <c r="J677" s="8"/>
      <c r="K677" s="9"/>
    </row>
    <row r="678">
      <c r="A678" s="6"/>
      <c r="B678" s="7"/>
      <c r="C678" s="7"/>
      <c r="D678" s="7"/>
      <c r="E678" s="7"/>
      <c r="F678" s="7"/>
      <c r="G678" s="7"/>
      <c r="H678" s="7"/>
      <c r="I678" s="7"/>
      <c r="J678" s="8"/>
      <c r="K678" s="9"/>
    </row>
    <row r="679">
      <c r="A679" s="6"/>
      <c r="B679" s="7"/>
      <c r="C679" s="7"/>
      <c r="D679" s="7"/>
      <c r="E679" s="7"/>
      <c r="F679" s="7"/>
      <c r="G679" s="7"/>
      <c r="H679" s="7"/>
      <c r="I679" s="7"/>
      <c r="J679" s="8"/>
      <c r="K679" s="9"/>
    </row>
    <row r="680">
      <c r="A680" s="6"/>
      <c r="B680" s="7"/>
      <c r="C680" s="7"/>
      <c r="D680" s="7"/>
      <c r="E680" s="7"/>
      <c r="F680" s="7"/>
      <c r="G680" s="7"/>
      <c r="H680" s="7"/>
      <c r="I680" s="7"/>
      <c r="J680" s="8"/>
      <c r="K680" s="9"/>
    </row>
    <row r="681">
      <c r="A681" s="6"/>
      <c r="B681" s="7"/>
      <c r="C681" s="7"/>
      <c r="D681" s="7"/>
      <c r="E681" s="7"/>
      <c r="F681" s="7"/>
      <c r="G681" s="7"/>
      <c r="H681" s="7"/>
      <c r="I681" s="7"/>
      <c r="J681" s="8"/>
      <c r="K681" s="9"/>
    </row>
    <row r="682">
      <c r="A682" s="6"/>
      <c r="B682" s="7"/>
      <c r="C682" s="7"/>
      <c r="D682" s="7"/>
      <c r="E682" s="7"/>
      <c r="F682" s="7"/>
      <c r="G682" s="7"/>
      <c r="H682" s="7"/>
      <c r="I682" s="7"/>
      <c r="J682" s="8"/>
      <c r="K682" s="9"/>
    </row>
    <row r="683">
      <c r="A683" s="6"/>
      <c r="B683" s="7"/>
      <c r="C683" s="7"/>
      <c r="D683" s="7"/>
      <c r="E683" s="7"/>
      <c r="F683" s="7"/>
      <c r="G683" s="7"/>
      <c r="H683" s="7"/>
      <c r="I683" s="7"/>
      <c r="J683" s="8"/>
      <c r="K683" s="9"/>
    </row>
    <row r="684">
      <c r="A684" s="6"/>
      <c r="B684" s="7"/>
      <c r="C684" s="7"/>
      <c r="D684" s="7"/>
      <c r="E684" s="7"/>
      <c r="F684" s="7"/>
      <c r="G684" s="7"/>
      <c r="H684" s="7"/>
      <c r="I684" s="7"/>
      <c r="J684" s="8"/>
      <c r="K684" s="9"/>
    </row>
    <row r="685">
      <c r="A685" s="6"/>
      <c r="B685" s="7"/>
      <c r="C685" s="7"/>
      <c r="D685" s="7"/>
      <c r="E685" s="7"/>
      <c r="F685" s="7"/>
      <c r="G685" s="7"/>
      <c r="H685" s="7"/>
      <c r="I685" s="7"/>
      <c r="J685" s="8"/>
      <c r="K685" s="9"/>
    </row>
    <row r="686">
      <c r="A686" s="6"/>
      <c r="B686" s="7"/>
      <c r="C686" s="7"/>
      <c r="D686" s="7"/>
      <c r="E686" s="7"/>
      <c r="F686" s="7"/>
      <c r="G686" s="7"/>
      <c r="H686" s="7"/>
      <c r="I686" s="7"/>
      <c r="J686" s="8"/>
      <c r="K686" s="9"/>
    </row>
    <row r="687">
      <c r="A687" s="6"/>
      <c r="B687" s="7"/>
      <c r="C687" s="7"/>
      <c r="D687" s="7"/>
      <c r="E687" s="7"/>
      <c r="F687" s="7"/>
      <c r="G687" s="7"/>
      <c r="H687" s="7"/>
      <c r="I687" s="7"/>
      <c r="J687" s="8"/>
      <c r="K687" s="9"/>
    </row>
    <row r="688">
      <c r="A688" s="6"/>
      <c r="B688" s="7"/>
      <c r="C688" s="7"/>
      <c r="D688" s="7"/>
      <c r="E688" s="7"/>
      <c r="F688" s="7"/>
      <c r="G688" s="7"/>
      <c r="H688" s="7"/>
      <c r="I688" s="7"/>
      <c r="J688" s="8"/>
      <c r="K688" s="9"/>
    </row>
    <row r="689">
      <c r="A689" s="6"/>
      <c r="B689" s="7"/>
      <c r="C689" s="7"/>
      <c r="D689" s="7"/>
      <c r="E689" s="7"/>
      <c r="F689" s="7"/>
      <c r="G689" s="7"/>
      <c r="H689" s="7"/>
      <c r="I689" s="7"/>
      <c r="J689" s="8"/>
      <c r="K689" s="9"/>
    </row>
    <row r="690">
      <c r="A690" s="6"/>
      <c r="B690" s="7"/>
      <c r="C690" s="7"/>
      <c r="D690" s="7"/>
      <c r="E690" s="7"/>
      <c r="F690" s="7"/>
      <c r="G690" s="7"/>
      <c r="H690" s="7"/>
      <c r="I690" s="7"/>
      <c r="J690" s="8"/>
      <c r="K690" s="9"/>
    </row>
    <row r="691">
      <c r="A691" s="6"/>
      <c r="B691" s="7"/>
      <c r="C691" s="7"/>
      <c r="D691" s="7"/>
      <c r="E691" s="7"/>
      <c r="F691" s="7"/>
      <c r="G691" s="7"/>
      <c r="H691" s="7"/>
      <c r="I691" s="7"/>
      <c r="J691" s="8"/>
      <c r="K691" s="9"/>
    </row>
    <row r="692">
      <c r="A692" s="6"/>
      <c r="B692" s="7"/>
      <c r="C692" s="7"/>
      <c r="D692" s="7"/>
      <c r="E692" s="7"/>
      <c r="F692" s="7"/>
      <c r="G692" s="7"/>
      <c r="H692" s="7"/>
      <c r="I692" s="7"/>
      <c r="J692" s="8"/>
      <c r="K692" s="9"/>
    </row>
    <row r="693">
      <c r="A693" s="6"/>
      <c r="B693" s="7"/>
      <c r="C693" s="7"/>
      <c r="D693" s="7"/>
      <c r="E693" s="7"/>
      <c r="F693" s="7"/>
      <c r="G693" s="7"/>
      <c r="H693" s="7"/>
      <c r="I693" s="7"/>
      <c r="J693" s="8"/>
      <c r="K693" s="9"/>
    </row>
    <row r="694">
      <c r="A694" s="6"/>
      <c r="B694" s="7"/>
      <c r="C694" s="7"/>
      <c r="D694" s="7"/>
      <c r="E694" s="7"/>
      <c r="F694" s="7"/>
      <c r="G694" s="7"/>
      <c r="H694" s="7"/>
      <c r="I694" s="7"/>
      <c r="J694" s="8"/>
      <c r="K694" s="9"/>
    </row>
    <row r="695">
      <c r="A695" s="6"/>
      <c r="B695" s="7"/>
      <c r="C695" s="7"/>
      <c r="D695" s="7"/>
      <c r="E695" s="7"/>
      <c r="F695" s="7"/>
      <c r="G695" s="7"/>
      <c r="H695" s="7"/>
      <c r="I695" s="7"/>
      <c r="J695" s="8"/>
      <c r="K695" s="9"/>
    </row>
    <row r="696">
      <c r="A696" s="6"/>
      <c r="B696" s="7"/>
      <c r="C696" s="7"/>
      <c r="D696" s="7"/>
      <c r="E696" s="7"/>
      <c r="F696" s="7"/>
      <c r="G696" s="7"/>
      <c r="H696" s="7"/>
      <c r="I696" s="7"/>
      <c r="J696" s="8"/>
      <c r="K696" s="9"/>
    </row>
    <row r="697">
      <c r="A697" s="6"/>
      <c r="B697" s="7"/>
      <c r="C697" s="7"/>
      <c r="D697" s="7"/>
      <c r="E697" s="7"/>
      <c r="F697" s="7"/>
      <c r="G697" s="7"/>
      <c r="H697" s="7"/>
      <c r="I697" s="7"/>
      <c r="J697" s="8"/>
      <c r="K697" s="9"/>
    </row>
    <row r="698">
      <c r="A698" s="6"/>
      <c r="B698" s="7"/>
      <c r="C698" s="7"/>
      <c r="D698" s="7"/>
      <c r="E698" s="7"/>
      <c r="F698" s="7"/>
      <c r="G698" s="7"/>
      <c r="H698" s="7"/>
      <c r="I698" s="7"/>
      <c r="J698" s="8"/>
      <c r="K698" s="9"/>
    </row>
    <row r="699">
      <c r="A699" s="6"/>
      <c r="B699" s="7"/>
      <c r="C699" s="7"/>
      <c r="D699" s="7"/>
      <c r="E699" s="7"/>
      <c r="F699" s="7"/>
      <c r="G699" s="7"/>
      <c r="H699" s="7"/>
      <c r="I699" s="7"/>
      <c r="J699" s="8"/>
      <c r="K699" s="9"/>
    </row>
    <row r="700">
      <c r="A700" s="6"/>
      <c r="B700" s="7"/>
      <c r="C700" s="7"/>
      <c r="D700" s="7"/>
      <c r="E700" s="7"/>
      <c r="F700" s="7"/>
      <c r="G700" s="7"/>
      <c r="H700" s="7"/>
      <c r="I700" s="7"/>
      <c r="J700" s="8"/>
      <c r="K700" s="9"/>
    </row>
    <row r="701">
      <c r="A701" s="6"/>
      <c r="B701" s="7"/>
      <c r="C701" s="7"/>
      <c r="D701" s="7"/>
      <c r="E701" s="7"/>
      <c r="F701" s="7"/>
      <c r="G701" s="7"/>
      <c r="H701" s="7"/>
      <c r="I701" s="7"/>
      <c r="J701" s="8"/>
      <c r="K701" s="9"/>
    </row>
    <row r="702">
      <c r="A702" s="6"/>
      <c r="B702" s="7"/>
      <c r="C702" s="7"/>
      <c r="D702" s="7"/>
      <c r="E702" s="7"/>
      <c r="F702" s="7"/>
      <c r="G702" s="7"/>
      <c r="H702" s="7"/>
      <c r="I702" s="7"/>
      <c r="J702" s="8"/>
      <c r="K702" s="9"/>
    </row>
    <row r="703">
      <c r="A703" s="6"/>
      <c r="B703" s="7"/>
      <c r="C703" s="7"/>
      <c r="D703" s="7"/>
      <c r="E703" s="7"/>
      <c r="F703" s="7"/>
      <c r="G703" s="7"/>
      <c r="H703" s="7"/>
      <c r="I703" s="7"/>
      <c r="J703" s="8"/>
      <c r="K703" s="9"/>
    </row>
    <row r="704">
      <c r="A704" s="6"/>
      <c r="B704" s="7"/>
      <c r="C704" s="7"/>
      <c r="D704" s="7"/>
      <c r="E704" s="7"/>
      <c r="F704" s="7"/>
      <c r="G704" s="7"/>
      <c r="H704" s="7"/>
      <c r="I704" s="7"/>
      <c r="J704" s="8"/>
      <c r="K704" s="9"/>
    </row>
    <row r="705">
      <c r="A705" s="6"/>
      <c r="B705" s="7"/>
      <c r="C705" s="7"/>
      <c r="D705" s="7"/>
      <c r="E705" s="7"/>
      <c r="F705" s="7"/>
      <c r="G705" s="7"/>
      <c r="H705" s="7"/>
      <c r="I705" s="7"/>
      <c r="J705" s="8"/>
      <c r="K705" s="9"/>
    </row>
    <row r="706">
      <c r="A706" s="6"/>
      <c r="B706" s="7"/>
      <c r="C706" s="7"/>
      <c r="D706" s="7"/>
      <c r="E706" s="7"/>
      <c r="F706" s="7"/>
      <c r="G706" s="7"/>
      <c r="H706" s="7"/>
      <c r="I706" s="7"/>
      <c r="J706" s="8"/>
      <c r="K706" s="9"/>
    </row>
    <row r="707">
      <c r="A707" s="6"/>
      <c r="B707" s="7"/>
      <c r="C707" s="7"/>
      <c r="D707" s="7"/>
      <c r="E707" s="7"/>
      <c r="F707" s="7"/>
      <c r="G707" s="7"/>
      <c r="H707" s="7"/>
      <c r="I707" s="7"/>
      <c r="J707" s="8"/>
      <c r="K707" s="9"/>
    </row>
    <row r="708">
      <c r="A708" s="6"/>
      <c r="B708" s="7"/>
      <c r="C708" s="7"/>
      <c r="D708" s="7"/>
      <c r="E708" s="7"/>
      <c r="F708" s="7"/>
      <c r="G708" s="7"/>
      <c r="H708" s="7"/>
      <c r="I708" s="7"/>
      <c r="J708" s="8"/>
      <c r="K708" s="9"/>
    </row>
    <row r="709">
      <c r="A709" s="6"/>
      <c r="B709" s="7"/>
      <c r="C709" s="7"/>
      <c r="D709" s="7"/>
      <c r="E709" s="7"/>
      <c r="F709" s="7"/>
      <c r="G709" s="7"/>
      <c r="H709" s="7"/>
      <c r="I709" s="7"/>
      <c r="J709" s="8"/>
      <c r="K709" s="9"/>
    </row>
    <row r="710">
      <c r="A710" s="6"/>
      <c r="B710" s="7"/>
      <c r="C710" s="7"/>
      <c r="D710" s="7"/>
      <c r="E710" s="7"/>
      <c r="F710" s="7"/>
      <c r="G710" s="7"/>
      <c r="H710" s="7"/>
      <c r="I710" s="7"/>
      <c r="J710" s="8"/>
      <c r="K710" s="9"/>
    </row>
    <row r="711">
      <c r="A711" s="6"/>
      <c r="B711" s="7"/>
      <c r="C711" s="7"/>
      <c r="D711" s="7"/>
      <c r="E711" s="7"/>
      <c r="F711" s="7"/>
      <c r="G711" s="7"/>
      <c r="H711" s="7"/>
      <c r="I711" s="7"/>
      <c r="J711" s="8"/>
      <c r="K711" s="9"/>
    </row>
    <row r="712">
      <c r="A712" s="6"/>
      <c r="B712" s="7"/>
      <c r="C712" s="7"/>
      <c r="D712" s="7"/>
      <c r="E712" s="7"/>
      <c r="F712" s="7"/>
      <c r="G712" s="7"/>
      <c r="H712" s="7"/>
      <c r="I712" s="7"/>
      <c r="J712" s="8"/>
      <c r="K712" s="9"/>
    </row>
    <row r="713">
      <c r="A713" s="6"/>
      <c r="B713" s="7"/>
      <c r="C713" s="7"/>
      <c r="D713" s="7"/>
      <c r="E713" s="7"/>
      <c r="F713" s="7"/>
      <c r="G713" s="7"/>
      <c r="H713" s="7"/>
      <c r="I713" s="7"/>
      <c r="J713" s="8"/>
      <c r="K713" s="9"/>
    </row>
    <row r="714">
      <c r="A714" s="6"/>
      <c r="B714" s="7"/>
      <c r="C714" s="7"/>
      <c r="D714" s="7"/>
      <c r="E714" s="7"/>
      <c r="F714" s="7"/>
      <c r="G714" s="7"/>
      <c r="H714" s="7"/>
      <c r="I714" s="7"/>
      <c r="J714" s="8"/>
      <c r="K714" s="9"/>
    </row>
    <row r="715">
      <c r="A715" s="6"/>
      <c r="B715" s="7"/>
      <c r="C715" s="7"/>
      <c r="D715" s="7"/>
      <c r="E715" s="7"/>
      <c r="F715" s="7"/>
      <c r="G715" s="7"/>
      <c r="H715" s="7"/>
      <c r="I715" s="7"/>
      <c r="J715" s="8"/>
      <c r="K715" s="9"/>
    </row>
    <row r="716">
      <c r="A716" s="6"/>
      <c r="B716" s="7"/>
      <c r="C716" s="7"/>
      <c r="D716" s="7"/>
      <c r="E716" s="7"/>
      <c r="F716" s="7"/>
      <c r="G716" s="7"/>
      <c r="H716" s="7"/>
      <c r="I716" s="7"/>
      <c r="J716" s="8"/>
      <c r="K716" s="9"/>
    </row>
    <row r="717">
      <c r="A717" s="6"/>
      <c r="B717" s="7"/>
      <c r="C717" s="7"/>
      <c r="D717" s="7"/>
      <c r="E717" s="7"/>
      <c r="F717" s="7"/>
      <c r="G717" s="7"/>
      <c r="H717" s="7"/>
      <c r="I717" s="7"/>
      <c r="J717" s="8"/>
      <c r="K717" s="9"/>
    </row>
    <row r="718">
      <c r="A718" s="6"/>
      <c r="B718" s="7"/>
      <c r="C718" s="7"/>
      <c r="D718" s="7"/>
      <c r="E718" s="7"/>
      <c r="F718" s="7"/>
      <c r="G718" s="7"/>
      <c r="H718" s="7"/>
      <c r="I718" s="7"/>
      <c r="J718" s="8"/>
      <c r="K718" s="9"/>
    </row>
    <row r="719">
      <c r="A719" s="6"/>
      <c r="B719" s="7"/>
      <c r="C719" s="7"/>
      <c r="D719" s="7"/>
      <c r="E719" s="7"/>
      <c r="F719" s="7"/>
      <c r="G719" s="7"/>
      <c r="H719" s="7"/>
      <c r="I719" s="7"/>
      <c r="J719" s="8"/>
      <c r="K719" s="9"/>
    </row>
    <row r="720">
      <c r="A720" s="6"/>
      <c r="B720" s="7"/>
      <c r="C720" s="7"/>
      <c r="D720" s="7"/>
      <c r="E720" s="7"/>
      <c r="F720" s="7"/>
      <c r="G720" s="7"/>
      <c r="H720" s="7"/>
      <c r="I720" s="7"/>
      <c r="J720" s="8"/>
      <c r="K720" s="9"/>
    </row>
    <row r="721">
      <c r="A721" s="6"/>
      <c r="B721" s="7"/>
      <c r="C721" s="7"/>
      <c r="D721" s="7"/>
      <c r="E721" s="7"/>
      <c r="F721" s="7"/>
      <c r="G721" s="7"/>
      <c r="H721" s="7"/>
      <c r="I721" s="7"/>
      <c r="J721" s="8"/>
      <c r="K721" s="9"/>
    </row>
    <row r="722">
      <c r="A722" s="6"/>
      <c r="B722" s="7"/>
      <c r="C722" s="7"/>
      <c r="D722" s="7"/>
      <c r="E722" s="7"/>
      <c r="F722" s="7"/>
      <c r="G722" s="7"/>
      <c r="H722" s="7"/>
      <c r="I722" s="7"/>
      <c r="J722" s="8"/>
      <c r="K722" s="9"/>
    </row>
    <row r="723">
      <c r="A723" s="6"/>
      <c r="B723" s="7"/>
      <c r="C723" s="7"/>
      <c r="D723" s="7"/>
      <c r="E723" s="7"/>
      <c r="F723" s="7"/>
      <c r="G723" s="7"/>
      <c r="H723" s="7"/>
      <c r="I723" s="7"/>
      <c r="J723" s="8"/>
      <c r="K723" s="9"/>
    </row>
    <row r="724">
      <c r="A724" s="6"/>
      <c r="B724" s="7"/>
      <c r="C724" s="7"/>
      <c r="D724" s="7"/>
      <c r="E724" s="7"/>
      <c r="F724" s="7"/>
      <c r="G724" s="7"/>
      <c r="H724" s="7"/>
      <c r="I724" s="7"/>
      <c r="J724" s="8"/>
      <c r="K724" s="9"/>
    </row>
    <row r="725">
      <c r="A725" s="6"/>
      <c r="B725" s="7"/>
      <c r="C725" s="7"/>
      <c r="D725" s="7"/>
      <c r="E725" s="7"/>
      <c r="F725" s="7"/>
      <c r="G725" s="7"/>
      <c r="H725" s="7"/>
      <c r="I725" s="7"/>
      <c r="J725" s="8"/>
      <c r="K725" s="9"/>
    </row>
    <row r="726">
      <c r="A726" s="6"/>
      <c r="B726" s="7"/>
      <c r="C726" s="7"/>
      <c r="D726" s="7"/>
      <c r="E726" s="7"/>
      <c r="F726" s="7"/>
      <c r="G726" s="7"/>
      <c r="H726" s="7"/>
      <c r="I726" s="7"/>
      <c r="J726" s="8"/>
      <c r="K726" s="9"/>
    </row>
    <row r="727">
      <c r="A727" s="6"/>
      <c r="B727" s="7"/>
      <c r="C727" s="7"/>
      <c r="D727" s="7"/>
      <c r="E727" s="7"/>
      <c r="F727" s="7"/>
      <c r="G727" s="7"/>
      <c r="H727" s="7"/>
      <c r="I727" s="7"/>
      <c r="J727" s="8"/>
      <c r="K727" s="9"/>
    </row>
    <row r="728">
      <c r="A728" s="6"/>
      <c r="B728" s="7"/>
      <c r="C728" s="7"/>
      <c r="D728" s="7"/>
      <c r="E728" s="7"/>
      <c r="F728" s="7"/>
      <c r="G728" s="7"/>
      <c r="H728" s="7"/>
      <c r="I728" s="7"/>
      <c r="J728" s="8"/>
      <c r="K728" s="9"/>
    </row>
    <row r="729">
      <c r="A729" s="6"/>
      <c r="B729" s="7"/>
      <c r="C729" s="7"/>
      <c r="D729" s="7"/>
      <c r="E729" s="7"/>
      <c r="F729" s="7"/>
      <c r="G729" s="7"/>
      <c r="H729" s="7"/>
      <c r="I729" s="7"/>
      <c r="J729" s="8"/>
      <c r="K729" s="9"/>
    </row>
    <row r="730">
      <c r="A730" s="6"/>
      <c r="B730" s="7"/>
      <c r="C730" s="7"/>
      <c r="D730" s="7"/>
      <c r="E730" s="7"/>
      <c r="F730" s="7"/>
      <c r="G730" s="7"/>
      <c r="H730" s="7"/>
      <c r="I730" s="7"/>
      <c r="J730" s="8"/>
      <c r="K730" s="9"/>
    </row>
    <row r="731">
      <c r="A731" s="6"/>
      <c r="B731" s="7"/>
      <c r="C731" s="7"/>
      <c r="D731" s="7"/>
      <c r="E731" s="7"/>
      <c r="F731" s="7"/>
      <c r="G731" s="7"/>
      <c r="H731" s="7"/>
      <c r="I731" s="7"/>
      <c r="J731" s="8"/>
      <c r="K731" s="9"/>
    </row>
    <row r="732">
      <c r="A732" s="6"/>
      <c r="B732" s="7"/>
      <c r="C732" s="7"/>
      <c r="D732" s="7"/>
      <c r="E732" s="7"/>
      <c r="F732" s="7"/>
      <c r="G732" s="7"/>
      <c r="H732" s="7"/>
      <c r="I732" s="7"/>
      <c r="J732" s="8"/>
      <c r="K732" s="9"/>
    </row>
    <row r="733">
      <c r="A733" s="6"/>
      <c r="B733" s="7"/>
      <c r="C733" s="7"/>
      <c r="D733" s="7"/>
      <c r="E733" s="7"/>
      <c r="F733" s="7"/>
      <c r="G733" s="7"/>
      <c r="H733" s="7"/>
      <c r="I733" s="7"/>
      <c r="J733" s="8"/>
      <c r="K733" s="9"/>
    </row>
    <row r="734">
      <c r="A734" s="6"/>
      <c r="B734" s="7"/>
      <c r="C734" s="7"/>
      <c r="D734" s="7"/>
      <c r="E734" s="7"/>
      <c r="F734" s="7"/>
      <c r="G734" s="7"/>
      <c r="H734" s="7"/>
      <c r="I734" s="7"/>
      <c r="J734" s="8"/>
      <c r="K734" s="9"/>
    </row>
    <row r="735">
      <c r="A735" s="6"/>
      <c r="B735" s="7"/>
      <c r="C735" s="7"/>
      <c r="D735" s="7"/>
      <c r="E735" s="7"/>
      <c r="F735" s="7"/>
      <c r="G735" s="7"/>
      <c r="H735" s="7"/>
      <c r="I735" s="7"/>
      <c r="J735" s="8"/>
      <c r="K735" s="9"/>
    </row>
    <row r="736">
      <c r="A736" s="6"/>
      <c r="B736" s="7"/>
      <c r="C736" s="7"/>
      <c r="D736" s="7"/>
      <c r="E736" s="7"/>
      <c r="F736" s="7"/>
      <c r="G736" s="7"/>
      <c r="H736" s="7"/>
      <c r="I736" s="7"/>
      <c r="J736" s="8"/>
      <c r="K736" s="9"/>
    </row>
    <row r="737">
      <c r="A737" s="6"/>
      <c r="B737" s="7"/>
      <c r="C737" s="7"/>
      <c r="D737" s="7"/>
      <c r="E737" s="7"/>
      <c r="F737" s="7"/>
      <c r="G737" s="7"/>
      <c r="H737" s="7"/>
      <c r="I737" s="7"/>
      <c r="J737" s="8"/>
      <c r="K737" s="9"/>
    </row>
    <row r="738">
      <c r="A738" s="6"/>
      <c r="B738" s="7"/>
      <c r="C738" s="7"/>
      <c r="D738" s="7"/>
      <c r="E738" s="7"/>
      <c r="F738" s="7"/>
      <c r="G738" s="7"/>
      <c r="H738" s="7"/>
      <c r="I738" s="7"/>
      <c r="J738" s="8"/>
      <c r="K738" s="9"/>
    </row>
    <row r="739">
      <c r="A739" s="6"/>
      <c r="B739" s="7"/>
      <c r="C739" s="7"/>
      <c r="D739" s="7"/>
      <c r="E739" s="7"/>
      <c r="F739" s="7"/>
      <c r="G739" s="7"/>
      <c r="H739" s="7"/>
      <c r="I739" s="7"/>
      <c r="J739" s="8"/>
      <c r="K739" s="9"/>
    </row>
    <row r="740">
      <c r="A740" s="6"/>
      <c r="B740" s="7"/>
      <c r="C740" s="7"/>
      <c r="D740" s="7"/>
      <c r="E740" s="7"/>
      <c r="F740" s="7"/>
      <c r="G740" s="7"/>
      <c r="H740" s="7"/>
      <c r="I740" s="7"/>
      <c r="J740" s="8"/>
      <c r="K740" s="9"/>
    </row>
    <row r="741">
      <c r="A741" s="6"/>
      <c r="B741" s="7"/>
      <c r="C741" s="7"/>
      <c r="D741" s="7"/>
      <c r="E741" s="7"/>
      <c r="F741" s="7"/>
      <c r="G741" s="7"/>
      <c r="H741" s="7"/>
      <c r="I741" s="7"/>
      <c r="J741" s="8"/>
      <c r="K741" s="9"/>
    </row>
    <row r="742">
      <c r="A742" s="6"/>
      <c r="B742" s="7"/>
      <c r="C742" s="7"/>
      <c r="D742" s="7"/>
      <c r="E742" s="7"/>
      <c r="F742" s="7"/>
      <c r="G742" s="7"/>
      <c r="H742" s="7"/>
      <c r="I742" s="7"/>
      <c r="J742" s="8"/>
      <c r="K742" s="9"/>
    </row>
    <row r="743">
      <c r="A743" s="6"/>
      <c r="B743" s="7"/>
      <c r="C743" s="7"/>
      <c r="D743" s="7"/>
      <c r="E743" s="7"/>
      <c r="F743" s="7"/>
      <c r="G743" s="7"/>
      <c r="H743" s="7"/>
      <c r="I743" s="7"/>
      <c r="J743" s="8"/>
      <c r="K743" s="9"/>
    </row>
    <row r="744">
      <c r="A744" s="6"/>
      <c r="B744" s="7"/>
      <c r="C744" s="7"/>
      <c r="D744" s="7"/>
      <c r="E744" s="7"/>
      <c r="F744" s="7"/>
      <c r="G744" s="7"/>
      <c r="H744" s="7"/>
      <c r="I744" s="7"/>
      <c r="J744" s="8"/>
      <c r="K744" s="9"/>
    </row>
    <row r="745">
      <c r="A745" s="6"/>
      <c r="B745" s="7"/>
      <c r="C745" s="7"/>
      <c r="D745" s="7"/>
      <c r="E745" s="7"/>
      <c r="F745" s="7"/>
      <c r="G745" s="7"/>
      <c r="H745" s="7"/>
      <c r="I745" s="7"/>
      <c r="J745" s="8"/>
      <c r="K745" s="9"/>
    </row>
    <row r="746">
      <c r="A746" s="6"/>
      <c r="B746" s="7"/>
      <c r="C746" s="7"/>
      <c r="D746" s="7"/>
      <c r="E746" s="7"/>
      <c r="F746" s="7"/>
      <c r="G746" s="7"/>
      <c r="H746" s="7"/>
      <c r="I746" s="7"/>
      <c r="J746" s="8"/>
      <c r="K746" s="9"/>
    </row>
    <row r="747">
      <c r="A747" s="6"/>
      <c r="B747" s="7"/>
      <c r="C747" s="7"/>
      <c r="D747" s="7"/>
      <c r="E747" s="7"/>
      <c r="F747" s="7"/>
      <c r="G747" s="7"/>
      <c r="H747" s="7"/>
      <c r="I747" s="7"/>
      <c r="J747" s="8"/>
      <c r="K747" s="9"/>
    </row>
    <row r="748">
      <c r="A748" s="6"/>
      <c r="B748" s="7"/>
      <c r="C748" s="7"/>
      <c r="D748" s="7"/>
      <c r="E748" s="7"/>
      <c r="F748" s="7"/>
      <c r="G748" s="7"/>
      <c r="H748" s="7"/>
      <c r="I748" s="7"/>
      <c r="J748" s="8"/>
      <c r="K748" s="9"/>
    </row>
    <row r="749">
      <c r="A749" s="6"/>
      <c r="B749" s="7"/>
      <c r="C749" s="7"/>
      <c r="D749" s="7"/>
      <c r="E749" s="7"/>
      <c r="F749" s="7"/>
      <c r="G749" s="7"/>
      <c r="H749" s="7"/>
      <c r="I749" s="7"/>
      <c r="J749" s="8"/>
      <c r="K749" s="9"/>
    </row>
    <row r="750">
      <c r="A750" s="6"/>
      <c r="B750" s="7"/>
      <c r="C750" s="7"/>
      <c r="D750" s="7"/>
      <c r="E750" s="7"/>
      <c r="F750" s="7"/>
      <c r="G750" s="7"/>
      <c r="H750" s="7"/>
      <c r="I750" s="7"/>
      <c r="J750" s="8"/>
      <c r="K750" s="9"/>
    </row>
    <row r="751">
      <c r="A751" s="6"/>
      <c r="B751" s="7"/>
      <c r="C751" s="7"/>
      <c r="D751" s="7"/>
      <c r="E751" s="7"/>
      <c r="F751" s="7"/>
      <c r="G751" s="7"/>
      <c r="H751" s="7"/>
      <c r="I751" s="7"/>
      <c r="J751" s="8"/>
      <c r="K751" s="9"/>
    </row>
    <row r="752">
      <c r="A752" s="6"/>
      <c r="B752" s="7"/>
      <c r="C752" s="7"/>
      <c r="D752" s="7"/>
      <c r="E752" s="7"/>
      <c r="F752" s="7"/>
      <c r="G752" s="7"/>
      <c r="H752" s="7"/>
      <c r="I752" s="7"/>
      <c r="J752" s="8"/>
      <c r="K752" s="9"/>
    </row>
    <row r="753">
      <c r="A753" s="6"/>
      <c r="B753" s="7"/>
      <c r="C753" s="7"/>
      <c r="D753" s="7"/>
      <c r="E753" s="7"/>
      <c r="F753" s="7"/>
      <c r="G753" s="7"/>
      <c r="H753" s="7"/>
      <c r="I753" s="7"/>
      <c r="J753" s="8"/>
      <c r="K753" s="9"/>
    </row>
    <row r="754">
      <c r="A754" s="6"/>
      <c r="B754" s="7"/>
      <c r="C754" s="7"/>
      <c r="D754" s="7"/>
      <c r="E754" s="7"/>
      <c r="F754" s="7"/>
      <c r="G754" s="7"/>
      <c r="H754" s="7"/>
      <c r="I754" s="7"/>
      <c r="J754" s="8"/>
      <c r="K754" s="9"/>
    </row>
    <row r="755">
      <c r="A755" s="6"/>
      <c r="B755" s="7"/>
      <c r="C755" s="7"/>
      <c r="D755" s="7"/>
      <c r="E755" s="7"/>
      <c r="F755" s="7"/>
      <c r="G755" s="7"/>
      <c r="H755" s="7"/>
      <c r="I755" s="7"/>
      <c r="J755" s="8"/>
      <c r="K755" s="9"/>
    </row>
    <row r="756">
      <c r="A756" s="6"/>
      <c r="B756" s="7"/>
      <c r="C756" s="7"/>
      <c r="D756" s="7"/>
      <c r="E756" s="7"/>
      <c r="F756" s="7"/>
      <c r="G756" s="7"/>
      <c r="H756" s="7"/>
      <c r="I756" s="7"/>
      <c r="J756" s="8"/>
      <c r="K756" s="9"/>
    </row>
    <row r="757">
      <c r="A757" s="6"/>
      <c r="B757" s="7"/>
      <c r="C757" s="7"/>
      <c r="D757" s="7"/>
      <c r="E757" s="7"/>
      <c r="F757" s="7"/>
      <c r="G757" s="7"/>
      <c r="H757" s="7"/>
      <c r="I757" s="7"/>
      <c r="J757" s="8"/>
      <c r="K757" s="9"/>
    </row>
    <row r="758">
      <c r="A758" s="6"/>
      <c r="B758" s="7"/>
      <c r="C758" s="7"/>
      <c r="D758" s="7"/>
      <c r="E758" s="7"/>
      <c r="F758" s="7"/>
      <c r="G758" s="7"/>
      <c r="H758" s="7"/>
      <c r="I758" s="7"/>
      <c r="J758" s="8"/>
      <c r="K758" s="9"/>
    </row>
    <row r="759">
      <c r="A759" s="6"/>
      <c r="B759" s="7"/>
      <c r="C759" s="7"/>
      <c r="D759" s="7"/>
      <c r="E759" s="7"/>
      <c r="F759" s="7"/>
      <c r="G759" s="7"/>
      <c r="H759" s="7"/>
      <c r="I759" s="7"/>
      <c r="J759" s="8"/>
      <c r="K759" s="9"/>
    </row>
    <row r="760">
      <c r="A760" s="6"/>
      <c r="B760" s="7"/>
      <c r="C760" s="7"/>
      <c r="D760" s="7"/>
      <c r="E760" s="7"/>
      <c r="F760" s="7"/>
      <c r="G760" s="7"/>
      <c r="H760" s="7"/>
      <c r="I760" s="7"/>
      <c r="J760" s="8"/>
      <c r="K760" s="9"/>
    </row>
    <row r="761">
      <c r="A761" s="6"/>
      <c r="B761" s="7"/>
      <c r="C761" s="7"/>
      <c r="D761" s="7"/>
      <c r="E761" s="7"/>
      <c r="F761" s="7"/>
      <c r="G761" s="7"/>
      <c r="H761" s="7"/>
      <c r="I761" s="7"/>
      <c r="J761" s="8"/>
      <c r="K761" s="9"/>
    </row>
    <row r="762">
      <c r="A762" s="6"/>
      <c r="B762" s="7"/>
      <c r="C762" s="7"/>
      <c r="D762" s="7"/>
      <c r="E762" s="7"/>
      <c r="F762" s="7"/>
      <c r="G762" s="7"/>
      <c r="H762" s="7"/>
      <c r="I762" s="7"/>
      <c r="J762" s="8"/>
      <c r="K762" s="9"/>
    </row>
    <row r="763">
      <c r="A763" s="6"/>
      <c r="B763" s="7"/>
      <c r="C763" s="7"/>
      <c r="D763" s="7"/>
      <c r="E763" s="7"/>
      <c r="F763" s="7"/>
      <c r="G763" s="7"/>
      <c r="H763" s="7"/>
      <c r="I763" s="7"/>
      <c r="J763" s="8"/>
      <c r="K763" s="9"/>
    </row>
    <row r="764">
      <c r="A764" s="6"/>
      <c r="B764" s="7"/>
      <c r="C764" s="7"/>
      <c r="D764" s="7"/>
      <c r="E764" s="7"/>
      <c r="F764" s="7"/>
      <c r="G764" s="7"/>
      <c r="H764" s="7"/>
      <c r="I764" s="7"/>
      <c r="J764" s="8"/>
      <c r="K764" s="9"/>
    </row>
    <row r="765">
      <c r="A765" s="6"/>
      <c r="B765" s="7"/>
      <c r="C765" s="7"/>
      <c r="D765" s="7"/>
      <c r="E765" s="7"/>
      <c r="F765" s="7"/>
      <c r="G765" s="7"/>
      <c r="H765" s="7"/>
      <c r="I765" s="7"/>
      <c r="J765" s="8"/>
      <c r="K765" s="9"/>
    </row>
    <row r="766">
      <c r="A766" s="6"/>
      <c r="B766" s="7"/>
      <c r="C766" s="7"/>
      <c r="D766" s="7"/>
      <c r="E766" s="7"/>
      <c r="F766" s="7"/>
      <c r="G766" s="7"/>
      <c r="H766" s="7"/>
      <c r="I766" s="7"/>
      <c r="J766" s="8"/>
      <c r="K766" s="9"/>
    </row>
    <row r="767">
      <c r="A767" s="6"/>
      <c r="B767" s="7"/>
      <c r="C767" s="7"/>
      <c r="D767" s="7"/>
      <c r="E767" s="7"/>
      <c r="F767" s="7"/>
      <c r="G767" s="7"/>
      <c r="H767" s="7"/>
      <c r="I767" s="7"/>
      <c r="J767" s="8"/>
      <c r="K767" s="9"/>
    </row>
    <row r="768">
      <c r="A768" s="6"/>
      <c r="B768" s="7"/>
      <c r="C768" s="7"/>
      <c r="D768" s="7"/>
      <c r="E768" s="7"/>
      <c r="F768" s="7"/>
      <c r="G768" s="7"/>
      <c r="H768" s="7"/>
      <c r="I768" s="7"/>
      <c r="J768" s="8"/>
      <c r="K768" s="9"/>
    </row>
    <row r="769">
      <c r="A769" s="6"/>
      <c r="B769" s="7"/>
      <c r="C769" s="7"/>
      <c r="D769" s="7"/>
      <c r="E769" s="7"/>
      <c r="F769" s="7"/>
      <c r="G769" s="7"/>
      <c r="H769" s="7"/>
      <c r="I769" s="7"/>
      <c r="J769" s="8"/>
      <c r="K769" s="9"/>
    </row>
    <row r="770">
      <c r="A770" s="6"/>
      <c r="B770" s="7"/>
      <c r="C770" s="7"/>
      <c r="D770" s="7"/>
      <c r="E770" s="7"/>
      <c r="F770" s="7"/>
      <c r="G770" s="7"/>
      <c r="H770" s="7"/>
      <c r="I770" s="7"/>
      <c r="J770" s="8"/>
      <c r="K770" s="9"/>
    </row>
    <row r="771">
      <c r="A771" s="6"/>
      <c r="B771" s="7"/>
      <c r="C771" s="7"/>
      <c r="D771" s="7"/>
      <c r="E771" s="7"/>
      <c r="F771" s="7"/>
      <c r="G771" s="7"/>
      <c r="H771" s="7"/>
      <c r="I771" s="7"/>
      <c r="J771" s="8"/>
      <c r="K771" s="9"/>
    </row>
    <row r="772">
      <c r="A772" s="6"/>
      <c r="B772" s="7"/>
      <c r="C772" s="7"/>
      <c r="D772" s="7"/>
      <c r="E772" s="7"/>
      <c r="F772" s="7"/>
      <c r="G772" s="7"/>
      <c r="H772" s="7"/>
      <c r="I772" s="7"/>
      <c r="J772" s="8"/>
      <c r="K772" s="9"/>
    </row>
    <row r="773">
      <c r="A773" s="6"/>
      <c r="B773" s="7"/>
      <c r="C773" s="7"/>
      <c r="D773" s="7"/>
      <c r="E773" s="7"/>
      <c r="F773" s="7"/>
      <c r="G773" s="7"/>
      <c r="H773" s="7"/>
      <c r="I773" s="7"/>
      <c r="J773" s="8"/>
      <c r="K773" s="9"/>
    </row>
    <row r="774">
      <c r="A774" s="6"/>
      <c r="B774" s="7"/>
      <c r="C774" s="7"/>
      <c r="D774" s="7"/>
      <c r="E774" s="7"/>
      <c r="F774" s="7"/>
      <c r="G774" s="7"/>
      <c r="H774" s="7"/>
      <c r="I774" s="7"/>
      <c r="J774" s="8"/>
      <c r="K774" s="9"/>
    </row>
    <row r="775">
      <c r="A775" s="6"/>
      <c r="B775" s="7"/>
      <c r="C775" s="7"/>
      <c r="D775" s="7"/>
      <c r="E775" s="7"/>
      <c r="F775" s="7"/>
      <c r="G775" s="7"/>
      <c r="H775" s="7"/>
      <c r="I775" s="7"/>
      <c r="J775" s="8"/>
      <c r="K775" s="9"/>
    </row>
    <row r="776">
      <c r="A776" s="6"/>
      <c r="B776" s="7"/>
      <c r="C776" s="7"/>
      <c r="D776" s="7"/>
      <c r="E776" s="7"/>
      <c r="F776" s="7"/>
      <c r="G776" s="7"/>
      <c r="H776" s="7"/>
      <c r="I776" s="7"/>
      <c r="J776" s="8"/>
      <c r="K776" s="9"/>
    </row>
    <row r="777">
      <c r="A777" s="6"/>
      <c r="B777" s="7"/>
      <c r="C777" s="7"/>
      <c r="D777" s="7"/>
      <c r="E777" s="7"/>
      <c r="F777" s="7"/>
      <c r="G777" s="7"/>
      <c r="H777" s="7"/>
      <c r="I777" s="7"/>
      <c r="J777" s="8"/>
      <c r="K777" s="9"/>
    </row>
    <row r="778">
      <c r="A778" s="6"/>
      <c r="B778" s="7"/>
      <c r="C778" s="7"/>
      <c r="D778" s="7"/>
      <c r="E778" s="7"/>
      <c r="F778" s="7"/>
      <c r="G778" s="7"/>
      <c r="H778" s="7"/>
      <c r="I778" s="7"/>
      <c r="J778" s="8"/>
      <c r="K778" s="9"/>
    </row>
    <row r="779">
      <c r="A779" s="6"/>
      <c r="B779" s="7"/>
      <c r="C779" s="7"/>
      <c r="D779" s="7"/>
      <c r="E779" s="7"/>
      <c r="F779" s="7"/>
      <c r="G779" s="7"/>
      <c r="H779" s="7"/>
      <c r="I779" s="7"/>
      <c r="J779" s="8"/>
      <c r="K779" s="9"/>
    </row>
    <row r="780">
      <c r="A780" s="6"/>
      <c r="B780" s="7"/>
      <c r="C780" s="7"/>
      <c r="D780" s="7"/>
      <c r="E780" s="7"/>
      <c r="F780" s="7"/>
      <c r="G780" s="7"/>
      <c r="H780" s="7"/>
      <c r="I780" s="7"/>
      <c r="J780" s="8"/>
      <c r="K780" s="9"/>
    </row>
    <row r="781">
      <c r="A781" s="6"/>
      <c r="B781" s="7"/>
      <c r="C781" s="7"/>
      <c r="D781" s="7"/>
      <c r="E781" s="7"/>
      <c r="F781" s="7"/>
      <c r="G781" s="7"/>
      <c r="H781" s="7"/>
      <c r="I781" s="7"/>
      <c r="J781" s="8"/>
      <c r="K781" s="9"/>
    </row>
    <row r="782">
      <c r="A782" s="6"/>
      <c r="B782" s="7"/>
      <c r="C782" s="7"/>
      <c r="D782" s="7"/>
      <c r="E782" s="7"/>
      <c r="F782" s="7"/>
      <c r="G782" s="7"/>
      <c r="H782" s="7"/>
      <c r="I782" s="7"/>
      <c r="J782" s="8"/>
      <c r="K782" s="9"/>
    </row>
    <row r="783">
      <c r="A783" s="6"/>
      <c r="B783" s="7"/>
      <c r="C783" s="7"/>
      <c r="D783" s="7"/>
      <c r="E783" s="7"/>
      <c r="F783" s="7"/>
      <c r="G783" s="7"/>
      <c r="H783" s="7"/>
      <c r="I783" s="7"/>
      <c r="J783" s="8"/>
      <c r="K783" s="9"/>
    </row>
    <row r="784">
      <c r="A784" s="6"/>
      <c r="B784" s="7"/>
      <c r="C784" s="7"/>
      <c r="D784" s="7"/>
      <c r="E784" s="7"/>
      <c r="F784" s="7"/>
      <c r="G784" s="7"/>
      <c r="H784" s="7"/>
      <c r="I784" s="7"/>
      <c r="J784" s="8"/>
      <c r="K784" s="9"/>
    </row>
    <row r="785">
      <c r="A785" s="6"/>
      <c r="B785" s="7"/>
      <c r="C785" s="7"/>
      <c r="D785" s="7"/>
      <c r="E785" s="7"/>
      <c r="F785" s="7"/>
      <c r="G785" s="7"/>
      <c r="H785" s="7"/>
      <c r="I785" s="7"/>
      <c r="J785" s="8"/>
      <c r="K785" s="9"/>
    </row>
    <row r="786">
      <c r="A786" s="6"/>
      <c r="B786" s="7"/>
      <c r="C786" s="7"/>
      <c r="D786" s="7"/>
      <c r="E786" s="7"/>
      <c r="F786" s="7"/>
      <c r="G786" s="7"/>
      <c r="H786" s="7"/>
      <c r="I786" s="7"/>
      <c r="J786" s="8"/>
      <c r="K786" s="9"/>
    </row>
    <row r="787">
      <c r="A787" s="6"/>
      <c r="B787" s="7"/>
      <c r="C787" s="7"/>
      <c r="D787" s="7"/>
      <c r="E787" s="7"/>
      <c r="F787" s="7"/>
      <c r="G787" s="7"/>
      <c r="H787" s="7"/>
      <c r="I787" s="7"/>
      <c r="J787" s="8"/>
      <c r="K787" s="9"/>
    </row>
    <row r="788">
      <c r="A788" s="6"/>
      <c r="B788" s="7"/>
      <c r="C788" s="7"/>
      <c r="D788" s="7"/>
      <c r="E788" s="7"/>
      <c r="F788" s="7"/>
      <c r="G788" s="7"/>
      <c r="H788" s="7"/>
      <c r="I788" s="7"/>
      <c r="J788" s="8"/>
      <c r="K788" s="9"/>
    </row>
    <row r="789">
      <c r="A789" s="6"/>
      <c r="B789" s="7"/>
      <c r="C789" s="7"/>
      <c r="D789" s="7"/>
      <c r="E789" s="7"/>
      <c r="F789" s="7"/>
      <c r="G789" s="7"/>
      <c r="H789" s="7"/>
      <c r="I789" s="7"/>
      <c r="J789" s="8"/>
      <c r="K789" s="9"/>
    </row>
    <row r="790">
      <c r="A790" s="6"/>
      <c r="B790" s="7"/>
      <c r="C790" s="7"/>
      <c r="D790" s="7"/>
      <c r="E790" s="7"/>
      <c r="F790" s="7"/>
      <c r="G790" s="7"/>
      <c r="H790" s="7"/>
      <c r="I790" s="7"/>
      <c r="J790" s="8"/>
      <c r="K790" s="9"/>
    </row>
    <row r="791">
      <c r="A791" s="6"/>
      <c r="B791" s="7"/>
      <c r="C791" s="7"/>
      <c r="D791" s="7"/>
      <c r="E791" s="7"/>
      <c r="F791" s="7"/>
      <c r="G791" s="7"/>
      <c r="H791" s="7"/>
      <c r="I791" s="7"/>
      <c r="J791" s="8"/>
      <c r="K791" s="9"/>
    </row>
    <row r="792">
      <c r="A792" s="6"/>
      <c r="B792" s="7"/>
      <c r="C792" s="7"/>
      <c r="D792" s="7"/>
      <c r="E792" s="7"/>
      <c r="F792" s="7"/>
      <c r="G792" s="7"/>
      <c r="H792" s="7"/>
      <c r="I792" s="7"/>
      <c r="J792" s="8"/>
      <c r="K792" s="9"/>
    </row>
    <row r="793">
      <c r="A793" s="6"/>
      <c r="B793" s="7"/>
      <c r="C793" s="7"/>
      <c r="D793" s="7"/>
      <c r="E793" s="7"/>
      <c r="F793" s="7"/>
      <c r="G793" s="7"/>
      <c r="H793" s="7"/>
      <c r="I793" s="7"/>
      <c r="J793" s="8"/>
      <c r="K793" s="9"/>
    </row>
    <row r="794">
      <c r="A794" s="6"/>
      <c r="B794" s="7"/>
      <c r="C794" s="7"/>
      <c r="D794" s="7"/>
      <c r="E794" s="7"/>
      <c r="F794" s="7"/>
      <c r="G794" s="7"/>
      <c r="H794" s="7"/>
      <c r="I794" s="7"/>
      <c r="J794" s="8"/>
      <c r="K794" s="9"/>
    </row>
    <row r="795">
      <c r="A795" s="6"/>
      <c r="B795" s="7"/>
      <c r="C795" s="7"/>
      <c r="D795" s="7"/>
      <c r="E795" s="7"/>
      <c r="F795" s="7"/>
      <c r="G795" s="7"/>
      <c r="H795" s="7"/>
      <c r="I795" s="7"/>
      <c r="J795" s="8"/>
      <c r="K795" s="9"/>
    </row>
    <row r="796">
      <c r="A796" s="6"/>
      <c r="B796" s="7"/>
      <c r="C796" s="7"/>
      <c r="D796" s="7"/>
      <c r="E796" s="7"/>
      <c r="F796" s="7"/>
      <c r="G796" s="7"/>
      <c r="H796" s="7"/>
      <c r="I796" s="7"/>
      <c r="J796" s="8"/>
      <c r="K796" s="9"/>
    </row>
    <row r="797">
      <c r="A797" s="6"/>
      <c r="B797" s="7"/>
      <c r="C797" s="7"/>
      <c r="D797" s="7"/>
      <c r="E797" s="7"/>
      <c r="F797" s="7"/>
      <c r="G797" s="7"/>
      <c r="H797" s="7"/>
      <c r="I797" s="7"/>
      <c r="J797" s="8"/>
      <c r="K797" s="9"/>
    </row>
    <row r="798">
      <c r="A798" s="6"/>
      <c r="B798" s="7"/>
      <c r="C798" s="7"/>
      <c r="D798" s="7"/>
      <c r="E798" s="7"/>
      <c r="F798" s="7"/>
      <c r="G798" s="7"/>
      <c r="H798" s="7"/>
      <c r="I798" s="7"/>
      <c r="J798" s="8"/>
      <c r="K798" s="9"/>
    </row>
    <row r="799">
      <c r="A799" s="6"/>
      <c r="B799" s="7"/>
      <c r="C799" s="7"/>
      <c r="D799" s="7"/>
      <c r="E799" s="7"/>
      <c r="F799" s="7"/>
      <c r="G799" s="7"/>
      <c r="H799" s="7"/>
      <c r="I799" s="7"/>
      <c r="J799" s="8"/>
      <c r="K799" s="9"/>
    </row>
    <row r="800">
      <c r="A800" s="6"/>
      <c r="B800" s="7"/>
      <c r="C800" s="7"/>
      <c r="D800" s="7"/>
      <c r="E800" s="7"/>
      <c r="F800" s="7"/>
      <c r="G800" s="7"/>
      <c r="H800" s="7"/>
      <c r="I800" s="7"/>
      <c r="J800" s="8"/>
      <c r="K800" s="9"/>
    </row>
    <row r="801">
      <c r="A801" s="6"/>
      <c r="B801" s="7"/>
      <c r="C801" s="7"/>
      <c r="D801" s="7"/>
      <c r="E801" s="7"/>
      <c r="F801" s="7"/>
      <c r="G801" s="7"/>
      <c r="H801" s="7"/>
      <c r="I801" s="7"/>
      <c r="J801" s="8"/>
      <c r="K801" s="9"/>
    </row>
    <row r="802">
      <c r="A802" s="6"/>
      <c r="B802" s="7"/>
      <c r="C802" s="7"/>
      <c r="D802" s="7"/>
      <c r="E802" s="7"/>
      <c r="F802" s="7"/>
      <c r="G802" s="7"/>
      <c r="H802" s="7"/>
      <c r="I802" s="7"/>
      <c r="J802" s="8"/>
      <c r="K802" s="9"/>
    </row>
    <row r="803">
      <c r="A803" s="6"/>
      <c r="B803" s="7"/>
      <c r="C803" s="7"/>
      <c r="D803" s="7"/>
      <c r="E803" s="7"/>
      <c r="F803" s="7"/>
      <c r="G803" s="7"/>
      <c r="H803" s="7"/>
      <c r="I803" s="7"/>
      <c r="J803" s="8"/>
      <c r="K803" s="9"/>
    </row>
    <row r="804">
      <c r="A804" s="6"/>
      <c r="B804" s="7"/>
      <c r="C804" s="7"/>
      <c r="D804" s="7"/>
      <c r="E804" s="7"/>
      <c r="F804" s="7"/>
      <c r="G804" s="7"/>
      <c r="H804" s="7"/>
      <c r="I804" s="7"/>
      <c r="J804" s="8"/>
      <c r="K804" s="9"/>
    </row>
    <row r="805">
      <c r="A805" s="6"/>
      <c r="B805" s="7"/>
      <c r="C805" s="7"/>
      <c r="D805" s="7"/>
      <c r="E805" s="7"/>
      <c r="F805" s="7"/>
      <c r="G805" s="7"/>
      <c r="H805" s="7"/>
      <c r="I805" s="7"/>
      <c r="J805" s="8"/>
      <c r="K805" s="9"/>
    </row>
    <row r="806">
      <c r="A806" s="6"/>
      <c r="B806" s="7"/>
      <c r="C806" s="7"/>
      <c r="D806" s="7"/>
      <c r="E806" s="7"/>
      <c r="F806" s="7"/>
      <c r="G806" s="7"/>
      <c r="H806" s="7"/>
      <c r="I806" s="7"/>
      <c r="J806" s="8"/>
      <c r="K806" s="9"/>
    </row>
    <row r="807">
      <c r="A807" s="6"/>
      <c r="B807" s="7"/>
      <c r="C807" s="7"/>
      <c r="D807" s="7"/>
      <c r="E807" s="7"/>
      <c r="F807" s="7"/>
      <c r="G807" s="7"/>
      <c r="H807" s="7"/>
      <c r="I807" s="7"/>
      <c r="J807" s="8"/>
      <c r="K807" s="9"/>
    </row>
    <row r="808">
      <c r="A808" s="6"/>
      <c r="B808" s="7"/>
      <c r="C808" s="7"/>
      <c r="D808" s="7"/>
      <c r="E808" s="7"/>
      <c r="F808" s="7"/>
      <c r="G808" s="7"/>
      <c r="H808" s="7"/>
      <c r="I808" s="7"/>
      <c r="J808" s="8"/>
      <c r="K808" s="9"/>
    </row>
    <row r="809">
      <c r="A809" s="6"/>
      <c r="B809" s="7"/>
      <c r="C809" s="7"/>
      <c r="D809" s="7"/>
      <c r="E809" s="7"/>
      <c r="F809" s="7"/>
      <c r="G809" s="7"/>
      <c r="H809" s="7"/>
      <c r="I809" s="7"/>
      <c r="J809" s="8"/>
      <c r="K809" s="9"/>
    </row>
    <row r="810">
      <c r="A810" s="6"/>
      <c r="B810" s="7"/>
      <c r="C810" s="7"/>
      <c r="D810" s="7"/>
      <c r="E810" s="7"/>
      <c r="F810" s="7"/>
      <c r="G810" s="7"/>
      <c r="H810" s="7"/>
      <c r="I810" s="7"/>
      <c r="J810" s="8"/>
      <c r="K810" s="9"/>
    </row>
    <row r="811">
      <c r="A811" s="6"/>
      <c r="B811" s="7"/>
      <c r="C811" s="7"/>
      <c r="D811" s="7"/>
      <c r="E811" s="7"/>
      <c r="F811" s="7"/>
      <c r="G811" s="7"/>
      <c r="H811" s="7"/>
      <c r="I811" s="7"/>
      <c r="J811" s="8"/>
      <c r="K811" s="9"/>
    </row>
    <row r="812">
      <c r="A812" s="6"/>
      <c r="B812" s="7"/>
      <c r="C812" s="7"/>
      <c r="D812" s="7"/>
      <c r="E812" s="7"/>
      <c r="F812" s="7"/>
      <c r="G812" s="7"/>
      <c r="H812" s="7"/>
      <c r="I812" s="7"/>
      <c r="J812" s="8"/>
      <c r="K812" s="9"/>
    </row>
    <row r="813">
      <c r="A813" s="6"/>
      <c r="B813" s="7"/>
      <c r="C813" s="7"/>
      <c r="D813" s="7"/>
      <c r="E813" s="7"/>
      <c r="F813" s="7"/>
      <c r="G813" s="7"/>
      <c r="H813" s="7"/>
      <c r="I813" s="7"/>
      <c r="J813" s="8"/>
      <c r="K813" s="9"/>
    </row>
    <row r="814">
      <c r="A814" s="6"/>
      <c r="B814" s="7"/>
      <c r="C814" s="7"/>
      <c r="D814" s="7"/>
      <c r="E814" s="7"/>
      <c r="F814" s="7"/>
      <c r="G814" s="7"/>
      <c r="H814" s="7"/>
      <c r="I814" s="7"/>
      <c r="J814" s="8"/>
      <c r="K814" s="9"/>
    </row>
    <row r="815">
      <c r="A815" s="6"/>
      <c r="B815" s="7"/>
      <c r="C815" s="7"/>
      <c r="D815" s="7"/>
      <c r="E815" s="7"/>
      <c r="F815" s="7"/>
      <c r="G815" s="7"/>
      <c r="H815" s="7"/>
      <c r="I815" s="7"/>
      <c r="J815" s="8"/>
      <c r="K815" s="9"/>
    </row>
    <row r="816">
      <c r="A816" s="6"/>
      <c r="B816" s="7"/>
      <c r="C816" s="7"/>
      <c r="D816" s="7"/>
      <c r="E816" s="7"/>
      <c r="F816" s="7"/>
      <c r="G816" s="7"/>
      <c r="H816" s="7"/>
      <c r="I816" s="7"/>
      <c r="J816" s="8"/>
      <c r="K816" s="9"/>
    </row>
    <row r="817">
      <c r="A817" s="6"/>
      <c r="B817" s="7"/>
      <c r="C817" s="7"/>
      <c r="D817" s="7"/>
      <c r="E817" s="7"/>
      <c r="F817" s="7"/>
      <c r="G817" s="7"/>
      <c r="H817" s="7"/>
      <c r="I817" s="7"/>
      <c r="J817" s="8"/>
      <c r="K817" s="9"/>
    </row>
    <row r="818">
      <c r="A818" s="6"/>
      <c r="B818" s="7"/>
      <c r="C818" s="7"/>
      <c r="D818" s="7"/>
      <c r="E818" s="7"/>
      <c r="F818" s="7"/>
      <c r="G818" s="7"/>
      <c r="H818" s="7"/>
      <c r="I818" s="7"/>
      <c r="J818" s="8"/>
      <c r="K818" s="9"/>
    </row>
    <row r="819">
      <c r="A819" s="6"/>
      <c r="B819" s="7"/>
      <c r="C819" s="7"/>
      <c r="D819" s="7"/>
      <c r="E819" s="7"/>
      <c r="F819" s="7"/>
      <c r="G819" s="7"/>
      <c r="H819" s="7"/>
      <c r="I819" s="7"/>
      <c r="J819" s="8"/>
      <c r="K819" s="9"/>
    </row>
    <row r="820">
      <c r="A820" s="6"/>
      <c r="B820" s="7"/>
      <c r="C820" s="7"/>
      <c r="D820" s="7"/>
      <c r="E820" s="7"/>
      <c r="F820" s="7"/>
      <c r="G820" s="7"/>
      <c r="H820" s="7"/>
      <c r="I820" s="7"/>
      <c r="J820" s="8"/>
      <c r="K820" s="9"/>
    </row>
    <row r="821">
      <c r="A821" s="6"/>
      <c r="B821" s="7"/>
      <c r="C821" s="7"/>
      <c r="D821" s="7"/>
      <c r="E821" s="7"/>
      <c r="F821" s="7"/>
      <c r="G821" s="7"/>
      <c r="H821" s="7"/>
      <c r="I821" s="7"/>
      <c r="J821" s="8"/>
      <c r="K821" s="9"/>
    </row>
    <row r="822">
      <c r="A822" s="6"/>
      <c r="B822" s="7"/>
      <c r="C822" s="7"/>
      <c r="D822" s="7"/>
      <c r="E822" s="7"/>
      <c r="F822" s="7"/>
      <c r="G822" s="7"/>
      <c r="H822" s="7"/>
      <c r="I822" s="7"/>
      <c r="J822" s="8"/>
      <c r="K822" s="9"/>
    </row>
    <row r="823">
      <c r="A823" s="6"/>
      <c r="B823" s="7"/>
      <c r="C823" s="7"/>
      <c r="D823" s="7"/>
      <c r="E823" s="7"/>
      <c r="F823" s="7"/>
      <c r="G823" s="7"/>
      <c r="H823" s="7"/>
      <c r="I823" s="7"/>
      <c r="J823" s="8"/>
      <c r="K823" s="9"/>
    </row>
    <row r="824">
      <c r="A824" s="6"/>
      <c r="B824" s="7"/>
      <c r="C824" s="7"/>
      <c r="D824" s="7"/>
      <c r="E824" s="7"/>
      <c r="F824" s="7"/>
      <c r="G824" s="7"/>
      <c r="H824" s="7"/>
      <c r="I824" s="7"/>
      <c r="J824" s="8"/>
      <c r="K824" s="9"/>
    </row>
    <row r="825">
      <c r="A825" s="6"/>
      <c r="B825" s="7"/>
      <c r="C825" s="7"/>
      <c r="D825" s="7"/>
      <c r="E825" s="7"/>
      <c r="F825" s="7"/>
      <c r="G825" s="7"/>
      <c r="H825" s="7"/>
      <c r="I825" s="7"/>
      <c r="J825" s="8"/>
      <c r="K825" s="9"/>
    </row>
    <row r="826">
      <c r="A826" s="6"/>
      <c r="B826" s="7"/>
      <c r="C826" s="7"/>
      <c r="D826" s="7"/>
      <c r="E826" s="7"/>
      <c r="F826" s="7"/>
      <c r="G826" s="7"/>
      <c r="H826" s="7"/>
      <c r="I826" s="7"/>
      <c r="J826" s="8"/>
      <c r="K826" s="9"/>
    </row>
    <row r="827">
      <c r="A827" s="6"/>
      <c r="B827" s="7"/>
      <c r="C827" s="7"/>
      <c r="D827" s="7"/>
      <c r="E827" s="7"/>
      <c r="F827" s="7"/>
      <c r="G827" s="7"/>
      <c r="H827" s="7"/>
      <c r="I827" s="7"/>
      <c r="J827" s="8"/>
      <c r="K827" s="9"/>
    </row>
    <row r="828">
      <c r="A828" s="6"/>
      <c r="B828" s="7"/>
      <c r="C828" s="7"/>
      <c r="D828" s="7"/>
      <c r="E828" s="7"/>
      <c r="F828" s="7"/>
      <c r="G828" s="7"/>
      <c r="H828" s="7"/>
      <c r="I828" s="7"/>
      <c r="J828" s="8"/>
      <c r="K828" s="9"/>
    </row>
    <row r="829">
      <c r="A829" s="6"/>
      <c r="B829" s="7"/>
      <c r="C829" s="7"/>
      <c r="D829" s="7"/>
      <c r="E829" s="7"/>
      <c r="F829" s="7"/>
      <c r="G829" s="7"/>
      <c r="H829" s="7"/>
      <c r="I829" s="7"/>
      <c r="J829" s="8"/>
      <c r="K829" s="9"/>
    </row>
    <row r="830">
      <c r="A830" s="6"/>
      <c r="B830" s="7"/>
      <c r="C830" s="7"/>
      <c r="D830" s="7"/>
      <c r="E830" s="7"/>
      <c r="F830" s="7"/>
      <c r="G830" s="7"/>
      <c r="H830" s="7"/>
      <c r="I830" s="7"/>
      <c r="J830" s="8"/>
      <c r="K830" s="9"/>
    </row>
    <row r="831">
      <c r="A831" s="6"/>
      <c r="B831" s="7"/>
      <c r="C831" s="7"/>
      <c r="D831" s="7"/>
      <c r="E831" s="7"/>
      <c r="F831" s="7"/>
      <c r="G831" s="7"/>
      <c r="H831" s="7"/>
      <c r="I831" s="7"/>
      <c r="J831" s="8"/>
      <c r="K831" s="9"/>
    </row>
    <row r="832">
      <c r="A832" s="6"/>
      <c r="B832" s="7"/>
      <c r="C832" s="7"/>
      <c r="D832" s="7"/>
      <c r="E832" s="7"/>
      <c r="F832" s="7"/>
      <c r="G832" s="7"/>
      <c r="H832" s="7"/>
      <c r="I832" s="7"/>
      <c r="J832" s="8"/>
      <c r="K832" s="9"/>
    </row>
    <row r="833">
      <c r="A833" s="6"/>
      <c r="B833" s="7"/>
      <c r="C833" s="7"/>
      <c r="D833" s="7"/>
      <c r="E833" s="7"/>
      <c r="F833" s="7"/>
      <c r="G833" s="7"/>
      <c r="H833" s="7"/>
      <c r="I833" s="7"/>
      <c r="J833" s="8"/>
      <c r="K833" s="9"/>
    </row>
    <row r="834">
      <c r="A834" s="6"/>
      <c r="B834" s="7"/>
      <c r="C834" s="7"/>
      <c r="D834" s="7"/>
      <c r="E834" s="7"/>
      <c r="F834" s="7"/>
      <c r="G834" s="7"/>
      <c r="H834" s="7"/>
      <c r="I834" s="7"/>
      <c r="J834" s="8"/>
      <c r="K834" s="9"/>
    </row>
    <row r="835">
      <c r="A835" s="6"/>
      <c r="B835" s="7"/>
      <c r="C835" s="7"/>
      <c r="D835" s="7"/>
      <c r="E835" s="7"/>
      <c r="F835" s="7"/>
      <c r="G835" s="7"/>
      <c r="H835" s="7"/>
      <c r="I835" s="7"/>
      <c r="J835" s="8"/>
      <c r="K835" s="9"/>
    </row>
    <row r="836">
      <c r="A836" s="6"/>
      <c r="B836" s="7"/>
      <c r="C836" s="7"/>
      <c r="D836" s="7"/>
      <c r="E836" s="7"/>
      <c r="F836" s="7"/>
      <c r="G836" s="7"/>
      <c r="H836" s="7"/>
      <c r="I836" s="7"/>
      <c r="J836" s="8"/>
      <c r="K836" s="9"/>
    </row>
    <row r="837">
      <c r="A837" s="6"/>
      <c r="B837" s="7"/>
      <c r="C837" s="7"/>
      <c r="D837" s="7"/>
      <c r="E837" s="7"/>
      <c r="F837" s="7"/>
      <c r="G837" s="7"/>
      <c r="H837" s="7"/>
      <c r="I837" s="7"/>
      <c r="J837" s="8"/>
      <c r="K837" s="9"/>
    </row>
    <row r="838">
      <c r="A838" s="6"/>
      <c r="B838" s="7"/>
      <c r="C838" s="7"/>
      <c r="D838" s="7"/>
      <c r="E838" s="7"/>
      <c r="F838" s="7"/>
      <c r="G838" s="7"/>
      <c r="H838" s="7"/>
      <c r="I838" s="7"/>
      <c r="J838" s="8"/>
      <c r="K838" s="9"/>
    </row>
    <row r="839">
      <c r="A839" s="6"/>
      <c r="B839" s="7"/>
      <c r="C839" s="7"/>
      <c r="D839" s="7"/>
      <c r="E839" s="7"/>
      <c r="F839" s="7"/>
      <c r="G839" s="7"/>
      <c r="H839" s="7"/>
      <c r="I839" s="7"/>
      <c r="J839" s="8"/>
      <c r="K839" s="9"/>
    </row>
    <row r="840">
      <c r="A840" s="6"/>
      <c r="B840" s="7"/>
      <c r="C840" s="7"/>
      <c r="D840" s="7"/>
      <c r="E840" s="7"/>
      <c r="F840" s="7"/>
      <c r="G840" s="7"/>
      <c r="H840" s="7"/>
      <c r="I840" s="7"/>
      <c r="J840" s="8"/>
      <c r="K840" s="9"/>
    </row>
    <row r="841">
      <c r="A841" s="6"/>
      <c r="B841" s="7"/>
      <c r="C841" s="7"/>
      <c r="D841" s="7"/>
      <c r="E841" s="7"/>
      <c r="F841" s="7"/>
      <c r="G841" s="7"/>
      <c r="H841" s="7"/>
      <c r="I841" s="7"/>
      <c r="J841" s="8"/>
      <c r="K841" s="9"/>
    </row>
    <row r="842">
      <c r="A842" s="6"/>
      <c r="B842" s="7"/>
      <c r="C842" s="7"/>
      <c r="D842" s="7"/>
      <c r="E842" s="7"/>
      <c r="F842" s="7"/>
      <c r="G842" s="7"/>
      <c r="H842" s="7"/>
      <c r="I842" s="7"/>
      <c r="J842" s="8"/>
      <c r="K842" s="9"/>
    </row>
    <row r="843">
      <c r="A843" s="6"/>
      <c r="B843" s="7"/>
      <c r="C843" s="7"/>
      <c r="D843" s="7"/>
      <c r="E843" s="7"/>
      <c r="F843" s="7"/>
      <c r="G843" s="7"/>
      <c r="H843" s="7"/>
      <c r="I843" s="7"/>
      <c r="J843" s="8"/>
      <c r="K843" s="9"/>
    </row>
    <row r="844">
      <c r="A844" s="6"/>
      <c r="B844" s="7"/>
      <c r="C844" s="7"/>
      <c r="D844" s="7"/>
      <c r="E844" s="7"/>
      <c r="F844" s="7"/>
      <c r="G844" s="7"/>
      <c r="H844" s="7"/>
      <c r="I844" s="7"/>
      <c r="J844" s="8"/>
      <c r="K844" s="9"/>
    </row>
    <row r="845">
      <c r="A845" s="6"/>
      <c r="B845" s="7"/>
      <c r="C845" s="7"/>
      <c r="D845" s="7"/>
      <c r="E845" s="7"/>
      <c r="F845" s="7"/>
      <c r="G845" s="7"/>
      <c r="H845" s="7"/>
      <c r="I845" s="7"/>
      <c r="J845" s="8"/>
      <c r="K845" s="9"/>
    </row>
    <row r="846">
      <c r="A846" s="6"/>
      <c r="B846" s="7"/>
      <c r="C846" s="7"/>
      <c r="D846" s="7"/>
      <c r="E846" s="7"/>
      <c r="F846" s="7"/>
      <c r="G846" s="7"/>
      <c r="H846" s="7"/>
      <c r="I846" s="7"/>
      <c r="J846" s="8"/>
      <c r="K846" s="9"/>
    </row>
    <row r="847">
      <c r="A847" s="6"/>
      <c r="B847" s="7"/>
      <c r="C847" s="7"/>
      <c r="D847" s="7"/>
      <c r="E847" s="7"/>
      <c r="F847" s="7"/>
      <c r="G847" s="7"/>
      <c r="H847" s="7"/>
      <c r="I847" s="7"/>
      <c r="J847" s="8"/>
      <c r="K847" s="9"/>
    </row>
  </sheetData>
  <autoFilter ref="$A$1:$Z$43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6.25"/>
    <col customWidth="1" min="3" max="3" width="13.75"/>
    <col customWidth="1" min="4" max="4" width="29.75"/>
    <col customWidth="1" min="5" max="5" width="19.38"/>
    <col customWidth="1" min="6" max="6" width="42.13"/>
    <col customWidth="1" min="7" max="7" width="9.5"/>
    <col customWidth="1" min="8" max="8" width="32.38"/>
    <col customWidth="1" min="9" max="9" width="11.5"/>
    <col customWidth="1" min="10" max="10" width="22.63"/>
    <col customWidth="1" min="11" max="11" width="19.88"/>
  </cols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1" t="s">
        <v>7</v>
      </c>
      <c r="I1" s="11" t="s">
        <v>8</v>
      </c>
      <c r="J1" s="12" t="s">
        <v>9</v>
      </c>
      <c r="K1" s="1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/>
      <c r="B2" s="13"/>
      <c r="C2" s="13" t="s">
        <v>11</v>
      </c>
      <c r="D2" s="14" t="s">
        <v>12</v>
      </c>
      <c r="E2" s="13"/>
      <c r="F2" s="14" t="s">
        <v>13</v>
      </c>
      <c r="G2" s="23" t="s">
        <v>14</v>
      </c>
      <c r="H2" s="14" t="s">
        <v>15</v>
      </c>
      <c r="I2" s="14">
        <v>1.0</v>
      </c>
      <c r="J2" s="13"/>
      <c r="K2" s="1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3"/>
      <c r="B3" s="13"/>
      <c r="C3" s="13" t="s">
        <v>11</v>
      </c>
      <c r="D3" s="13" t="s">
        <v>16</v>
      </c>
      <c r="E3" s="13"/>
      <c r="F3" s="14" t="s">
        <v>154</v>
      </c>
      <c r="G3" s="23" t="s">
        <v>14</v>
      </c>
      <c r="H3" s="14" t="s">
        <v>15</v>
      </c>
      <c r="I3" s="14">
        <v>11.0</v>
      </c>
      <c r="J3" s="13"/>
      <c r="K3" s="1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3"/>
      <c r="B4" s="13"/>
      <c r="C4" s="13" t="s">
        <v>11</v>
      </c>
      <c r="D4" s="14" t="s">
        <v>18</v>
      </c>
      <c r="E4" s="13"/>
      <c r="F4" s="14" t="s">
        <v>19</v>
      </c>
      <c r="G4" s="23" t="s">
        <v>14</v>
      </c>
      <c r="H4" s="14" t="s">
        <v>15</v>
      </c>
      <c r="I4" s="14">
        <v>6.0</v>
      </c>
      <c r="J4" s="13"/>
      <c r="K4" s="1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/>
      <c r="B5" s="13"/>
      <c r="C5" s="13" t="s">
        <v>11</v>
      </c>
      <c r="D5" s="14" t="s">
        <v>24</v>
      </c>
      <c r="E5" s="13"/>
      <c r="F5" s="14" t="s">
        <v>25</v>
      </c>
      <c r="G5" s="23" t="s">
        <v>22</v>
      </c>
      <c r="H5" s="14" t="s">
        <v>26</v>
      </c>
      <c r="I5" s="14">
        <v>1.0</v>
      </c>
      <c r="J5" s="13"/>
      <c r="K5" s="1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/>
      <c r="B6" s="13"/>
      <c r="C6" s="13" t="s">
        <v>11</v>
      </c>
      <c r="D6" s="16" t="s">
        <v>27</v>
      </c>
      <c r="E6" s="13"/>
      <c r="F6" s="14" t="s">
        <v>28</v>
      </c>
      <c r="G6" s="23" t="s">
        <v>14</v>
      </c>
      <c r="H6" s="14" t="s">
        <v>15</v>
      </c>
      <c r="I6" s="14">
        <v>2.0</v>
      </c>
      <c r="J6" s="13"/>
      <c r="K6" s="1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/>
      <c r="B7" s="13"/>
      <c r="C7" s="13" t="s">
        <v>11</v>
      </c>
      <c r="D7" s="13" t="s">
        <v>29</v>
      </c>
      <c r="E7" s="13"/>
      <c r="F7" s="13" t="s">
        <v>30</v>
      </c>
      <c r="G7" s="13" t="s">
        <v>22</v>
      </c>
      <c r="H7" s="16" t="s">
        <v>31</v>
      </c>
      <c r="I7" s="14">
        <v>2.0</v>
      </c>
      <c r="J7" s="13"/>
      <c r="K7" s="1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/>
      <c r="B8" s="13"/>
      <c r="C8" s="13" t="s">
        <v>32</v>
      </c>
      <c r="D8" s="14" t="s">
        <v>33</v>
      </c>
      <c r="E8" s="17" t="s">
        <v>34</v>
      </c>
      <c r="F8" s="14" t="s">
        <v>35</v>
      </c>
      <c r="G8" s="23" t="s">
        <v>14</v>
      </c>
      <c r="H8" s="14" t="s">
        <v>36</v>
      </c>
      <c r="I8" s="14">
        <v>4.0</v>
      </c>
      <c r="J8" s="13"/>
      <c r="K8" s="1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/>
      <c r="B9" s="13"/>
      <c r="C9" s="13" t="s">
        <v>32</v>
      </c>
      <c r="D9" s="14" t="s">
        <v>37</v>
      </c>
      <c r="E9" s="13"/>
      <c r="F9" s="14" t="s">
        <v>155</v>
      </c>
      <c r="G9" s="23" t="s">
        <v>14</v>
      </c>
      <c r="H9" s="14" t="s">
        <v>36</v>
      </c>
      <c r="I9" s="14">
        <v>8.0</v>
      </c>
      <c r="J9" s="13"/>
      <c r="K9" s="1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/>
      <c r="B10" s="13"/>
      <c r="C10" s="13" t="s">
        <v>32</v>
      </c>
      <c r="D10" s="14" t="s">
        <v>41</v>
      </c>
      <c r="E10" s="16" t="s">
        <v>34</v>
      </c>
      <c r="F10" s="14" t="s">
        <v>156</v>
      </c>
      <c r="G10" s="23" t="s">
        <v>14</v>
      </c>
      <c r="H10" s="14" t="s">
        <v>36</v>
      </c>
      <c r="I10" s="14">
        <v>3.0</v>
      </c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/>
      <c r="B11" s="13"/>
      <c r="C11" s="13" t="s">
        <v>32</v>
      </c>
      <c r="D11" s="14" t="s">
        <v>43</v>
      </c>
      <c r="E11" s="13"/>
      <c r="F11" s="14" t="s">
        <v>157</v>
      </c>
      <c r="G11" s="23" t="s">
        <v>14</v>
      </c>
      <c r="H11" s="14" t="s">
        <v>36</v>
      </c>
      <c r="I11" s="14">
        <v>9.0</v>
      </c>
      <c r="J11" s="13"/>
      <c r="K11" s="1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/>
      <c r="B12" s="13"/>
      <c r="C12" s="13" t="s">
        <v>32</v>
      </c>
      <c r="D12" s="14" t="s">
        <v>47</v>
      </c>
      <c r="E12" s="17" t="s">
        <v>34</v>
      </c>
      <c r="F12" s="14" t="s">
        <v>48</v>
      </c>
      <c r="G12" s="23" t="s">
        <v>14</v>
      </c>
      <c r="H12" s="14" t="s">
        <v>36</v>
      </c>
      <c r="I12" s="14">
        <v>1.0</v>
      </c>
      <c r="J12" s="13"/>
      <c r="K12" s="1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/>
      <c r="B13" s="13"/>
      <c r="C13" s="13" t="s">
        <v>32</v>
      </c>
      <c r="D13" s="14" t="s">
        <v>49</v>
      </c>
      <c r="E13" s="13"/>
      <c r="F13" s="14" t="s">
        <v>158</v>
      </c>
      <c r="G13" s="23" t="s">
        <v>14</v>
      </c>
      <c r="H13" s="14" t="s">
        <v>36</v>
      </c>
      <c r="I13" s="14">
        <v>4.0</v>
      </c>
      <c r="J13" s="13"/>
      <c r="K13" s="1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/>
      <c r="B14" s="13"/>
      <c r="C14" s="13" t="s">
        <v>32</v>
      </c>
      <c r="D14" s="14" t="s">
        <v>51</v>
      </c>
      <c r="E14" s="13"/>
      <c r="F14" s="14" t="s">
        <v>52</v>
      </c>
      <c r="G14" s="23" t="s">
        <v>14</v>
      </c>
      <c r="H14" s="14" t="s">
        <v>36</v>
      </c>
      <c r="I14" s="14">
        <v>2.0</v>
      </c>
      <c r="J14" s="13"/>
      <c r="K14" s="1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/>
      <c r="B15" s="13"/>
      <c r="C15" s="13" t="s">
        <v>53</v>
      </c>
      <c r="D15" s="13" t="s">
        <v>57</v>
      </c>
      <c r="E15" s="17" t="s">
        <v>58</v>
      </c>
      <c r="F15" s="14" t="s">
        <v>159</v>
      </c>
      <c r="G15" s="23" t="s">
        <v>22</v>
      </c>
      <c r="H15" s="17" t="s">
        <v>60</v>
      </c>
      <c r="I15" s="14">
        <v>1.0</v>
      </c>
      <c r="J15" s="13" t="s">
        <v>61</v>
      </c>
      <c r="K15" s="1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/>
      <c r="B16" s="13"/>
      <c r="C16" s="13" t="s">
        <v>53</v>
      </c>
      <c r="D16" s="14" t="s">
        <v>62</v>
      </c>
      <c r="E16" s="13">
        <v>6.1900511121E10</v>
      </c>
      <c r="F16" s="14" t="s">
        <v>63</v>
      </c>
      <c r="G16" s="23" t="s">
        <v>22</v>
      </c>
      <c r="H16" s="14" t="s">
        <v>64</v>
      </c>
      <c r="I16" s="14">
        <v>1.0</v>
      </c>
      <c r="J16" s="13"/>
      <c r="K16" s="1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/>
      <c r="B17" s="13"/>
      <c r="C17" s="13" t="s">
        <v>53</v>
      </c>
      <c r="D17" s="17" t="s">
        <v>65</v>
      </c>
      <c r="E17" s="13" t="s">
        <v>66</v>
      </c>
      <c r="F17" s="14" t="s">
        <v>67</v>
      </c>
      <c r="G17" s="23" t="s">
        <v>22</v>
      </c>
      <c r="H17" s="17" t="s">
        <v>68</v>
      </c>
      <c r="I17" s="14">
        <v>2.0</v>
      </c>
      <c r="J17" s="13" t="s">
        <v>61</v>
      </c>
      <c r="K17" s="1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/>
      <c r="B18" s="13"/>
      <c r="C18" s="13" t="s">
        <v>53</v>
      </c>
      <c r="D18" s="14" t="s">
        <v>69</v>
      </c>
      <c r="E18" s="13">
        <v>6.18009211821E11</v>
      </c>
      <c r="F18" s="14" t="s">
        <v>70</v>
      </c>
      <c r="G18" s="23" t="s">
        <v>22</v>
      </c>
      <c r="H18" s="14" t="s">
        <v>71</v>
      </c>
      <c r="I18" s="14">
        <v>1.0</v>
      </c>
      <c r="J18" s="13" t="s">
        <v>56</v>
      </c>
      <c r="K18" s="13" t="s">
        <v>56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/>
      <c r="B19" s="13"/>
      <c r="C19" s="13" t="s">
        <v>53</v>
      </c>
      <c r="D19" s="17" t="s">
        <v>75</v>
      </c>
      <c r="E19" s="24" t="s">
        <v>76</v>
      </c>
      <c r="F19" s="14" t="s">
        <v>77</v>
      </c>
      <c r="G19" s="23" t="s">
        <v>22</v>
      </c>
      <c r="H19" s="17" t="s">
        <v>78</v>
      </c>
      <c r="I19" s="14">
        <v>1.0</v>
      </c>
      <c r="J19" s="13" t="s">
        <v>79</v>
      </c>
      <c r="K19" s="1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/>
      <c r="B20" s="13"/>
      <c r="C20" s="13" t="s">
        <v>53</v>
      </c>
      <c r="D20" s="19" t="s">
        <v>80</v>
      </c>
      <c r="E20" s="13" t="s">
        <v>81</v>
      </c>
      <c r="F20" s="14" t="s">
        <v>82</v>
      </c>
      <c r="G20" s="23" t="s">
        <v>22</v>
      </c>
      <c r="H20" s="13" t="s">
        <v>83</v>
      </c>
      <c r="I20" s="14">
        <v>3.0</v>
      </c>
      <c r="J20" s="13"/>
      <c r="K20" s="1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/>
      <c r="B21" s="13"/>
      <c r="C21" s="13" t="s">
        <v>53</v>
      </c>
      <c r="D21" s="23" t="s">
        <v>84</v>
      </c>
      <c r="E21" s="13"/>
      <c r="F21" s="23" t="s">
        <v>85</v>
      </c>
      <c r="G21" s="23" t="s">
        <v>22</v>
      </c>
      <c r="H21" s="25"/>
      <c r="I21" s="23">
        <v>1.0</v>
      </c>
      <c r="J21" s="13"/>
      <c r="K21" s="13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/>
      <c r="B22" s="13"/>
      <c r="C22" s="13" t="s">
        <v>53</v>
      </c>
      <c r="D22" s="17" t="s">
        <v>86</v>
      </c>
      <c r="E22" s="20">
        <v>6.2504021621E10</v>
      </c>
      <c r="F22" s="14" t="s">
        <v>87</v>
      </c>
      <c r="G22" s="23" t="s">
        <v>22</v>
      </c>
      <c r="H22" s="14" t="s">
        <v>88</v>
      </c>
      <c r="I22" s="14">
        <v>1.0</v>
      </c>
      <c r="J22" s="13" t="s">
        <v>56</v>
      </c>
      <c r="K22" s="13" t="s">
        <v>56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/>
      <c r="B23" s="13"/>
      <c r="C23" s="13" t="s">
        <v>92</v>
      </c>
      <c r="D23" s="13" t="s">
        <v>93</v>
      </c>
      <c r="E23" s="26">
        <v>8.30010043E8</v>
      </c>
      <c r="F23" s="14" t="s">
        <v>94</v>
      </c>
      <c r="G23" s="23" t="s">
        <v>14</v>
      </c>
      <c r="H23" s="14" t="s">
        <v>95</v>
      </c>
      <c r="I23" s="14">
        <v>1.0</v>
      </c>
      <c r="J23" s="13" t="s">
        <v>56</v>
      </c>
      <c r="K23" s="13" t="s">
        <v>56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/>
      <c r="B24" s="13"/>
      <c r="C24" s="13" t="s">
        <v>92</v>
      </c>
      <c r="D24" s="13" t="s">
        <v>96</v>
      </c>
      <c r="E24" s="26">
        <v>8.30054555E8</v>
      </c>
      <c r="F24" s="14" t="s">
        <v>97</v>
      </c>
      <c r="G24" s="23" t="s">
        <v>14</v>
      </c>
      <c r="H24" s="14" t="s">
        <v>95</v>
      </c>
      <c r="I24" s="14">
        <v>1.0</v>
      </c>
      <c r="J24" s="13" t="s">
        <v>56</v>
      </c>
      <c r="K24" s="13" t="s">
        <v>56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/>
      <c r="B25" s="13"/>
      <c r="C25" s="13" t="s">
        <v>98</v>
      </c>
      <c r="D25" s="14" t="s">
        <v>103</v>
      </c>
      <c r="E25" s="14" t="s">
        <v>103</v>
      </c>
      <c r="F25" s="14" t="s">
        <v>104</v>
      </c>
      <c r="G25" s="23" t="s">
        <v>22</v>
      </c>
      <c r="H25" s="14" t="s">
        <v>105</v>
      </c>
      <c r="I25" s="14">
        <v>1.0</v>
      </c>
      <c r="J25" s="13"/>
      <c r="K25" s="13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/>
      <c r="B26" s="13"/>
      <c r="C26" s="13" t="s">
        <v>106</v>
      </c>
      <c r="D26" s="20" t="s">
        <v>107</v>
      </c>
      <c r="E26" s="27">
        <v>7.42792023E8</v>
      </c>
      <c r="F26" s="14" t="s">
        <v>108</v>
      </c>
      <c r="G26" s="23" t="s">
        <v>14</v>
      </c>
      <c r="H26" s="14" t="s">
        <v>109</v>
      </c>
      <c r="I26" s="14">
        <v>1.0</v>
      </c>
      <c r="J26" s="13" t="s">
        <v>56</v>
      </c>
      <c r="K26" s="13" t="s">
        <v>56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/>
      <c r="B27" s="13"/>
      <c r="C27" s="13" t="s">
        <v>110</v>
      </c>
      <c r="D27" s="14" t="s">
        <v>111</v>
      </c>
      <c r="E27" s="14" t="s">
        <v>112</v>
      </c>
      <c r="F27" s="14" t="s">
        <v>113</v>
      </c>
      <c r="G27" s="23" t="s">
        <v>14</v>
      </c>
      <c r="H27" s="14" t="s">
        <v>114</v>
      </c>
      <c r="I27" s="14">
        <v>1.0</v>
      </c>
      <c r="J27" s="13" t="s">
        <v>56</v>
      </c>
      <c r="K27" s="13" t="s">
        <v>56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/>
      <c r="B28" s="13"/>
      <c r="C28" s="13" t="s">
        <v>110</v>
      </c>
      <c r="D28" s="17" t="s">
        <v>119</v>
      </c>
      <c r="E28" s="14" t="s">
        <v>120</v>
      </c>
      <c r="F28" s="14" t="s">
        <v>121</v>
      </c>
      <c r="G28" s="23" t="s">
        <v>14</v>
      </c>
      <c r="H28" s="13" t="s">
        <v>122</v>
      </c>
      <c r="I28" s="14">
        <v>1.0</v>
      </c>
      <c r="J28" s="13" t="s">
        <v>123</v>
      </c>
      <c r="K28" s="1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/>
      <c r="B29" s="13"/>
      <c r="C29" s="13" t="s">
        <v>110</v>
      </c>
      <c r="D29" s="13" t="s">
        <v>124</v>
      </c>
      <c r="E29" s="14" t="s">
        <v>125</v>
      </c>
      <c r="F29" s="14" t="s">
        <v>126</v>
      </c>
      <c r="G29" s="23" t="s">
        <v>14</v>
      </c>
      <c r="H29" s="14" t="s">
        <v>127</v>
      </c>
      <c r="I29" s="14">
        <v>1.0</v>
      </c>
      <c r="J29" s="13" t="s">
        <v>128</v>
      </c>
      <c r="K29" s="1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/>
      <c r="B30" s="13"/>
      <c r="C30" s="13" t="s">
        <v>110</v>
      </c>
      <c r="D30" s="13" t="s">
        <v>129</v>
      </c>
      <c r="E30" s="14" t="s">
        <v>130</v>
      </c>
      <c r="F30" s="14" t="s">
        <v>131</v>
      </c>
      <c r="G30" s="23" t="s">
        <v>14</v>
      </c>
      <c r="H30" s="14" t="s">
        <v>132</v>
      </c>
      <c r="I30" s="14">
        <v>1.0</v>
      </c>
      <c r="J30" s="13"/>
      <c r="K30" s="1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/>
      <c r="B31" s="13"/>
      <c r="C31" s="13" t="s">
        <v>110</v>
      </c>
      <c r="D31" s="13" t="s">
        <v>133</v>
      </c>
      <c r="E31" s="14" t="s">
        <v>134</v>
      </c>
      <c r="F31" s="14" t="s">
        <v>135</v>
      </c>
      <c r="G31" s="23" t="s">
        <v>14</v>
      </c>
      <c r="H31" s="14" t="s">
        <v>136</v>
      </c>
      <c r="I31" s="14">
        <v>1.0</v>
      </c>
      <c r="J31" s="13" t="s">
        <v>137</v>
      </c>
      <c r="K31" s="1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/>
      <c r="B32" s="13"/>
      <c r="C32" s="13" t="s">
        <v>110</v>
      </c>
      <c r="D32" s="14" t="s">
        <v>138</v>
      </c>
      <c r="E32" s="14" t="s">
        <v>138</v>
      </c>
      <c r="F32" s="14" t="s">
        <v>139</v>
      </c>
      <c r="G32" s="23" t="s">
        <v>14</v>
      </c>
      <c r="H32" s="14" t="s">
        <v>140</v>
      </c>
      <c r="I32" s="14">
        <v>1.0</v>
      </c>
      <c r="J32" s="13" t="s">
        <v>141</v>
      </c>
      <c r="K32" s="1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/>
      <c r="B33" s="13"/>
      <c r="C33" s="13" t="s">
        <v>150</v>
      </c>
      <c r="D33" s="14" t="s">
        <v>151</v>
      </c>
      <c r="E33" s="20" t="s">
        <v>152</v>
      </c>
      <c r="F33" s="14" t="s">
        <v>160</v>
      </c>
      <c r="G33" s="23" t="s">
        <v>14</v>
      </c>
      <c r="H33" s="17" t="s">
        <v>36</v>
      </c>
      <c r="I33" s="14">
        <v>2.0</v>
      </c>
      <c r="J33" s="13" t="s">
        <v>56</v>
      </c>
      <c r="K33" s="13" t="s">
        <v>56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6"/>
      <c r="B34" s="7"/>
      <c r="C34" s="7"/>
      <c r="D34" s="7"/>
      <c r="E34" s="7"/>
      <c r="F34" s="7"/>
      <c r="G34" s="7"/>
      <c r="H34" s="7"/>
      <c r="I34" s="7"/>
      <c r="J34" s="8"/>
      <c r="K34" s="9"/>
    </row>
    <row r="35">
      <c r="A35" s="6"/>
      <c r="B35" s="7"/>
      <c r="C35" s="7"/>
      <c r="D35" s="7"/>
      <c r="E35" s="7"/>
      <c r="F35" s="7"/>
      <c r="G35" s="7"/>
      <c r="H35" s="7"/>
      <c r="I35" s="7"/>
      <c r="J35" s="8"/>
      <c r="K35" s="9"/>
    </row>
    <row r="36">
      <c r="A36" s="6"/>
      <c r="B36" s="7"/>
      <c r="C36" s="7"/>
      <c r="D36" s="7"/>
      <c r="E36" s="7"/>
      <c r="F36" s="7"/>
      <c r="G36" s="7"/>
      <c r="H36" s="7"/>
      <c r="I36" s="7"/>
      <c r="J36" s="8"/>
      <c r="K36" s="9"/>
    </row>
    <row r="37">
      <c r="A37" s="6"/>
      <c r="B37" s="7"/>
      <c r="C37" s="7"/>
      <c r="D37" s="7"/>
      <c r="E37" s="7"/>
      <c r="F37" s="7"/>
      <c r="G37" s="7"/>
      <c r="H37" s="7"/>
      <c r="I37" s="7"/>
      <c r="J37" s="8"/>
      <c r="K37" s="9"/>
    </row>
    <row r="38">
      <c r="A38" s="6"/>
      <c r="B38" s="7"/>
      <c r="C38" s="7"/>
      <c r="D38" s="7"/>
      <c r="E38" s="7"/>
      <c r="F38" s="7"/>
      <c r="G38" s="7"/>
      <c r="H38" s="7"/>
      <c r="I38" s="7"/>
      <c r="J38" s="8"/>
      <c r="K38" s="9"/>
    </row>
    <row r="39">
      <c r="A39" s="6"/>
      <c r="B39" s="7"/>
      <c r="C39" s="7"/>
      <c r="D39" s="7"/>
      <c r="E39" s="7"/>
      <c r="F39" s="7"/>
      <c r="G39" s="7"/>
      <c r="H39" s="7"/>
      <c r="I39" s="7"/>
      <c r="J39" s="8"/>
      <c r="K39" s="9"/>
    </row>
    <row r="40">
      <c r="A40" s="6"/>
      <c r="B40" s="7"/>
      <c r="C40" s="7"/>
      <c r="D40" s="7"/>
      <c r="E40" s="7"/>
      <c r="F40" s="7"/>
      <c r="G40" s="7"/>
      <c r="H40" s="7"/>
      <c r="I40" s="7"/>
      <c r="J40" s="8"/>
      <c r="K40" s="9"/>
    </row>
    <row r="41">
      <c r="A41" s="6"/>
      <c r="B41" s="7"/>
      <c r="C41" s="7"/>
      <c r="D41" s="7"/>
      <c r="E41" s="7"/>
      <c r="F41" s="7"/>
      <c r="G41" s="7"/>
      <c r="H41" s="7"/>
      <c r="I41" s="7"/>
      <c r="J41" s="8"/>
      <c r="K41" s="9"/>
    </row>
    <row r="42">
      <c r="A42" s="6"/>
      <c r="B42" s="7"/>
      <c r="C42" s="7"/>
      <c r="D42" s="7"/>
      <c r="E42" s="7"/>
      <c r="F42" s="7"/>
      <c r="G42" s="7"/>
      <c r="H42" s="7"/>
      <c r="I42" s="7"/>
      <c r="J42" s="8"/>
      <c r="K42" s="9"/>
    </row>
    <row r="43">
      <c r="A43" s="6"/>
      <c r="B43" s="7"/>
      <c r="C43" s="7"/>
      <c r="D43" s="7"/>
      <c r="E43" s="7"/>
      <c r="F43" s="7"/>
      <c r="G43" s="7"/>
      <c r="H43" s="7"/>
      <c r="I43" s="7"/>
      <c r="J43" s="8"/>
      <c r="K43" s="9"/>
    </row>
    <row r="44">
      <c r="A44" s="6"/>
      <c r="B44" s="7"/>
      <c r="C44" s="7"/>
      <c r="D44" s="7"/>
      <c r="E44" s="7"/>
      <c r="F44" s="7"/>
      <c r="G44" s="7"/>
      <c r="H44" s="7"/>
      <c r="I44" s="7"/>
      <c r="J44" s="8"/>
      <c r="K44" s="9"/>
    </row>
    <row r="45">
      <c r="A45" s="6"/>
      <c r="B45" s="7"/>
      <c r="C45" s="7"/>
      <c r="D45" s="7"/>
      <c r="E45" s="7"/>
      <c r="F45" s="7"/>
      <c r="G45" s="7"/>
      <c r="H45" s="7"/>
      <c r="I45" s="7"/>
      <c r="J45" s="8"/>
      <c r="K45" s="9"/>
    </row>
    <row r="46">
      <c r="A46" s="6"/>
      <c r="B46" s="7"/>
      <c r="C46" s="7"/>
      <c r="D46" s="7"/>
      <c r="E46" s="7"/>
      <c r="F46" s="7"/>
      <c r="G46" s="7"/>
      <c r="H46" s="7"/>
      <c r="I46" s="7"/>
      <c r="J46" s="8"/>
      <c r="K46" s="9"/>
    </row>
    <row r="47">
      <c r="A47" s="6"/>
      <c r="B47" s="7"/>
      <c r="C47" s="7"/>
      <c r="D47" s="7"/>
      <c r="E47" s="7"/>
      <c r="F47" s="7"/>
      <c r="G47" s="7"/>
      <c r="H47" s="7"/>
      <c r="I47" s="7"/>
      <c r="J47" s="8"/>
      <c r="K47" s="9"/>
    </row>
    <row r="48">
      <c r="A48" s="6"/>
      <c r="B48" s="7"/>
      <c r="C48" s="7"/>
      <c r="D48" s="7"/>
      <c r="E48" s="7"/>
      <c r="F48" s="7"/>
      <c r="G48" s="7"/>
      <c r="H48" s="7"/>
      <c r="I48" s="7"/>
      <c r="J48" s="8"/>
      <c r="K48" s="9"/>
    </row>
    <row r="49">
      <c r="A49" s="6"/>
      <c r="B49" s="7"/>
      <c r="C49" s="7"/>
      <c r="D49" s="7"/>
      <c r="E49" s="7"/>
      <c r="F49" s="7"/>
      <c r="G49" s="7"/>
      <c r="H49" s="7"/>
      <c r="I49" s="7"/>
      <c r="J49" s="8"/>
      <c r="K49" s="9"/>
    </row>
    <row r="50">
      <c r="A50" s="6"/>
      <c r="B50" s="7"/>
      <c r="C50" s="7"/>
      <c r="D50" s="7"/>
      <c r="E50" s="7"/>
      <c r="F50" s="7"/>
      <c r="G50" s="7"/>
      <c r="H50" s="7"/>
      <c r="I50" s="7"/>
      <c r="J50" s="8"/>
      <c r="K50" s="9"/>
    </row>
    <row r="51">
      <c r="A51" s="6"/>
      <c r="B51" s="7"/>
      <c r="C51" s="7"/>
      <c r="D51" s="7"/>
      <c r="E51" s="7"/>
      <c r="F51" s="7"/>
      <c r="G51" s="7"/>
      <c r="H51" s="7"/>
      <c r="I51" s="7"/>
      <c r="J51" s="8"/>
      <c r="K51" s="9"/>
    </row>
    <row r="52">
      <c r="A52" s="6"/>
      <c r="B52" s="7"/>
      <c r="C52" s="7"/>
      <c r="D52" s="7"/>
      <c r="E52" s="7"/>
      <c r="F52" s="7"/>
      <c r="G52" s="7"/>
      <c r="H52" s="7"/>
      <c r="I52" s="7"/>
      <c r="J52" s="8"/>
      <c r="K52" s="9"/>
    </row>
    <row r="53">
      <c r="A53" s="6"/>
      <c r="B53" s="7"/>
      <c r="C53" s="7"/>
      <c r="D53" s="7"/>
      <c r="E53" s="7"/>
      <c r="F53" s="7"/>
      <c r="G53" s="7"/>
      <c r="H53" s="7"/>
      <c r="I53" s="7"/>
      <c r="J53" s="8"/>
      <c r="K53" s="9"/>
    </row>
    <row r="54">
      <c r="A54" s="6"/>
      <c r="B54" s="7"/>
      <c r="C54" s="7"/>
      <c r="D54" s="7"/>
      <c r="E54" s="7"/>
      <c r="F54" s="7"/>
      <c r="G54" s="7"/>
      <c r="H54" s="7"/>
      <c r="I54" s="7"/>
      <c r="J54" s="8"/>
      <c r="K54" s="9"/>
    </row>
    <row r="55">
      <c r="A55" s="6"/>
      <c r="B55" s="7"/>
      <c r="C55" s="7"/>
      <c r="D55" s="7"/>
      <c r="E55" s="7"/>
      <c r="F55" s="7"/>
      <c r="G55" s="7"/>
      <c r="H55" s="7"/>
      <c r="I55" s="7"/>
      <c r="J55" s="8"/>
      <c r="K55" s="9"/>
    </row>
    <row r="56">
      <c r="A56" s="6"/>
      <c r="B56" s="7"/>
      <c r="C56" s="7"/>
      <c r="D56" s="7"/>
      <c r="E56" s="7"/>
      <c r="F56" s="7"/>
      <c r="G56" s="7"/>
      <c r="H56" s="7"/>
      <c r="I56" s="7"/>
      <c r="J56" s="8"/>
      <c r="K56" s="9"/>
    </row>
    <row r="57">
      <c r="A57" s="6"/>
      <c r="B57" s="7"/>
      <c r="C57" s="7"/>
      <c r="D57" s="7"/>
      <c r="E57" s="7"/>
      <c r="F57" s="7"/>
      <c r="G57" s="7"/>
      <c r="H57" s="7"/>
      <c r="I57" s="7"/>
      <c r="J57" s="8"/>
      <c r="K57" s="9"/>
    </row>
    <row r="58">
      <c r="A58" s="6"/>
      <c r="B58" s="7"/>
      <c r="C58" s="7"/>
      <c r="D58" s="7"/>
      <c r="E58" s="7"/>
      <c r="F58" s="7"/>
      <c r="G58" s="7"/>
      <c r="H58" s="7"/>
      <c r="I58" s="7"/>
      <c r="J58" s="8"/>
      <c r="K58" s="9"/>
    </row>
    <row r="59">
      <c r="A59" s="6"/>
      <c r="B59" s="7"/>
      <c r="C59" s="7"/>
      <c r="D59" s="7"/>
      <c r="E59" s="7"/>
      <c r="F59" s="7"/>
      <c r="G59" s="7"/>
      <c r="H59" s="7"/>
      <c r="I59" s="7"/>
      <c r="J59" s="8"/>
      <c r="K59" s="9"/>
    </row>
    <row r="60">
      <c r="A60" s="6"/>
      <c r="B60" s="7"/>
      <c r="C60" s="7"/>
      <c r="D60" s="7"/>
      <c r="E60" s="7"/>
      <c r="F60" s="7"/>
      <c r="G60" s="7"/>
      <c r="H60" s="7"/>
      <c r="I60" s="7"/>
      <c r="J60" s="8"/>
      <c r="K60" s="9"/>
    </row>
    <row r="61">
      <c r="A61" s="6"/>
      <c r="B61" s="7"/>
      <c r="C61" s="7"/>
      <c r="D61" s="7"/>
      <c r="E61" s="7"/>
      <c r="F61" s="7"/>
      <c r="G61" s="7"/>
      <c r="H61" s="7"/>
      <c r="I61" s="7"/>
      <c r="J61" s="8"/>
      <c r="K61" s="9"/>
    </row>
    <row r="62">
      <c r="A62" s="6"/>
      <c r="B62" s="7"/>
      <c r="C62" s="7"/>
      <c r="D62" s="7"/>
      <c r="E62" s="7"/>
      <c r="F62" s="7"/>
      <c r="G62" s="7"/>
      <c r="H62" s="7"/>
      <c r="I62" s="7"/>
      <c r="J62" s="8"/>
      <c r="K62" s="9"/>
    </row>
    <row r="63">
      <c r="A63" s="6"/>
      <c r="B63" s="7"/>
      <c r="C63" s="7"/>
      <c r="D63" s="7"/>
      <c r="E63" s="7"/>
      <c r="F63" s="7"/>
      <c r="G63" s="7"/>
      <c r="H63" s="7"/>
      <c r="I63" s="7"/>
      <c r="J63" s="8"/>
      <c r="K63" s="9"/>
    </row>
    <row r="64">
      <c r="A64" s="6"/>
      <c r="B64" s="7"/>
      <c r="C64" s="7"/>
      <c r="D64" s="7"/>
      <c r="E64" s="7"/>
      <c r="F64" s="7"/>
      <c r="G64" s="7"/>
      <c r="H64" s="7"/>
      <c r="I64" s="7"/>
      <c r="J64" s="8"/>
      <c r="K64" s="9"/>
    </row>
    <row r="65">
      <c r="A65" s="6"/>
      <c r="B65" s="7"/>
      <c r="C65" s="7"/>
      <c r="D65" s="7"/>
      <c r="E65" s="7"/>
      <c r="F65" s="7"/>
      <c r="G65" s="7"/>
      <c r="H65" s="7"/>
      <c r="I65" s="7"/>
      <c r="J65" s="8"/>
      <c r="K65" s="9"/>
    </row>
    <row r="66">
      <c r="A66" s="6"/>
      <c r="B66" s="7"/>
      <c r="C66" s="7"/>
      <c r="D66" s="7"/>
      <c r="E66" s="7"/>
      <c r="F66" s="7"/>
      <c r="G66" s="7"/>
      <c r="H66" s="7"/>
      <c r="I66" s="7"/>
      <c r="J66" s="8"/>
      <c r="K66" s="9"/>
    </row>
    <row r="67">
      <c r="A67" s="6"/>
      <c r="B67" s="7"/>
      <c r="C67" s="7"/>
      <c r="D67" s="7"/>
      <c r="E67" s="7"/>
      <c r="F67" s="7"/>
      <c r="G67" s="7"/>
      <c r="H67" s="7"/>
      <c r="I67" s="7"/>
      <c r="J67" s="8"/>
      <c r="K67" s="9"/>
    </row>
    <row r="68">
      <c r="A68" s="6"/>
      <c r="B68" s="7"/>
      <c r="C68" s="7"/>
      <c r="D68" s="7"/>
      <c r="E68" s="7"/>
      <c r="F68" s="7"/>
      <c r="G68" s="7"/>
      <c r="H68" s="7"/>
      <c r="I68" s="7"/>
      <c r="J68" s="8"/>
      <c r="K68" s="9"/>
    </row>
    <row r="69">
      <c r="A69" s="6"/>
      <c r="B69" s="7"/>
      <c r="C69" s="7"/>
      <c r="D69" s="7"/>
      <c r="E69" s="7"/>
      <c r="F69" s="7"/>
      <c r="G69" s="7"/>
      <c r="H69" s="7"/>
      <c r="I69" s="7"/>
      <c r="J69" s="8"/>
      <c r="K69" s="9"/>
    </row>
    <row r="70">
      <c r="A70" s="6"/>
      <c r="B70" s="7"/>
      <c r="C70" s="7"/>
      <c r="D70" s="7"/>
      <c r="E70" s="7"/>
      <c r="F70" s="7"/>
      <c r="G70" s="7"/>
      <c r="H70" s="7"/>
      <c r="I70" s="7"/>
      <c r="J70" s="8"/>
      <c r="K70" s="9"/>
    </row>
    <row r="71">
      <c r="A71" s="6"/>
      <c r="B71" s="7"/>
      <c r="C71" s="7"/>
      <c r="D71" s="7"/>
      <c r="E71" s="7"/>
      <c r="F71" s="7"/>
      <c r="G71" s="7"/>
      <c r="H71" s="7"/>
      <c r="I71" s="7"/>
      <c r="J71" s="8"/>
      <c r="K71" s="9"/>
    </row>
    <row r="72">
      <c r="A72" s="6"/>
      <c r="B72" s="7"/>
      <c r="C72" s="7"/>
      <c r="D72" s="7"/>
      <c r="E72" s="7"/>
      <c r="F72" s="7"/>
      <c r="G72" s="7"/>
      <c r="H72" s="7"/>
      <c r="I72" s="7"/>
      <c r="J72" s="8"/>
      <c r="K72" s="9"/>
    </row>
    <row r="73">
      <c r="A73" s="6"/>
      <c r="B73" s="7"/>
      <c r="C73" s="7"/>
      <c r="D73" s="7"/>
      <c r="E73" s="7"/>
      <c r="F73" s="7"/>
      <c r="G73" s="7"/>
      <c r="H73" s="7"/>
      <c r="I73" s="7"/>
      <c r="J73" s="8"/>
      <c r="K73" s="9"/>
    </row>
    <row r="74">
      <c r="A74" s="6"/>
      <c r="B74" s="7"/>
      <c r="C74" s="7"/>
      <c r="D74" s="7"/>
      <c r="E74" s="7"/>
      <c r="F74" s="7"/>
      <c r="G74" s="7"/>
      <c r="H74" s="7"/>
      <c r="I74" s="7"/>
      <c r="J74" s="8"/>
      <c r="K74" s="9"/>
    </row>
    <row r="75">
      <c r="A75" s="6"/>
      <c r="B75" s="7"/>
      <c r="C75" s="7"/>
      <c r="D75" s="7"/>
      <c r="E75" s="7"/>
      <c r="F75" s="7"/>
      <c r="G75" s="7"/>
      <c r="H75" s="7"/>
      <c r="I75" s="7"/>
      <c r="J75" s="8"/>
      <c r="K75" s="9"/>
    </row>
    <row r="76">
      <c r="A76" s="6"/>
      <c r="B76" s="7"/>
      <c r="C76" s="7"/>
      <c r="D76" s="7"/>
      <c r="E76" s="7"/>
      <c r="F76" s="7"/>
      <c r="G76" s="7"/>
      <c r="H76" s="7"/>
      <c r="I76" s="7"/>
      <c r="J76" s="8"/>
      <c r="K76" s="9"/>
    </row>
    <row r="77">
      <c r="A77" s="6"/>
      <c r="B77" s="7"/>
      <c r="C77" s="7"/>
      <c r="D77" s="7"/>
      <c r="E77" s="7"/>
      <c r="F77" s="7"/>
      <c r="G77" s="7"/>
      <c r="H77" s="7"/>
      <c r="I77" s="7"/>
      <c r="J77" s="8"/>
      <c r="K77" s="9"/>
    </row>
    <row r="78">
      <c r="A78" s="6"/>
      <c r="B78" s="7"/>
      <c r="C78" s="7"/>
      <c r="D78" s="7"/>
      <c r="E78" s="7"/>
      <c r="F78" s="7"/>
      <c r="G78" s="7"/>
      <c r="H78" s="7"/>
      <c r="I78" s="7"/>
      <c r="J78" s="8"/>
      <c r="K78" s="9"/>
    </row>
    <row r="79">
      <c r="A79" s="6"/>
      <c r="B79" s="7"/>
      <c r="C79" s="7"/>
      <c r="D79" s="7"/>
      <c r="E79" s="7"/>
      <c r="F79" s="7"/>
      <c r="G79" s="7"/>
      <c r="H79" s="7"/>
      <c r="I79" s="7"/>
      <c r="J79" s="8"/>
      <c r="K79" s="9"/>
    </row>
    <row r="80">
      <c r="A80" s="6"/>
      <c r="B80" s="7"/>
      <c r="C80" s="7"/>
      <c r="D80" s="7"/>
      <c r="E80" s="7"/>
      <c r="F80" s="7"/>
      <c r="G80" s="7"/>
      <c r="H80" s="7"/>
      <c r="I80" s="7"/>
      <c r="J80" s="8"/>
      <c r="K80" s="9"/>
    </row>
    <row r="81">
      <c r="A81" s="6"/>
      <c r="B81" s="7"/>
      <c r="C81" s="7"/>
      <c r="D81" s="7"/>
      <c r="E81" s="7"/>
      <c r="F81" s="7"/>
      <c r="G81" s="7"/>
      <c r="H81" s="7"/>
      <c r="I81" s="7"/>
      <c r="J81" s="8"/>
      <c r="K81" s="9"/>
    </row>
    <row r="82">
      <c r="A82" s="6"/>
      <c r="B82" s="7"/>
      <c r="C82" s="7"/>
      <c r="D82" s="7"/>
      <c r="E82" s="7"/>
      <c r="F82" s="7"/>
      <c r="G82" s="7"/>
      <c r="H82" s="7"/>
      <c r="I82" s="7"/>
      <c r="J82" s="8"/>
      <c r="K82" s="9"/>
    </row>
    <row r="83">
      <c r="A83" s="6"/>
      <c r="B83" s="7"/>
      <c r="C83" s="7"/>
      <c r="D83" s="7"/>
      <c r="E83" s="7"/>
      <c r="F83" s="7"/>
      <c r="G83" s="7"/>
      <c r="H83" s="7"/>
      <c r="I83" s="7"/>
      <c r="J83" s="8"/>
      <c r="K83" s="9"/>
    </row>
    <row r="84">
      <c r="A84" s="6"/>
      <c r="B84" s="7"/>
      <c r="C84" s="7"/>
      <c r="D84" s="7"/>
      <c r="E84" s="7"/>
      <c r="F84" s="7"/>
      <c r="G84" s="7"/>
      <c r="H84" s="7"/>
      <c r="I84" s="7"/>
      <c r="J84" s="8"/>
      <c r="K84" s="9"/>
    </row>
    <row r="85">
      <c r="A85" s="6"/>
      <c r="B85" s="7"/>
      <c r="C85" s="7"/>
      <c r="D85" s="7"/>
      <c r="E85" s="7"/>
      <c r="F85" s="7"/>
      <c r="G85" s="7"/>
      <c r="H85" s="7"/>
      <c r="I85" s="7"/>
      <c r="J85" s="8"/>
      <c r="K85" s="9"/>
    </row>
    <row r="86">
      <c r="A86" s="6"/>
      <c r="B86" s="7"/>
      <c r="C86" s="7"/>
      <c r="D86" s="7"/>
      <c r="E86" s="7"/>
      <c r="F86" s="7"/>
      <c r="G86" s="7"/>
      <c r="H86" s="7"/>
      <c r="I86" s="7"/>
      <c r="J86" s="8"/>
      <c r="K86" s="9"/>
    </row>
    <row r="87">
      <c r="A87" s="6"/>
      <c r="B87" s="7"/>
      <c r="C87" s="7"/>
      <c r="D87" s="7"/>
      <c r="E87" s="7"/>
      <c r="F87" s="7"/>
      <c r="G87" s="7"/>
      <c r="H87" s="7"/>
      <c r="I87" s="7"/>
      <c r="J87" s="8"/>
      <c r="K87" s="9"/>
    </row>
    <row r="88">
      <c r="A88" s="6"/>
      <c r="B88" s="7"/>
      <c r="C88" s="7"/>
      <c r="D88" s="7"/>
      <c r="E88" s="7"/>
      <c r="F88" s="7"/>
      <c r="G88" s="7"/>
      <c r="H88" s="7"/>
      <c r="I88" s="7"/>
      <c r="J88" s="8"/>
      <c r="K88" s="9"/>
    </row>
    <row r="89">
      <c r="A89" s="6"/>
      <c r="B89" s="7"/>
      <c r="C89" s="7"/>
      <c r="D89" s="7"/>
      <c r="E89" s="7"/>
      <c r="F89" s="7"/>
      <c r="G89" s="7"/>
      <c r="H89" s="7"/>
      <c r="I89" s="7"/>
      <c r="J89" s="8"/>
      <c r="K89" s="9"/>
    </row>
    <row r="90">
      <c r="A90" s="6"/>
      <c r="B90" s="7"/>
      <c r="C90" s="7"/>
      <c r="D90" s="7"/>
      <c r="E90" s="7"/>
      <c r="F90" s="7"/>
      <c r="G90" s="7"/>
      <c r="H90" s="7"/>
      <c r="I90" s="7"/>
      <c r="J90" s="8"/>
      <c r="K90" s="9"/>
    </row>
    <row r="91">
      <c r="A91" s="6"/>
      <c r="B91" s="7"/>
      <c r="C91" s="7"/>
      <c r="D91" s="7"/>
      <c r="E91" s="7"/>
      <c r="F91" s="7"/>
      <c r="G91" s="7"/>
      <c r="H91" s="7"/>
      <c r="I91" s="7"/>
      <c r="J91" s="8"/>
      <c r="K91" s="9"/>
    </row>
    <row r="92">
      <c r="A92" s="6"/>
      <c r="B92" s="7"/>
      <c r="C92" s="7"/>
      <c r="D92" s="7"/>
      <c r="E92" s="7"/>
      <c r="F92" s="7"/>
      <c r="G92" s="7"/>
      <c r="H92" s="7"/>
      <c r="I92" s="7"/>
      <c r="J92" s="8"/>
      <c r="K92" s="9"/>
    </row>
    <row r="93">
      <c r="A93" s="6"/>
      <c r="B93" s="7"/>
      <c r="C93" s="7"/>
      <c r="D93" s="7"/>
      <c r="E93" s="7"/>
      <c r="F93" s="7"/>
      <c r="G93" s="7"/>
      <c r="H93" s="7"/>
      <c r="I93" s="7"/>
      <c r="J93" s="8"/>
      <c r="K93" s="9"/>
    </row>
    <row r="94">
      <c r="A94" s="6"/>
      <c r="B94" s="7"/>
      <c r="C94" s="7"/>
      <c r="D94" s="7"/>
      <c r="E94" s="7"/>
      <c r="F94" s="7"/>
      <c r="G94" s="7"/>
      <c r="H94" s="7"/>
      <c r="I94" s="7"/>
      <c r="J94" s="8"/>
      <c r="K94" s="9"/>
    </row>
    <row r="95">
      <c r="A95" s="6"/>
      <c r="B95" s="7"/>
      <c r="C95" s="7"/>
      <c r="D95" s="7"/>
      <c r="E95" s="7"/>
      <c r="F95" s="7"/>
      <c r="G95" s="7"/>
      <c r="H95" s="7"/>
      <c r="I95" s="7"/>
      <c r="J95" s="8"/>
      <c r="K95" s="9"/>
    </row>
    <row r="96">
      <c r="A96" s="6"/>
      <c r="B96" s="7"/>
      <c r="C96" s="7"/>
      <c r="D96" s="7"/>
      <c r="E96" s="7"/>
      <c r="F96" s="7"/>
      <c r="G96" s="7"/>
      <c r="H96" s="7"/>
      <c r="I96" s="7"/>
      <c r="J96" s="8"/>
      <c r="K96" s="9"/>
    </row>
    <row r="97">
      <c r="A97" s="6"/>
      <c r="B97" s="7"/>
      <c r="C97" s="7"/>
      <c r="D97" s="7"/>
      <c r="E97" s="7"/>
      <c r="F97" s="7"/>
      <c r="G97" s="7"/>
      <c r="H97" s="7"/>
      <c r="I97" s="7"/>
      <c r="J97" s="8"/>
      <c r="K97" s="9"/>
    </row>
    <row r="98">
      <c r="A98" s="6"/>
      <c r="B98" s="7"/>
      <c r="C98" s="7"/>
      <c r="D98" s="7"/>
      <c r="E98" s="7"/>
      <c r="F98" s="7"/>
      <c r="G98" s="7"/>
      <c r="H98" s="7"/>
      <c r="I98" s="7"/>
      <c r="J98" s="8"/>
      <c r="K98" s="9"/>
    </row>
    <row r="99">
      <c r="A99" s="6"/>
      <c r="B99" s="7"/>
      <c r="C99" s="7"/>
      <c r="D99" s="7"/>
      <c r="E99" s="7"/>
      <c r="F99" s="7"/>
      <c r="G99" s="7"/>
      <c r="H99" s="7"/>
      <c r="I99" s="7"/>
      <c r="J99" s="8"/>
      <c r="K99" s="9"/>
    </row>
    <row r="100">
      <c r="A100" s="6"/>
      <c r="B100" s="7"/>
      <c r="C100" s="7"/>
      <c r="D100" s="7"/>
      <c r="E100" s="7"/>
      <c r="F100" s="7"/>
      <c r="G100" s="7"/>
      <c r="H100" s="7"/>
      <c r="I100" s="7"/>
      <c r="J100" s="8"/>
      <c r="K100" s="9"/>
    </row>
    <row r="101">
      <c r="A101" s="6"/>
      <c r="B101" s="7"/>
      <c r="C101" s="7"/>
      <c r="D101" s="7"/>
      <c r="E101" s="7"/>
      <c r="F101" s="7"/>
      <c r="G101" s="7"/>
      <c r="H101" s="7"/>
      <c r="I101" s="7"/>
      <c r="J101" s="8"/>
      <c r="K101" s="9"/>
    </row>
    <row r="102">
      <c r="A102" s="6"/>
      <c r="B102" s="7"/>
      <c r="C102" s="7"/>
      <c r="D102" s="7"/>
      <c r="E102" s="7"/>
      <c r="F102" s="7"/>
      <c r="G102" s="7"/>
      <c r="H102" s="7"/>
      <c r="I102" s="7"/>
      <c r="J102" s="8"/>
      <c r="K102" s="9"/>
    </row>
    <row r="103">
      <c r="A103" s="6"/>
      <c r="B103" s="7"/>
      <c r="C103" s="7"/>
      <c r="D103" s="7"/>
      <c r="E103" s="7"/>
      <c r="F103" s="7"/>
      <c r="G103" s="7"/>
      <c r="H103" s="7"/>
      <c r="I103" s="7"/>
      <c r="J103" s="8"/>
      <c r="K103" s="9"/>
    </row>
    <row r="104">
      <c r="A104" s="6"/>
      <c r="B104" s="7"/>
      <c r="C104" s="7"/>
      <c r="D104" s="7"/>
      <c r="E104" s="7"/>
      <c r="F104" s="7"/>
      <c r="G104" s="7"/>
      <c r="H104" s="7"/>
      <c r="I104" s="7"/>
      <c r="J104" s="8"/>
      <c r="K104" s="9"/>
    </row>
    <row r="105">
      <c r="A105" s="6"/>
      <c r="B105" s="7"/>
      <c r="C105" s="7"/>
      <c r="D105" s="7"/>
      <c r="E105" s="7"/>
      <c r="F105" s="7"/>
      <c r="G105" s="7"/>
      <c r="H105" s="7"/>
      <c r="I105" s="7"/>
      <c r="J105" s="8"/>
      <c r="K105" s="9"/>
    </row>
    <row r="106">
      <c r="A106" s="6"/>
      <c r="B106" s="7"/>
      <c r="C106" s="7"/>
      <c r="D106" s="7"/>
      <c r="E106" s="7"/>
      <c r="F106" s="7"/>
      <c r="G106" s="7"/>
      <c r="H106" s="7"/>
      <c r="I106" s="7"/>
      <c r="J106" s="8"/>
      <c r="K106" s="9"/>
    </row>
    <row r="107">
      <c r="A107" s="6"/>
      <c r="B107" s="7"/>
      <c r="C107" s="7"/>
      <c r="D107" s="7"/>
      <c r="E107" s="7"/>
      <c r="F107" s="7"/>
      <c r="G107" s="7"/>
      <c r="H107" s="7"/>
      <c r="I107" s="7"/>
      <c r="J107" s="8"/>
      <c r="K107" s="9"/>
    </row>
    <row r="108">
      <c r="A108" s="6"/>
      <c r="B108" s="7"/>
      <c r="C108" s="7"/>
      <c r="D108" s="7"/>
      <c r="E108" s="7"/>
      <c r="F108" s="7"/>
      <c r="G108" s="7"/>
      <c r="H108" s="7"/>
      <c r="I108" s="7"/>
      <c r="J108" s="8"/>
      <c r="K108" s="9"/>
    </row>
    <row r="109">
      <c r="A109" s="6"/>
      <c r="B109" s="7"/>
      <c r="C109" s="7"/>
      <c r="D109" s="7"/>
      <c r="E109" s="7"/>
      <c r="F109" s="7"/>
      <c r="G109" s="7"/>
      <c r="H109" s="7"/>
      <c r="I109" s="7"/>
      <c r="J109" s="8"/>
      <c r="K109" s="9"/>
    </row>
    <row r="110">
      <c r="A110" s="6"/>
      <c r="B110" s="7"/>
      <c r="C110" s="7"/>
      <c r="D110" s="7"/>
      <c r="E110" s="7"/>
      <c r="F110" s="7"/>
      <c r="G110" s="7"/>
      <c r="H110" s="7"/>
      <c r="I110" s="7"/>
      <c r="J110" s="8"/>
      <c r="K110" s="9"/>
    </row>
    <row r="111">
      <c r="A111" s="6"/>
      <c r="B111" s="7"/>
      <c r="C111" s="7"/>
      <c r="D111" s="7"/>
      <c r="E111" s="7"/>
      <c r="F111" s="7"/>
      <c r="G111" s="7"/>
      <c r="H111" s="7"/>
      <c r="I111" s="7"/>
      <c r="J111" s="8"/>
      <c r="K111" s="9"/>
    </row>
    <row r="112">
      <c r="A112" s="6"/>
      <c r="B112" s="7"/>
      <c r="C112" s="7"/>
      <c r="D112" s="7"/>
      <c r="E112" s="7"/>
      <c r="F112" s="7"/>
      <c r="G112" s="7"/>
      <c r="H112" s="7"/>
      <c r="I112" s="7"/>
      <c r="J112" s="8"/>
      <c r="K112" s="9"/>
    </row>
    <row r="113">
      <c r="A113" s="6"/>
      <c r="B113" s="7"/>
      <c r="C113" s="7"/>
      <c r="D113" s="7"/>
      <c r="E113" s="7"/>
      <c r="F113" s="7"/>
      <c r="G113" s="7"/>
      <c r="H113" s="7"/>
      <c r="I113" s="7"/>
      <c r="J113" s="8"/>
      <c r="K113" s="9"/>
    </row>
    <row r="114">
      <c r="A114" s="6"/>
      <c r="B114" s="7"/>
      <c r="C114" s="7"/>
      <c r="D114" s="7"/>
      <c r="E114" s="7"/>
      <c r="F114" s="7"/>
      <c r="G114" s="7"/>
      <c r="H114" s="7"/>
      <c r="I114" s="7"/>
      <c r="J114" s="8"/>
      <c r="K114" s="9"/>
    </row>
    <row r="115">
      <c r="A115" s="6"/>
      <c r="B115" s="7"/>
      <c r="C115" s="7"/>
      <c r="D115" s="7"/>
      <c r="E115" s="7"/>
      <c r="F115" s="7"/>
      <c r="G115" s="7"/>
      <c r="H115" s="7"/>
      <c r="I115" s="7"/>
      <c r="J115" s="8"/>
      <c r="K115" s="9"/>
    </row>
    <row r="116">
      <c r="A116" s="6"/>
      <c r="B116" s="7"/>
      <c r="C116" s="7"/>
      <c r="D116" s="7"/>
      <c r="E116" s="7"/>
      <c r="F116" s="7"/>
      <c r="G116" s="7"/>
      <c r="H116" s="7"/>
      <c r="I116" s="7"/>
      <c r="J116" s="8"/>
      <c r="K116" s="9"/>
    </row>
    <row r="117">
      <c r="A117" s="6"/>
      <c r="B117" s="7"/>
      <c r="C117" s="7"/>
      <c r="D117" s="7"/>
      <c r="E117" s="7"/>
      <c r="F117" s="7"/>
      <c r="G117" s="7"/>
      <c r="H117" s="7"/>
      <c r="I117" s="7"/>
      <c r="J117" s="8"/>
      <c r="K117" s="9"/>
    </row>
    <row r="118">
      <c r="A118" s="6"/>
      <c r="B118" s="7"/>
      <c r="C118" s="7"/>
      <c r="D118" s="7"/>
      <c r="E118" s="7"/>
      <c r="F118" s="7"/>
      <c r="G118" s="7"/>
      <c r="H118" s="7"/>
      <c r="I118" s="7"/>
      <c r="J118" s="8"/>
      <c r="K118" s="9"/>
    </row>
    <row r="119">
      <c r="A119" s="6"/>
      <c r="B119" s="7"/>
      <c r="C119" s="7"/>
      <c r="D119" s="7"/>
      <c r="E119" s="7"/>
      <c r="F119" s="7"/>
      <c r="G119" s="7"/>
      <c r="H119" s="7"/>
      <c r="I119" s="7"/>
      <c r="J119" s="8"/>
      <c r="K119" s="9"/>
    </row>
    <row r="120">
      <c r="A120" s="6"/>
      <c r="B120" s="7"/>
      <c r="C120" s="7"/>
      <c r="D120" s="7"/>
      <c r="E120" s="7"/>
      <c r="F120" s="7"/>
      <c r="G120" s="7"/>
      <c r="H120" s="7"/>
      <c r="I120" s="7"/>
      <c r="J120" s="8"/>
      <c r="K120" s="9"/>
    </row>
    <row r="121">
      <c r="A121" s="6"/>
      <c r="B121" s="7"/>
      <c r="C121" s="7"/>
      <c r="D121" s="7"/>
      <c r="E121" s="7"/>
      <c r="F121" s="7"/>
      <c r="G121" s="7"/>
      <c r="H121" s="7"/>
      <c r="I121" s="7"/>
      <c r="J121" s="8"/>
      <c r="K121" s="9"/>
    </row>
    <row r="122">
      <c r="A122" s="6"/>
      <c r="B122" s="7"/>
      <c r="C122" s="7"/>
      <c r="D122" s="7"/>
      <c r="E122" s="7"/>
      <c r="F122" s="7"/>
      <c r="G122" s="7"/>
      <c r="H122" s="7"/>
      <c r="I122" s="7"/>
      <c r="J122" s="8"/>
      <c r="K122" s="9"/>
    </row>
    <row r="123">
      <c r="A123" s="6"/>
      <c r="B123" s="7"/>
      <c r="C123" s="7"/>
      <c r="D123" s="7"/>
      <c r="E123" s="7"/>
      <c r="F123" s="7"/>
      <c r="G123" s="7"/>
      <c r="H123" s="7"/>
      <c r="I123" s="7"/>
      <c r="J123" s="8"/>
      <c r="K123" s="9"/>
    </row>
    <row r="124">
      <c r="A124" s="6"/>
      <c r="B124" s="7"/>
      <c r="C124" s="7"/>
      <c r="D124" s="7"/>
      <c r="E124" s="7"/>
      <c r="F124" s="7"/>
      <c r="G124" s="7"/>
      <c r="H124" s="7"/>
      <c r="I124" s="7"/>
      <c r="J124" s="8"/>
      <c r="K124" s="9"/>
    </row>
    <row r="125">
      <c r="A125" s="6"/>
      <c r="B125" s="7"/>
      <c r="C125" s="7"/>
      <c r="D125" s="7"/>
      <c r="E125" s="7"/>
      <c r="F125" s="7"/>
      <c r="G125" s="7"/>
      <c r="H125" s="7"/>
      <c r="I125" s="7"/>
      <c r="J125" s="8"/>
      <c r="K125" s="9"/>
    </row>
    <row r="126">
      <c r="A126" s="6"/>
      <c r="B126" s="7"/>
      <c r="C126" s="7"/>
      <c r="D126" s="7"/>
      <c r="E126" s="7"/>
      <c r="F126" s="7"/>
      <c r="G126" s="7"/>
      <c r="H126" s="7"/>
      <c r="I126" s="7"/>
      <c r="J126" s="8"/>
      <c r="K126" s="9"/>
    </row>
    <row r="127">
      <c r="A127" s="6"/>
      <c r="B127" s="7"/>
      <c r="C127" s="7"/>
      <c r="D127" s="7"/>
      <c r="E127" s="7"/>
      <c r="F127" s="7"/>
      <c r="G127" s="7"/>
      <c r="H127" s="7"/>
      <c r="I127" s="7"/>
      <c r="J127" s="8"/>
      <c r="K127" s="9"/>
    </row>
    <row r="128">
      <c r="A128" s="6"/>
      <c r="B128" s="7"/>
      <c r="C128" s="7"/>
      <c r="D128" s="7"/>
      <c r="E128" s="7"/>
      <c r="F128" s="7"/>
      <c r="G128" s="7"/>
      <c r="H128" s="7"/>
      <c r="I128" s="7"/>
      <c r="J128" s="8"/>
      <c r="K128" s="9"/>
    </row>
    <row r="129">
      <c r="A129" s="6"/>
      <c r="B129" s="7"/>
      <c r="C129" s="7"/>
      <c r="D129" s="7"/>
      <c r="E129" s="7"/>
      <c r="F129" s="7"/>
      <c r="G129" s="7"/>
      <c r="H129" s="7"/>
      <c r="I129" s="7"/>
      <c r="J129" s="8"/>
      <c r="K129" s="9"/>
    </row>
    <row r="130">
      <c r="A130" s="6"/>
      <c r="B130" s="7"/>
      <c r="C130" s="7"/>
      <c r="D130" s="7"/>
      <c r="E130" s="7"/>
      <c r="F130" s="7"/>
      <c r="G130" s="7"/>
      <c r="H130" s="7"/>
      <c r="I130" s="7"/>
      <c r="J130" s="8"/>
      <c r="K130" s="9"/>
    </row>
    <row r="131">
      <c r="A131" s="6"/>
      <c r="B131" s="7"/>
      <c r="C131" s="7"/>
      <c r="D131" s="7"/>
      <c r="E131" s="7"/>
      <c r="F131" s="7"/>
      <c r="G131" s="7"/>
      <c r="H131" s="7"/>
      <c r="I131" s="7"/>
      <c r="J131" s="8"/>
      <c r="K131" s="9"/>
    </row>
    <row r="132">
      <c r="A132" s="6"/>
      <c r="B132" s="7"/>
      <c r="C132" s="7"/>
      <c r="D132" s="7"/>
      <c r="E132" s="7"/>
      <c r="F132" s="7"/>
      <c r="G132" s="7"/>
      <c r="H132" s="7"/>
      <c r="I132" s="7"/>
      <c r="J132" s="8"/>
      <c r="K132" s="9"/>
    </row>
    <row r="133">
      <c r="A133" s="6"/>
      <c r="B133" s="7"/>
      <c r="C133" s="7"/>
      <c r="D133" s="7"/>
      <c r="E133" s="7"/>
      <c r="F133" s="7"/>
      <c r="G133" s="7"/>
      <c r="H133" s="7"/>
      <c r="I133" s="7"/>
      <c r="J133" s="8"/>
      <c r="K133" s="9"/>
    </row>
    <row r="134">
      <c r="A134" s="6"/>
      <c r="B134" s="7"/>
      <c r="C134" s="7"/>
      <c r="D134" s="7"/>
      <c r="E134" s="7"/>
      <c r="F134" s="7"/>
      <c r="G134" s="7"/>
      <c r="H134" s="7"/>
      <c r="I134" s="7"/>
      <c r="J134" s="8"/>
      <c r="K134" s="9"/>
    </row>
    <row r="135">
      <c r="A135" s="6"/>
      <c r="B135" s="7"/>
      <c r="C135" s="7"/>
      <c r="D135" s="7"/>
      <c r="E135" s="7"/>
      <c r="F135" s="7"/>
      <c r="G135" s="7"/>
      <c r="H135" s="7"/>
      <c r="I135" s="7"/>
      <c r="J135" s="8"/>
      <c r="K135" s="9"/>
    </row>
    <row r="136">
      <c r="A136" s="6"/>
      <c r="B136" s="7"/>
      <c r="C136" s="7"/>
      <c r="D136" s="7"/>
      <c r="E136" s="7"/>
      <c r="F136" s="7"/>
      <c r="G136" s="7"/>
      <c r="H136" s="7"/>
      <c r="I136" s="7"/>
      <c r="J136" s="8"/>
      <c r="K136" s="9"/>
    </row>
    <row r="137">
      <c r="A137" s="6"/>
      <c r="B137" s="7"/>
      <c r="C137" s="7"/>
      <c r="D137" s="7"/>
      <c r="E137" s="7"/>
      <c r="F137" s="7"/>
      <c r="G137" s="7"/>
      <c r="H137" s="7"/>
      <c r="I137" s="7"/>
      <c r="J137" s="8"/>
      <c r="K137" s="9"/>
    </row>
    <row r="138">
      <c r="A138" s="6"/>
      <c r="B138" s="7"/>
      <c r="C138" s="7"/>
      <c r="D138" s="7"/>
      <c r="E138" s="7"/>
      <c r="F138" s="7"/>
      <c r="G138" s="7"/>
      <c r="H138" s="7"/>
      <c r="I138" s="7"/>
      <c r="J138" s="8"/>
      <c r="K138" s="9"/>
    </row>
    <row r="139">
      <c r="A139" s="6"/>
      <c r="B139" s="7"/>
      <c r="C139" s="7"/>
      <c r="D139" s="7"/>
      <c r="E139" s="7"/>
      <c r="F139" s="7"/>
      <c r="G139" s="7"/>
      <c r="H139" s="7"/>
      <c r="I139" s="7"/>
      <c r="J139" s="8"/>
      <c r="K139" s="9"/>
    </row>
    <row r="140">
      <c r="A140" s="6"/>
      <c r="B140" s="7"/>
      <c r="C140" s="7"/>
      <c r="D140" s="7"/>
      <c r="E140" s="7"/>
      <c r="F140" s="7"/>
      <c r="G140" s="7"/>
      <c r="H140" s="7"/>
      <c r="I140" s="7"/>
      <c r="J140" s="8"/>
      <c r="K140" s="9"/>
    </row>
    <row r="141">
      <c r="A141" s="6"/>
      <c r="B141" s="7"/>
      <c r="C141" s="7"/>
      <c r="D141" s="7"/>
      <c r="E141" s="7"/>
      <c r="F141" s="7"/>
      <c r="G141" s="7"/>
      <c r="H141" s="7"/>
      <c r="I141" s="7"/>
      <c r="J141" s="8"/>
      <c r="K141" s="9"/>
    </row>
    <row r="142">
      <c r="A142" s="6"/>
      <c r="B142" s="7"/>
      <c r="C142" s="7"/>
      <c r="D142" s="7"/>
      <c r="E142" s="7"/>
      <c r="F142" s="7"/>
      <c r="G142" s="7"/>
      <c r="H142" s="7"/>
      <c r="I142" s="7"/>
      <c r="J142" s="8"/>
      <c r="K142" s="9"/>
    </row>
    <row r="143">
      <c r="A143" s="6"/>
      <c r="B143" s="7"/>
      <c r="C143" s="7"/>
      <c r="D143" s="7"/>
      <c r="E143" s="7"/>
      <c r="F143" s="7"/>
      <c r="G143" s="7"/>
      <c r="H143" s="7"/>
      <c r="I143" s="7"/>
      <c r="J143" s="8"/>
      <c r="K143" s="9"/>
    </row>
    <row r="144">
      <c r="A144" s="6"/>
      <c r="B144" s="7"/>
      <c r="C144" s="7"/>
      <c r="D144" s="7"/>
      <c r="E144" s="7"/>
      <c r="F144" s="7"/>
      <c r="G144" s="7"/>
      <c r="H144" s="7"/>
      <c r="I144" s="7"/>
      <c r="J144" s="8"/>
      <c r="K144" s="9"/>
    </row>
    <row r="145">
      <c r="A145" s="6"/>
      <c r="B145" s="7"/>
      <c r="C145" s="7"/>
      <c r="D145" s="7"/>
      <c r="E145" s="7"/>
      <c r="F145" s="7"/>
      <c r="G145" s="7"/>
      <c r="H145" s="7"/>
      <c r="I145" s="7"/>
      <c r="J145" s="8"/>
      <c r="K145" s="9"/>
    </row>
    <row r="146">
      <c r="A146" s="6"/>
      <c r="B146" s="7"/>
      <c r="C146" s="7"/>
      <c r="D146" s="7"/>
      <c r="E146" s="7"/>
      <c r="F146" s="7"/>
      <c r="G146" s="7"/>
      <c r="H146" s="7"/>
      <c r="I146" s="7"/>
      <c r="J146" s="8"/>
      <c r="K146" s="9"/>
    </row>
    <row r="147">
      <c r="A147" s="6"/>
      <c r="B147" s="7"/>
      <c r="C147" s="7"/>
      <c r="D147" s="7"/>
      <c r="E147" s="7"/>
      <c r="F147" s="7"/>
      <c r="G147" s="7"/>
      <c r="H147" s="7"/>
      <c r="I147" s="7"/>
      <c r="J147" s="8"/>
      <c r="K147" s="9"/>
    </row>
    <row r="148">
      <c r="A148" s="6"/>
      <c r="B148" s="7"/>
      <c r="C148" s="7"/>
      <c r="D148" s="7"/>
      <c r="E148" s="7"/>
      <c r="F148" s="7"/>
      <c r="G148" s="7"/>
      <c r="H148" s="7"/>
      <c r="I148" s="7"/>
      <c r="J148" s="8"/>
      <c r="K148" s="9"/>
    </row>
    <row r="149">
      <c r="A149" s="6"/>
      <c r="B149" s="7"/>
      <c r="C149" s="7"/>
      <c r="D149" s="7"/>
      <c r="E149" s="7"/>
      <c r="F149" s="7"/>
      <c r="G149" s="7"/>
      <c r="H149" s="7"/>
      <c r="I149" s="7"/>
      <c r="J149" s="8"/>
      <c r="K149" s="9"/>
    </row>
    <row r="150">
      <c r="A150" s="6"/>
      <c r="B150" s="7"/>
      <c r="C150" s="7"/>
      <c r="D150" s="7"/>
      <c r="E150" s="7"/>
      <c r="F150" s="7"/>
      <c r="G150" s="7"/>
      <c r="H150" s="7"/>
      <c r="I150" s="7"/>
      <c r="J150" s="8"/>
      <c r="K150" s="9"/>
    </row>
    <row r="151">
      <c r="A151" s="6"/>
      <c r="B151" s="7"/>
      <c r="C151" s="7"/>
      <c r="D151" s="7"/>
      <c r="E151" s="7"/>
      <c r="F151" s="7"/>
      <c r="G151" s="7"/>
      <c r="H151" s="7"/>
      <c r="I151" s="7"/>
      <c r="J151" s="8"/>
      <c r="K151" s="9"/>
    </row>
    <row r="152">
      <c r="A152" s="6"/>
      <c r="B152" s="7"/>
      <c r="C152" s="7"/>
      <c r="D152" s="7"/>
      <c r="E152" s="7"/>
      <c r="F152" s="7"/>
      <c r="G152" s="7"/>
      <c r="H152" s="7"/>
      <c r="I152" s="7"/>
      <c r="J152" s="8"/>
      <c r="K152" s="9"/>
    </row>
    <row r="153">
      <c r="A153" s="6"/>
      <c r="B153" s="7"/>
      <c r="C153" s="7"/>
      <c r="D153" s="7"/>
      <c r="E153" s="7"/>
      <c r="F153" s="7"/>
      <c r="G153" s="7"/>
      <c r="H153" s="7"/>
      <c r="I153" s="7"/>
      <c r="J153" s="8"/>
      <c r="K153" s="9"/>
    </row>
    <row r="154">
      <c r="A154" s="6"/>
      <c r="B154" s="7"/>
      <c r="C154" s="7"/>
      <c r="D154" s="7"/>
      <c r="E154" s="7"/>
      <c r="F154" s="7"/>
      <c r="G154" s="7"/>
      <c r="H154" s="7"/>
      <c r="I154" s="7"/>
      <c r="J154" s="8"/>
      <c r="K154" s="9"/>
    </row>
    <row r="155">
      <c r="A155" s="6"/>
      <c r="B155" s="7"/>
      <c r="C155" s="7"/>
      <c r="D155" s="7"/>
      <c r="E155" s="7"/>
      <c r="F155" s="7"/>
      <c r="G155" s="7"/>
      <c r="H155" s="7"/>
      <c r="I155" s="7"/>
      <c r="J155" s="8"/>
      <c r="K155" s="9"/>
    </row>
    <row r="156">
      <c r="A156" s="6"/>
      <c r="B156" s="7"/>
      <c r="C156" s="7"/>
      <c r="D156" s="7"/>
      <c r="E156" s="7"/>
      <c r="F156" s="7"/>
      <c r="G156" s="7"/>
      <c r="H156" s="7"/>
      <c r="I156" s="7"/>
      <c r="J156" s="8"/>
      <c r="K156" s="9"/>
    </row>
    <row r="157">
      <c r="A157" s="6"/>
      <c r="B157" s="7"/>
      <c r="C157" s="7"/>
      <c r="D157" s="7"/>
      <c r="E157" s="7"/>
      <c r="F157" s="7"/>
      <c r="G157" s="7"/>
      <c r="H157" s="7"/>
      <c r="I157" s="7"/>
      <c r="J157" s="8"/>
      <c r="K157" s="9"/>
    </row>
    <row r="158">
      <c r="A158" s="6"/>
      <c r="B158" s="7"/>
      <c r="C158" s="7"/>
      <c r="D158" s="7"/>
      <c r="E158" s="7"/>
      <c r="F158" s="7"/>
      <c r="G158" s="7"/>
      <c r="H158" s="7"/>
      <c r="I158" s="7"/>
      <c r="J158" s="8"/>
      <c r="K158" s="9"/>
    </row>
    <row r="159">
      <c r="A159" s="6"/>
      <c r="B159" s="7"/>
      <c r="C159" s="7"/>
      <c r="D159" s="7"/>
      <c r="E159" s="7"/>
      <c r="F159" s="7"/>
      <c r="G159" s="7"/>
      <c r="H159" s="7"/>
      <c r="I159" s="7"/>
      <c r="J159" s="8"/>
      <c r="K159" s="9"/>
    </row>
    <row r="160">
      <c r="A160" s="6"/>
      <c r="B160" s="7"/>
      <c r="C160" s="7"/>
      <c r="D160" s="7"/>
      <c r="E160" s="7"/>
      <c r="F160" s="7"/>
      <c r="G160" s="7"/>
      <c r="H160" s="7"/>
      <c r="I160" s="7"/>
      <c r="J160" s="8"/>
      <c r="K160" s="9"/>
    </row>
    <row r="161">
      <c r="A161" s="6"/>
      <c r="B161" s="7"/>
      <c r="C161" s="7"/>
      <c r="D161" s="7"/>
      <c r="E161" s="7"/>
      <c r="F161" s="7"/>
      <c r="G161" s="7"/>
      <c r="H161" s="7"/>
      <c r="I161" s="7"/>
      <c r="J161" s="8"/>
      <c r="K161" s="9"/>
    </row>
    <row r="162">
      <c r="A162" s="6"/>
      <c r="B162" s="7"/>
      <c r="C162" s="7"/>
      <c r="D162" s="7"/>
      <c r="E162" s="7"/>
      <c r="F162" s="7"/>
      <c r="G162" s="7"/>
      <c r="H162" s="7"/>
      <c r="I162" s="7"/>
      <c r="J162" s="8"/>
      <c r="K162" s="9"/>
    </row>
    <row r="163">
      <c r="A163" s="6"/>
      <c r="B163" s="7"/>
      <c r="C163" s="7"/>
      <c r="D163" s="7"/>
      <c r="E163" s="7"/>
      <c r="F163" s="7"/>
      <c r="G163" s="7"/>
      <c r="H163" s="7"/>
      <c r="I163" s="7"/>
      <c r="J163" s="8"/>
      <c r="K163" s="9"/>
    </row>
    <row r="164">
      <c r="A164" s="6"/>
      <c r="B164" s="7"/>
      <c r="C164" s="7"/>
      <c r="D164" s="7"/>
      <c r="E164" s="7"/>
      <c r="F164" s="7"/>
      <c r="G164" s="7"/>
      <c r="H164" s="7"/>
      <c r="I164" s="7"/>
      <c r="J164" s="8"/>
      <c r="K164" s="9"/>
    </row>
    <row r="165">
      <c r="A165" s="6"/>
      <c r="B165" s="7"/>
      <c r="C165" s="7"/>
      <c r="D165" s="7"/>
      <c r="E165" s="7"/>
      <c r="F165" s="7"/>
      <c r="G165" s="7"/>
      <c r="H165" s="7"/>
      <c r="I165" s="7"/>
      <c r="J165" s="8"/>
      <c r="K165" s="9"/>
    </row>
    <row r="166">
      <c r="A166" s="6"/>
      <c r="B166" s="7"/>
      <c r="C166" s="7"/>
      <c r="D166" s="7"/>
      <c r="E166" s="7"/>
      <c r="F166" s="7"/>
      <c r="G166" s="7"/>
      <c r="H166" s="7"/>
      <c r="I166" s="7"/>
      <c r="J166" s="8"/>
      <c r="K166" s="9"/>
    </row>
    <row r="167">
      <c r="A167" s="6"/>
      <c r="B167" s="7"/>
      <c r="C167" s="7"/>
      <c r="D167" s="7"/>
      <c r="E167" s="7"/>
      <c r="F167" s="7"/>
      <c r="G167" s="7"/>
      <c r="H167" s="7"/>
      <c r="I167" s="7"/>
      <c r="J167" s="8"/>
      <c r="K167" s="9"/>
    </row>
    <row r="168">
      <c r="A168" s="6"/>
      <c r="B168" s="7"/>
      <c r="C168" s="7"/>
      <c r="D168" s="7"/>
      <c r="E168" s="7"/>
      <c r="F168" s="7"/>
      <c r="G168" s="7"/>
      <c r="H168" s="7"/>
      <c r="I168" s="7"/>
      <c r="J168" s="8"/>
      <c r="K168" s="9"/>
    </row>
    <row r="169">
      <c r="A169" s="6"/>
      <c r="B169" s="7"/>
      <c r="C169" s="7"/>
      <c r="D169" s="7"/>
      <c r="E169" s="7"/>
      <c r="F169" s="7"/>
      <c r="G169" s="7"/>
      <c r="H169" s="7"/>
      <c r="I169" s="7"/>
      <c r="J169" s="8"/>
      <c r="K169" s="9"/>
    </row>
    <row r="170">
      <c r="A170" s="6"/>
      <c r="B170" s="7"/>
      <c r="C170" s="7"/>
      <c r="D170" s="7"/>
      <c r="E170" s="7"/>
      <c r="F170" s="7"/>
      <c r="G170" s="7"/>
      <c r="H170" s="7"/>
      <c r="I170" s="7"/>
      <c r="J170" s="8"/>
      <c r="K170" s="9"/>
    </row>
    <row r="171">
      <c r="A171" s="6"/>
      <c r="B171" s="7"/>
      <c r="C171" s="7"/>
      <c r="D171" s="7"/>
      <c r="E171" s="7"/>
      <c r="F171" s="7"/>
      <c r="G171" s="7"/>
      <c r="H171" s="7"/>
      <c r="I171" s="7"/>
      <c r="J171" s="8"/>
      <c r="K171" s="9"/>
    </row>
    <row r="172">
      <c r="A172" s="6"/>
      <c r="B172" s="7"/>
      <c r="C172" s="7"/>
      <c r="D172" s="7"/>
      <c r="E172" s="7"/>
      <c r="F172" s="7"/>
      <c r="G172" s="7"/>
      <c r="H172" s="7"/>
      <c r="I172" s="7"/>
      <c r="J172" s="8"/>
      <c r="K172" s="9"/>
    </row>
    <row r="173">
      <c r="A173" s="6"/>
      <c r="B173" s="7"/>
      <c r="C173" s="7"/>
      <c r="D173" s="7"/>
      <c r="E173" s="7"/>
      <c r="F173" s="7"/>
      <c r="G173" s="7"/>
      <c r="H173" s="7"/>
      <c r="I173" s="7"/>
      <c r="J173" s="8"/>
      <c r="K173" s="9"/>
    </row>
    <row r="174">
      <c r="A174" s="6"/>
      <c r="B174" s="7"/>
      <c r="C174" s="7"/>
      <c r="D174" s="7"/>
      <c r="E174" s="7"/>
      <c r="F174" s="7"/>
      <c r="G174" s="7"/>
      <c r="H174" s="7"/>
      <c r="I174" s="7"/>
      <c r="J174" s="8"/>
      <c r="K174" s="9"/>
    </row>
    <row r="175">
      <c r="A175" s="6"/>
      <c r="B175" s="7"/>
      <c r="C175" s="7"/>
      <c r="D175" s="7"/>
      <c r="E175" s="7"/>
      <c r="F175" s="7"/>
      <c r="G175" s="7"/>
      <c r="H175" s="7"/>
      <c r="I175" s="7"/>
      <c r="J175" s="8"/>
      <c r="K175" s="9"/>
    </row>
    <row r="176">
      <c r="A176" s="6"/>
      <c r="B176" s="7"/>
      <c r="C176" s="7"/>
      <c r="D176" s="7"/>
      <c r="E176" s="7"/>
      <c r="F176" s="7"/>
      <c r="G176" s="7"/>
      <c r="H176" s="7"/>
      <c r="I176" s="7"/>
      <c r="J176" s="8"/>
      <c r="K176" s="9"/>
    </row>
    <row r="177">
      <c r="A177" s="6"/>
      <c r="B177" s="7"/>
      <c r="C177" s="7"/>
      <c r="D177" s="7"/>
      <c r="E177" s="7"/>
      <c r="F177" s="7"/>
      <c r="G177" s="7"/>
      <c r="H177" s="7"/>
      <c r="I177" s="7"/>
      <c r="J177" s="8"/>
      <c r="K177" s="9"/>
    </row>
    <row r="178">
      <c r="A178" s="6"/>
      <c r="B178" s="7"/>
      <c r="C178" s="7"/>
      <c r="D178" s="7"/>
      <c r="E178" s="7"/>
      <c r="F178" s="7"/>
      <c r="G178" s="7"/>
      <c r="H178" s="7"/>
      <c r="I178" s="7"/>
      <c r="J178" s="8"/>
      <c r="K178" s="9"/>
    </row>
    <row r="179">
      <c r="A179" s="6"/>
      <c r="B179" s="7"/>
      <c r="C179" s="7"/>
      <c r="D179" s="7"/>
      <c r="E179" s="7"/>
      <c r="F179" s="7"/>
      <c r="G179" s="7"/>
      <c r="H179" s="7"/>
      <c r="I179" s="7"/>
      <c r="J179" s="8"/>
      <c r="K179" s="9"/>
    </row>
    <row r="180">
      <c r="A180" s="6"/>
      <c r="B180" s="7"/>
      <c r="C180" s="7"/>
      <c r="D180" s="7"/>
      <c r="E180" s="7"/>
      <c r="F180" s="7"/>
      <c r="G180" s="7"/>
      <c r="H180" s="7"/>
      <c r="I180" s="7"/>
      <c r="J180" s="8"/>
      <c r="K180" s="9"/>
    </row>
    <row r="181">
      <c r="A181" s="6"/>
      <c r="B181" s="7"/>
      <c r="C181" s="7"/>
      <c r="D181" s="7"/>
      <c r="E181" s="7"/>
      <c r="F181" s="7"/>
      <c r="G181" s="7"/>
      <c r="H181" s="7"/>
      <c r="I181" s="7"/>
      <c r="J181" s="8"/>
      <c r="K181" s="9"/>
    </row>
    <row r="182">
      <c r="A182" s="6"/>
      <c r="B182" s="7"/>
      <c r="C182" s="7"/>
      <c r="D182" s="7"/>
      <c r="E182" s="7"/>
      <c r="F182" s="7"/>
      <c r="G182" s="7"/>
      <c r="H182" s="7"/>
      <c r="I182" s="7"/>
      <c r="J182" s="8"/>
      <c r="K182" s="9"/>
    </row>
    <row r="183">
      <c r="A183" s="6"/>
      <c r="B183" s="7"/>
      <c r="C183" s="7"/>
      <c r="D183" s="7"/>
      <c r="E183" s="7"/>
      <c r="F183" s="7"/>
      <c r="G183" s="7"/>
      <c r="H183" s="7"/>
      <c r="I183" s="7"/>
      <c r="J183" s="8"/>
      <c r="K183" s="9"/>
    </row>
    <row r="184">
      <c r="A184" s="6"/>
      <c r="B184" s="7"/>
      <c r="C184" s="7"/>
      <c r="D184" s="7"/>
      <c r="E184" s="7"/>
      <c r="F184" s="7"/>
      <c r="G184" s="7"/>
      <c r="H184" s="7"/>
      <c r="I184" s="7"/>
      <c r="J184" s="8"/>
      <c r="K184" s="9"/>
    </row>
    <row r="185">
      <c r="A185" s="6"/>
      <c r="B185" s="7"/>
      <c r="C185" s="7"/>
      <c r="D185" s="7"/>
      <c r="E185" s="7"/>
      <c r="F185" s="7"/>
      <c r="G185" s="7"/>
      <c r="H185" s="7"/>
      <c r="I185" s="7"/>
      <c r="J185" s="8"/>
      <c r="K185" s="9"/>
    </row>
    <row r="186">
      <c r="A186" s="6"/>
      <c r="B186" s="7"/>
      <c r="C186" s="7"/>
      <c r="D186" s="7"/>
      <c r="E186" s="7"/>
      <c r="F186" s="7"/>
      <c r="G186" s="7"/>
      <c r="H186" s="7"/>
      <c r="I186" s="7"/>
      <c r="J186" s="8"/>
      <c r="K186" s="9"/>
    </row>
    <row r="187">
      <c r="A187" s="6"/>
      <c r="B187" s="7"/>
      <c r="C187" s="7"/>
      <c r="D187" s="7"/>
      <c r="E187" s="7"/>
      <c r="F187" s="7"/>
      <c r="G187" s="7"/>
      <c r="H187" s="7"/>
      <c r="I187" s="7"/>
      <c r="J187" s="8"/>
      <c r="K187" s="9"/>
    </row>
    <row r="188">
      <c r="A188" s="6"/>
      <c r="B188" s="7"/>
      <c r="C188" s="7"/>
      <c r="D188" s="7"/>
      <c r="E188" s="7"/>
      <c r="F188" s="7"/>
      <c r="G188" s="7"/>
      <c r="H188" s="7"/>
      <c r="I188" s="7"/>
      <c r="J188" s="8"/>
      <c r="K188" s="9"/>
    </row>
    <row r="189">
      <c r="A189" s="6"/>
      <c r="B189" s="7"/>
      <c r="C189" s="7"/>
      <c r="D189" s="7"/>
      <c r="E189" s="7"/>
      <c r="F189" s="7"/>
      <c r="G189" s="7"/>
      <c r="H189" s="7"/>
      <c r="I189" s="7"/>
      <c r="J189" s="8"/>
      <c r="K189" s="9"/>
    </row>
    <row r="190">
      <c r="A190" s="6"/>
      <c r="B190" s="7"/>
      <c r="C190" s="7"/>
      <c r="D190" s="7"/>
      <c r="E190" s="7"/>
      <c r="F190" s="7"/>
      <c r="G190" s="7"/>
      <c r="H190" s="7"/>
      <c r="I190" s="7"/>
      <c r="J190" s="8"/>
      <c r="K190" s="9"/>
    </row>
    <row r="191">
      <c r="A191" s="6"/>
      <c r="B191" s="7"/>
      <c r="C191" s="7"/>
      <c r="D191" s="7"/>
      <c r="E191" s="7"/>
      <c r="F191" s="7"/>
      <c r="G191" s="7"/>
      <c r="H191" s="7"/>
      <c r="I191" s="7"/>
      <c r="J191" s="8"/>
      <c r="K191" s="9"/>
    </row>
    <row r="192">
      <c r="A192" s="6"/>
      <c r="B192" s="7"/>
      <c r="C192" s="7"/>
      <c r="D192" s="7"/>
      <c r="E192" s="7"/>
      <c r="F192" s="7"/>
      <c r="G192" s="7"/>
      <c r="H192" s="7"/>
      <c r="I192" s="7"/>
      <c r="J192" s="8"/>
      <c r="K192" s="9"/>
    </row>
    <row r="193">
      <c r="A193" s="6"/>
      <c r="B193" s="7"/>
      <c r="C193" s="7"/>
      <c r="D193" s="7"/>
      <c r="E193" s="7"/>
      <c r="F193" s="7"/>
      <c r="G193" s="7"/>
      <c r="H193" s="7"/>
      <c r="I193" s="7"/>
      <c r="J193" s="8"/>
      <c r="K193" s="9"/>
    </row>
    <row r="194">
      <c r="A194" s="6"/>
      <c r="B194" s="7"/>
      <c r="C194" s="7"/>
      <c r="D194" s="7"/>
      <c r="E194" s="7"/>
      <c r="F194" s="7"/>
      <c r="G194" s="7"/>
      <c r="H194" s="7"/>
      <c r="I194" s="7"/>
      <c r="J194" s="8"/>
      <c r="K194" s="9"/>
    </row>
    <row r="195">
      <c r="A195" s="6"/>
      <c r="B195" s="7"/>
      <c r="C195" s="7"/>
      <c r="D195" s="7"/>
      <c r="E195" s="7"/>
      <c r="F195" s="7"/>
      <c r="G195" s="7"/>
      <c r="H195" s="7"/>
      <c r="I195" s="7"/>
      <c r="J195" s="8"/>
      <c r="K195" s="9"/>
    </row>
    <row r="196">
      <c r="A196" s="6"/>
      <c r="B196" s="7"/>
      <c r="C196" s="7"/>
      <c r="D196" s="7"/>
      <c r="E196" s="7"/>
      <c r="F196" s="7"/>
      <c r="G196" s="7"/>
      <c r="H196" s="7"/>
      <c r="I196" s="7"/>
      <c r="J196" s="8"/>
      <c r="K196" s="9"/>
    </row>
    <row r="197">
      <c r="A197" s="6"/>
      <c r="B197" s="7"/>
      <c r="C197" s="7"/>
      <c r="D197" s="7"/>
      <c r="E197" s="7"/>
      <c r="F197" s="7"/>
      <c r="G197" s="7"/>
      <c r="H197" s="7"/>
      <c r="I197" s="7"/>
      <c r="J197" s="8"/>
      <c r="K197" s="9"/>
    </row>
    <row r="198">
      <c r="A198" s="6"/>
      <c r="B198" s="7"/>
      <c r="C198" s="7"/>
      <c r="D198" s="7"/>
      <c r="E198" s="7"/>
      <c r="F198" s="7"/>
      <c r="G198" s="7"/>
      <c r="H198" s="7"/>
      <c r="I198" s="7"/>
      <c r="J198" s="8"/>
      <c r="K198" s="9"/>
    </row>
    <row r="199">
      <c r="A199" s="6"/>
      <c r="B199" s="7"/>
      <c r="C199" s="7"/>
      <c r="D199" s="7"/>
      <c r="E199" s="7"/>
      <c r="F199" s="7"/>
      <c r="G199" s="7"/>
      <c r="H199" s="7"/>
      <c r="I199" s="7"/>
      <c r="J199" s="8"/>
      <c r="K199" s="9"/>
    </row>
    <row r="200">
      <c r="A200" s="6"/>
      <c r="B200" s="7"/>
      <c r="C200" s="7"/>
      <c r="D200" s="7"/>
      <c r="E200" s="7"/>
      <c r="F200" s="7"/>
      <c r="G200" s="7"/>
      <c r="H200" s="7"/>
      <c r="I200" s="7"/>
      <c r="J200" s="8"/>
      <c r="K200" s="9"/>
    </row>
    <row r="201">
      <c r="A201" s="6"/>
      <c r="B201" s="7"/>
      <c r="C201" s="7"/>
      <c r="D201" s="7"/>
      <c r="E201" s="7"/>
      <c r="F201" s="7"/>
      <c r="G201" s="7"/>
      <c r="H201" s="7"/>
      <c r="I201" s="7"/>
      <c r="J201" s="8"/>
      <c r="K201" s="9"/>
    </row>
    <row r="202">
      <c r="A202" s="6"/>
      <c r="B202" s="7"/>
      <c r="C202" s="7"/>
      <c r="D202" s="7"/>
      <c r="E202" s="7"/>
      <c r="F202" s="7"/>
      <c r="G202" s="7"/>
      <c r="H202" s="7"/>
      <c r="I202" s="7"/>
      <c r="J202" s="8"/>
      <c r="K202" s="9"/>
    </row>
    <row r="203">
      <c r="A203" s="6"/>
      <c r="B203" s="7"/>
      <c r="C203" s="7"/>
      <c r="D203" s="7"/>
      <c r="E203" s="7"/>
      <c r="F203" s="7"/>
      <c r="G203" s="7"/>
      <c r="H203" s="7"/>
      <c r="I203" s="7"/>
      <c r="J203" s="8"/>
      <c r="K203" s="9"/>
    </row>
    <row r="204">
      <c r="A204" s="6"/>
      <c r="B204" s="7"/>
      <c r="C204" s="7"/>
      <c r="D204" s="7"/>
      <c r="E204" s="7"/>
      <c r="F204" s="7"/>
      <c r="G204" s="7"/>
      <c r="H204" s="7"/>
      <c r="I204" s="7"/>
      <c r="J204" s="8"/>
      <c r="K204" s="9"/>
    </row>
    <row r="205">
      <c r="A205" s="6"/>
      <c r="B205" s="7"/>
      <c r="C205" s="7"/>
      <c r="D205" s="7"/>
      <c r="E205" s="7"/>
      <c r="F205" s="7"/>
      <c r="G205" s="7"/>
      <c r="H205" s="7"/>
      <c r="I205" s="7"/>
      <c r="J205" s="8"/>
      <c r="K205" s="9"/>
    </row>
    <row r="206">
      <c r="A206" s="6"/>
      <c r="B206" s="7"/>
      <c r="C206" s="7"/>
      <c r="D206" s="7"/>
      <c r="E206" s="7"/>
      <c r="F206" s="7"/>
      <c r="G206" s="7"/>
      <c r="H206" s="7"/>
      <c r="I206" s="7"/>
      <c r="J206" s="8"/>
      <c r="K206" s="9"/>
    </row>
    <row r="207">
      <c r="A207" s="6"/>
      <c r="B207" s="7"/>
      <c r="C207" s="7"/>
      <c r="D207" s="7"/>
      <c r="E207" s="7"/>
      <c r="F207" s="7"/>
      <c r="G207" s="7"/>
      <c r="H207" s="7"/>
      <c r="I207" s="7"/>
      <c r="J207" s="8"/>
      <c r="K207" s="9"/>
    </row>
    <row r="208">
      <c r="A208" s="6"/>
      <c r="B208" s="7"/>
      <c r="C208" s="7"/>
      <c r="D208" s="7"/>
      <c r="E208" s="7"/>
      <c r="F208" s="7"/>
      <c r="G208" s="7"/>
      <c r="H208" s="7"/>
      <c r="I208" s="7"/>
      <c r="J208" s="8"/>
      <c r="K208" s="9"/>
    </row>
    <row r="209">
      <c r="A209" s="6"/>
      <c r="B209" s="7"/>
      <c r="C209" s="7"/>
      <c r="D209" s="7"/>
      <c r="E209" s="7"/>
      <c r="F209" s="7"/>
      <c r="G209" s="7"/>
      <c r="H209" s="7"/>
      <c r="I209" s="7"/>
      <c r="J209" s="8"/>
      <c r="K209" s="9"/>
    </row>
    <row r="210">
      <c r="A210" s="6"/>
      <c r="B210" s="7"/>
      <c r="C210" s="7"/>
      <c r="D210" s="7"/>
      <c r="E210" s="7"/>
      <c r="F210" s="7"/>
      <c r="G210" s="7"/>
      <c r="H210" s="7"/>
      <c r="I210" s="7"/>
      <c r="J210" s="8"/>
      <c r="K210" s="9"/>
    </row>
    <row r="211">
      <c r="A211" s="6"/>
      <c r="B211" s="7"/>
      <c r="C211" s="7"/>
      <c r="D211" s="7"/>
      <c r="E211" s="7"/>
      <c r="F211" s="7"/>
      <c r="G211" s="7"/>
      <c r="H211" s="7"/>
      <c r="I211" s="7"/>
      <c r="J211" s="8"/>
      <c r="K211" s="9"/>
    </row>
    <row r="212">
      <c r="A212" s="6"/>
      <c r="B212" s="7"/>
      <c r="C212" s="7"/>
      <c r="D212" s="7"/>
      <c r="E212" s="7"/>
      <c r="F212" s="7"/>
      <c r="G212" s="7"/>
      <c r="H212" s="7"/>
      <c r="I212" s="7"/>
      <c r="J212" s="8"/>
      <c r="K212" s="9"/>
    </row>
    <row r="213">
      <c r="A213" s="6"/>
      <c r="B213" s="7"/>
      <c r="C213" s="7"/>
      <c r="D213" s="7"/>
      <c r="E213" s="7"/>
      <c r="F213" s="7"/>
      <c r="G213" s="7"/>
      <c r="H213" s="7"/>
      <c r="I213" s="7"/>
      <c r="J213" s="8"/>
      <c r="K213" s="9"/>
    </row>
    <row r="214">
      <c r="A214" s="6"/>
      <c r="B214" s="7"/>
      <c r="C214" s="7"/>
      <c r="D214" s="7"/>
      <c r="E214" s="7"/>
      <c r="F214" s="7"/>
      <c r="G214" s="7"/>
      <c r="H214" s="7"/>
      <c r="I214" s="7"/>
      <c r="J214" s="8"/>
      <c r="K214" s="9"/>
    </row>
    <row r="215">
      <c r="A215" s="6"/>
      <c r="B215" s="7"/>
      <c r="C215" s="7"/>
      <c r="D215" s="7"/>
      <c r="E215" s="7"/>
      <c r="F215" s="7"/>
      <c r="G215" s="7"/>
      <c r="H215" s="7"/>
      <c r="I215" s="7"/>
      <c r="J215" s="8"/>
      <c r="K215" s="9"/>
    </row>
    <row r="216">
      <c r="A216" s="6"/>
      <c r="B216" s="7"/>
      <c r="C216" s="7"/>
      <c r="D216" s="7"/>
      <c r="E216" s="7"/>
      <c r="F216" s="7"/>
      <c r="G216" s="7"/>
      <c r="H216" s="7"/>
      <c r="I216" s="7"/>
      <c r="J216" s="8"/>
      <c r="K216" s="9"/>
    </row>
    <row r="217">
      <c r="A217" s="6"/>
      <c r="B217" s="7"/>
      <c r="C217" s="7"/>
      <c r="D217" s="7"/>
      <c r="E217" s="7"/>
      <c r="F217" s="7"/>
      <c r="G217" s="7"/>
      <c r="H217" s="7"/>
      <c r="I217" s="7"/>
      <c r="J217" s="8"/>
      <c r="K217" s="9"/>
    </row>
    <row r="218">
      <c r="A218" s="6"/>
      <c r="B218" s="7"/>
      <c r="C218" s="7"/>
      <c r="D218" s="7"/>
      <c r="E218" s="7"/>
      <c r="F218" s="7"/>
      <c r="G218" s="7"/>
      <c r="H218" s="7"/>
      <c r="I218" s="7"/>
      <c r="J218" s="8"/>
      <c r="K218" s="9"/>
    </row>
    <row r="219">
      <c r="A219" s="6"/>
      <c r="B219" s="7"/>
      <c r="C219" s="7"/>
      <c r="D219" s="7"/>
      <c r="E219" s="7"/>
      <c r="F219" s="7"/>
      <c r="G219" s="7"/>
      <c r="H219" s="7"/>
      <c r="I219" s="7"/>
      <c r="J219" s="8"/>
      <c r="K219" s="9"/>
    </row>
    <row r="220">
      <c r="A220" s="6"/>
      <c r="B220" s="7"/>
      <c r="C220" s="7"/>
      <c r="D220" s="7"/>
      <c r="E220" s="7"/>
      <c r="F220" s="7"/>
      <c r="G220" s="7"/>
      <c r="H220" s="7"/>
      <c r="I220" s="7"/>
      <c r="J220" s="8"/>
      <c r="K220" s="9"/>
    </row>
    <row r="221">
      <c r="A221" s="6"/>
      <c r="B221" s="7"/>
      <c r="C221" s="7"/>
      <c r="D221" s="7"/>
      <c r="E221" s="7"/>
      <c r="F221" s="7"/>
      <c r="G221" s="7"/>
      <c r="H221" s="7"/>
      <c r="I221" s="7"/>
      <c r="J221" s="8"/>
      <c r="K221" s="9"/>
    </row>
    <row r="222">
      <c r="A222" s="6"/>
      <c r="B222" s="7"/>
      <c r="C222" s="7"/>
      <c r="D222" s="7"/>
      <c r="E222" s="7"/>
      <c r="F222" s="7"/>
      <c r="G222" s="7"/>
      <c r="H222" s="7"/>
      <c r="I222" s="7"/>
      <c r="J222" s="8"/>
      <c r="K222" s="9"/>
    </row>
    <row r="223">
      <c r="A223" s="6"/>
      <c r="B223" s="7"/>
      <c r="C223" s="7"/>
      <c r="D223" s="7"/>
      <c r="E223" s="7"/>
      <c r="F223" s="7"/>
      <c r="G223" s="7"/>
      <c r="H223" s="7"/>
      <c r="I223" s="7"/>
      <c r="J223" s="8"/>
      <c r="K223" s="9"/>
    </row>
    <row r="224">
      <c r="A224" s="6"/>
      <c r="B224" s="7"/>
      <c r="C224" s="7"/>
      <c r="D224" s="7"/>
      <c r="E224" s="7"/>
      <c r="F224" s="7"/>
      <c r="G224" s="7"/>
      <c r="H224" s="7"/>
      <c r="I224" s="7"/>
      <c r="J224" s="8"/>
      <c r="K224" s="9"/>
    </row>
    <row r="225">
      <c r="A225" s="6"/>
      <c r="B225" s="7"/>
      <c r="C225" s="7"/>
      <c r="D225" s="7"/>
      <c r="E225" s="7"/>
      <c r="F225" s="7"/>
      <c r="G225" s="7"/>
      <c r="H225" s="7"/>
      <c r="I225" s="7"/>
      <c r="J225" s="8"/>
      <c r="K225" s="9"/>
    </row>
    <row r="226">
      <c r="A226" s="6"/>
      <c r="B226" s="7"/>
      <c r="C226" s="7"/>
      <c r="D226" s="7"/>
      <c r="E226" s="7"/>
      <c r="F226" s="7"/>
      <c r="G226" s="7"/>
      <c r="H226" s="7"/>
      <c r="I226" s="7"/>
      <c r="J226" s="8"/>
      <c r="K226" s="9"/>
    </row>
    <row r="227">
      <c r="A227" s="6"/>
      <c r="B227" s="7"/>
      <c r="C227" s="7"/>
      <c r="D227" s="7"/>
      <c r="E227" s="7"/>
      <c r="F227" s="7"/>
      <c r="G227" s="7"/>
      <c r="H227" s="7"/>
      <c r="I227" s="7"/>
      <c r="J227" s="8"/>
      <c r="K227" s="9"/>
    </row>
    <row r="228">
      <c r="A228" s="6"/>
      <c r="B228" s="7"/>
      <c r="C228" s="7"/>
      <c r="D228" s="7"/>
      <c r="E228" s="7"/>
      <c r="F228" s="7"/>
      <c r="G228" s="7"/>
      <c r="H228" s="7"/>
      <c r="I228" s="7"/>
      <c r="J228" s="8"/>
      <c r="K228" s="9"/>
    </row>
    <row r="229">
      <c r="A229" s="6"/>
      <c r="B229" s="7"/>
      <c r="C229" s="7"/>
      <c r="D229" s="7"/>
      <c r="E229" s="7"/>
      <c r="F229" s="7"/>
      <c r="G229" s="7"/>
      <c r="H229" s="7"/>
      <c r="I229" s="7"/>
      <c r="J229" s="8"/>
      <c r="K229" s="9"/>
    </row>
    <row r="230">
      <c r="A230" s="6"/>
      <c r="B230" s="7"/>
      <c r="C230" s="7"/>
      <c r="D230" s="7"/>
      <c r="E230" s="7"/>
      <c r="F230" s="7"/>
      <c r="G230" s="7"/>
      <c r="H230" s="7"/>
      <c r="I230" s="7"/>
      <c r="J230" s="8"/>
      <c r="K230" s="9"/>
    </row>
    <row r="231">
      <c r="A231" s="6"/>
      <c r="B231" s="7"/>
      <c r="C231" s="7"/>
      <c r="D231" s="7"/>
      <c r="E231" s="7"/>
      <c r="F231" s="7"/>
      <c r="G231" s="7"/>
      <c r="H231" s="7"/>
      <c r="I231" s="7"/>
      <c r="J231" s="8"/>
      <c r="K231" s="9"/>
    </row>
    <row r="232">
      <c r="A232" s="6"/>
      <c r="B232" s="7"/>
      <c r="C232" s="7"/>
      <c r="D232" s="7"/>
      <c r="E232" s="7"/>
      <c r="F232" s="7"/>
      <c r="G232" s="7"/>
      <c r="H232" s="7"/>
      <c r="I232" s="7"/>
      <c r="J232" s="8"/>
      <c r="K232" s="9"/>
    </row>
    <row r="233">
      <c r="A233" s="6"/>
      <c r="B233" s="7"/>
      <c r="C233" s="7"/>
      <c r="D233" s="7"/>
      <c r="E233" s="7"/>
      <c r="F233" s="7"/>
      <c r="G233" s="7"/>
      <c r="H233" s="7"/>
      <c r="I233" s="7"/>
      <c r="J233" s="8"/>
      <c r="K233" s="9"/>
    </row>
    <row r="234">
      <c r="A234" s="6"/>
      <c r="B234" s="7"/>
      <c r="C234" s="7"/>
      <c r="D234" s="7"/>
      <c r="E234" s="7"/>
      <c r="F234" s="7"/>
      <c r="G234" s="7"/>
      <c r="H234" s="7"/>
      <c r="I234" s="7"/>
      <c r="J234" s="8"/>
      <c r="K234" s="9"/>
    </row>
    <row r="235">
      <c r="A235" s="6"/>
      <c r="B235" s="7"/>
      <c r="C235" s="7"/>
      <c r="D235" s="7"/>
      <c r="E235" s="7"/>
      <c r="F235" s="7"/>
      <c r="G235" s="7"/>
      <c r="H235" s="7"/>
      <c r="I235" s="7"/>
      <c r="J235" s="8"/>
      <c r="K235" s="9"/>
    </row>
    <row r="236">
      <c r="A236" s="6"/>
      <c r="B236" s="7"/>
      <c r="C236" s="7"/>
      <c r="D236" s="7"/>
      <c r="E236" s="7"/>
      <c r="F236" s="7"/>
      <c r="G236" s="7"/>
      <c r="H236" s="7"/>
      <c r="I236" s="7"/>
      <c r="J236" s="8"/>
      <c r="K236" s="9"/>
    </row>
    <row r="237">
      <c r="A237" s="6"/>
      <c r="B237" s="7"/>
      <c r="C237" s="7"/>
      <c r="D237" s="7"/>
      <c r="E237" s="7"/>
      <c r="F237" s="7"/>
      <c r="G237" s="7"/>
      <c r="H237" s="7"/>
      <c r="I237" s="7"/>
      <c r="J237" s="8"/>
      <c r="K237" s="9"/>
    </row>
    <row r="238">
      <c r="A238" s="6"/>
      <c r="B238" s="7"/>
      <c r="C238" s="7"/>
      <c r="D238" s="7"/>
      <c r="E238" s="7"/>
      <c r="F238" s="7"/>
      <c r="G238" s="7"/>
      <c r="H238" s="7"/>
      <c r="I238" s="7"/>
      <c r="J238" s="8"/>
      <c r="K238" s="9"/>
    </row>
    <row r="239">
      <c r="A239" s="6"/>
      <c r="B239" s="7"/>
      <c r="C239" s="7"/>
      <c r="D239" s="7"/>
      <c r="E239" s="7"/>
      <c r="F239" s="7"/>
      <c r="G239" s="7"/>
      <c r="H239" s="7"/>
      <c r="I239" s="7"/>
      <c r="J239" s="8"/>
      <c r="K239" s="9"/>
    </row>
    <row r="240">
      <c r="A240" s="6"/>
      <c r="B240" s="7"/>
      <c r="C240" s="7"/>
      <c r="D240" s="7"/>
      <c r="E240" s="7"/>
      <c r="F240" s="7"/>
      <c r="G240" s="7"/>
      <c r="H240" s="7"/>
      <c r="I240" s="7"/>
      <c r="J240" s="8"/>
      <c r="K240" s="9"/>
    </row>
    <row r="241">
      <c r="A241" s="6"/>
      <c r="B241" s="7"/>
      <c r="C241" s="7"/>
      <c r="D241" s="7"/>
      <c r="E241" s="7"/>
      <c r="F241" s="7"/>
      <c r="G241" s="7"/>
      <c r="H241" s="7"/>
      <c r="I241" s="7"/>
      <c r="J241" s="8"/>
      <c r="K241" s="9"/>
    </row>
    <row r="242">
      <c r="A242" s="6"/>
      <c r="B242" s="7"/>
      <c r="C242" s="7"/>
      <c r="D242" s="7"/>
      <c r="E242" s="7"/>
      <c r="F242" s="7"/>
      <c r="G242" s="7"/>
      <c r="H242" s="7"/>
      <c r="I242" s="7"/>
      <c r="J242" s="8"/>
      <c r="K242" s="9"/>
    </row>
    <row r="243">
      <c r="A243" s="6"/>
      <c r="B243" s="7"/>
      <c r="C243" s="7"/>
      <c r="D243" s="7"/>
      <c r="E243" s="7"/>
      <c r="F243" s="7"/>
      <c r="G243" s="7"/>
      <c r="H243" s="7"/>
      <c r="I243" s="7"/>
      <c r="J243" s="8"/>
      <c r="K243" s="9"/>
    </row>
    <row r="244">
      <c r="A244" s="6"/>
      <c r="B244" s="7"/>
      <c r="C244" s="7"/>
      <c r="D244" s="7"/>
      <c r="E244" s="7"/>
      <c r="F244" s="7"/>
      <c r="G244" s="7"/>
      <c r="H244" s="7"/>
      <c r="I244" s="7"/>
      <c r="J244" s="8"/>
      <c r="K244" s="9"/>
    </row>
    <row r="245">
      <c r="A245" s="6"/>
      <c r="B245" s="7"/>
      <c r="C245" s="7"/>
      <c r="D245" s="7"/>
      <c r="E245" s="7"/>
      <c r="F245" s="7"/>
      <c r="G245" s="7"/>
      <c r="H245" s="7"/>
      <c r="I245" s="7"/>
      <c r="J245" s="8"/>
      <c r="K245" s="9"/>
    </row>
    <row r="246">
      <c r="A246" s="6"/>
      <c r="B246" s="7"/>
      <c r="C246" s="7"/>
      <c r="D246" s="7"/>
      <c r="E246" s="7"/>
      <c r="F246" s="7"/>
      <c r="G246" s="7"/>
      <c r="H246" s="7"/>
      <c r="I246" s="7"/>
      <c r="J246" s="8"/>
      <c r="K246" s="9"/>
    </row>
    <row r="247">
      <c r="A247" s="6"/>
      <c r="B247" s="7"/>
      <c r="C247" s="7"/>
      <c r="D247" s="7"/>
      <c r="E247" s="7"/>
      <c r="F247" s="7"/>
      <c r="G247" s="7"/>
      <c r="H247" s="7"/>
      <c r="I247" s="7"/>
      <c r="J247" s="8"/>
      <c r="K247" s="9"/>
    </row>
    <row r="248">
      <c r="A248" s="6"/>
      <c r="B248" s="7"/>
      <c r="C248" s="7"/>
      <c r="D248" s="7"/>
      <c r="E248" s="7"/>
      <c r="F248" s="7"/>
      <c r="G248" s="7"/>
      <c r="H248" s="7"/>
      <c r="I248" s="7"/>
      <c r="J248" s="8"/>
      <c r="K248" s="9"/>
    </row>
    <row r="249">
      <c r="A249" s="6"/>
      <c r="B249" s="7"/>
      <c r="C249" s="7"/>
      <c r="D249" s="7"/>
      <c r="E249" s="7"/>
      <c r="F249" s="7"/>
      <c r="G249" s="7"/>
      <c r="H249" s="7"/>
      <c r="I249" s="7"/>
      <c r="J249" s="8"/>
      <c r="K249" s="9"/>
    </row>
    <row r="250">
      <c r="A250" s="6"/>
      <c r="B250" s="7"/>
      <c r="C250" s="7"/>
      <c r="D250" s="7"/>
      <c r="E250" s="7"/>
      <c r="F250" s="7"/>
      <c r="G250" s="7"/>
      <c r="H250" s="7"/>
      <c r="I250" s="7"/>
      <c r="J250" s="8"/>
      <c r="K250" s="9"/>
    </row>
    <row r="251">
      <c r="A251" s="6"/>
      <c r="B251" s="7"/>
      <c r="C251" s="7"/>
      <c r="D251" s="7"/>
      <c r="E251" s="7"/>
      <c r="F251" s="7"/>
      <c r="G251" s="7"/>
      <c r="H251" s="7"/>
      <c r="I251" s="7"/>
      <c r="J251" s="8"/>
      <c r="K251" s="9"/>
    </row>
    <row r="252">
      <c r="A252" s="6"/>
      <c r="B252" s="7"/>
      <c r="C252" s="7"/>
      <c r="D252" s="7"/>
      <c r="E252" s="7"/>
      <c r="F252" s="7"/>
      <c r="G252" s="7"/>
      <c r="H252" s="7"/>
      <c r="I252" s="7"/>
      <c r="J252" s="8"/>
      <c r="K252" s="9"/>
    </row>
    <row r="253">
      <c r="A253" s="6"/>
      <c r="B253" s="7"/>
      <c r="C253" s="7"/>
      <c r="D253" s="7"/>
      <c r="E253" s="7"/>
      <c r="F253" s="7"/>
      <c r="G253" s="7"/>
      <c r="H253" s="7"/>
      <c r="I253" s="7"/>
      <c r="J253" s="8"/>
      <c r="K253" s="9"/>
    </row>
    <row r="254">
      <c r="A254" s="6"/>
      <c r="B254" s="7"/>
      <c r="C254" s="7"/>
      <c r="D254" s="7"/>
      <c r="E254" s="7"/>
      <c r="F254" s="7"/>
      <c r="G254" s="7"/>
      <c r="H254" s="7"/>
      <c r="I254" s="7"/>
      <c r="J254" s="8"/>
      <c r="K254" s="9"/>
    </row>
    <row r="255">
      <c r="A255" s="6"/>
      <c r="B255" s="7"/>
      <c r="C255" s="7"/>
      <c r="D255" s="7"/>
      <c r="E255" s="7"/>
      <c r="F255" s="7"/>
      <c r="G255" s="7"/>
      <c r="H255" s="7"/>
      <c r="I255" s="7"/>
      <c r="J255" s="8"/>
      <c r="K255" s="9"/>
    </row>
    <row r="256">
      <c r="A256" s="6"/>
      <c r="B256" s="7"/>
      <c r="C256" s="7"/>
      <c r="D256" s="7"/>
      <c r="E256" s="7"/>
      <c r="F256" s="7"/>
      <c r="G256" s="7"/>
      <c r="H256" s="7"/>
      <c r="I256" s="7"/>
      <c r="J256" s="8"/>
      <c r="K256" s="9"/>
    </row>
    <row r="257">
      <c r="A257" s="6"/>
      <c r="B257" s="7"/>
      <c r="C257" s="7"/>
      <c r="D257" s="7"/>
      <c r="E257" s="7"/>
      <c r="F257" s="7"/>
      <c r="G257" s="7"/>
      <c r="H257" s="7"/>
      <c r="I257" s="7"/>
      <c r="J257" s="8"/>
      <c r="K257" s="9"/>
    </row>
    <row r="258">
      <c r="A258" s="6"/>
      <c r="B258" s="7"/>
      <c r="C258" s="7"/>
      <c r="D258" s="7"/>
      <c r="E258" s="7"/>
      <c r="F258" s="7"/>
      <c r="G258" s="7"/>
      <c r="H258" s="7"/>
      <c r="I258" s="7"/>
      <c r="J258" s="8"/>
      <c r="K258" s="9"/>
    </row>
    <row r="259">
      <c r="A259" s="6"/>
      <c r="B259" s="7"/>
      <c r="C259" s="7"/>
      <c r="D259" s="7"/>
      <c r="E259" s="7"/>
      <c r="F259" s="7"/>
      <c r="G259" s="7"/>
      <c r="H259" s="7"/>
      <c r="I259" s="7"/>
      <c r="J259" s="8"/>
      <c r="K259" s="9"/>
    </row>
    <row r="260">
      <c r="A260" s="6"/>
      <c r="B260" s="7"/>
      <c r="C260" s="7"/>
      <c r="D260" s="7"/>
      <c r="E260" s="7"/>
      <c r="F260" s="7"/>
      <c r="G260" s="7"/>
      <c r="H260" s="7"/>
      <c r="I260" s="7"/>
      <c r="J260" s="8"/>
      <c r="K260" s="9"/>
    </row>
    <row r="261">
      <c r="A261" s="6"/>
      <c r="B261" s="7"/>
      <c r="C261" s="7"/>
      <c r="D261" s="7"/>
      <c r="E261" s="7"/>
      <c r="F261" s="7"/>
      <c r="G261" s="7"/>
      <c r="H261" s="7"/>
      <c r="I261" s="7"/>
      <c r="J261" s="8"/>
      <c r="K261" s="9"/>
    </row>
    <row r="262">
      <c r="A262" s="6"/>
      <c r="B262" s="7"/>
      <c r="C262" s="7"/>
      <c r="D262" s="7"/>
      <c r="E262" s="7"/>
      <c r="F262" s="7"/>
      <c r="G262" s="7"/>
      <c r="H262" s="7"/>
      <c r="I262" s="7"/>
      <c r="J262" s="8"/>
      <c r="K262" s="9"/>
    </row>
    <row r="263">
      <c r="A263" s="6"/>
      <c r="B263" s="7"/>
      <c r="C263" s="7"/>
      <c r="D263" s="7"/>
      <c r="E263" s="7"/>
      <c r="F263" s="7"/>
      <c r="G263" s="7"/>
      <c r="H263" s="7"/>
      <c r="I263" s="7"/>
      <c r="J263" s="8"/>
      <c r="K263" s="9"/>
    </row>
    <row r="264">
      <c r="A264" s="6"/>
      <c r="B264" s="7"/>
      <c r="C264" s="7"/>
      <c r="D264" s="7"/>
      <c r="E264" s="7"/>
      <c r="F264" s="7"/>
      <c r="G264" s="7"/>
      <c r="H264" s="7"/>
      <c r="I264" s="7"/>
      <c r="J264" s="8"/>
      <c r="K264" s="9"/>
    </row>
    <row r="265">
      <c r="A265" s="6"/>
      <c r="B265" s="7"/>
      <c r="C265" s="7"/>
      <c r="D265" s="7"/>
      <c r="E265" s="7"/>
      <c r="F265" s="7"/>
      <c r="G265" s="7"/>
      <c r="H265" s="7"/>
      <c r="I265" s="7"/>
      <c r="J265" s="8"/>
      <c r="K265" s="9"/>
    </row>
    <row r="266">
      <c r="A266" s="6"/>
      <c r="B266" s="7"/>
      <c r="C266" s="7"/>
      <c r="D266" s="7"/>
      <c r="E266" s="7"/>
      <c r="F266" s="7"/>
      <c r="G266" s="7"/>
      <c r="H266" s="7"/>
      <c r="I266" s="7"/>
      <c r="J266" s="8"/>
      <c r="K266" s="9"/>
    </row>
    <row r="267">
      <c r="A267" s="6"/>
      <c r="B267" s="7"/>
      <c r="C267" s="7"/>
      <c r="D267" s="7"/>
      <c r="E267" s="7"/>
      <c r="F267" s="7"/>
      <c r="G267" s="7"/>
      <c r="H267" s="7"/>
      <c r="I267" s="7"/>
      <c r="J267" s="8"/>
      <c r="K267" s="9"/>
    </row>
    <row r="268">
      <c r="A268" s="6"/>
      <c r="B268" s="7"/>
      <c r="C268" s="7"/>
      <c r="D268" s="7"/>
      <c r="E268" s="7"/>
      <c r="F268" s="7"/>
      <c r="G268" s="7"/>
      <c r="H268" s="7"/>
      <c r="I268" s="7"/>
      <c r="J268" s="8"/>
      <c r="K268" s="9"/>
    </row>
    <row r="269">
      <c r="A269" s="6"/>
      <c r="B269" s="7"/>
      <c r="C269" s="7"/>
      <c r="D269" s="7"/>
      <c r="E269" s="7"/>
      <c r="F269" s="7"/>
      <c r="G269" s="7"/>
      <c r="H269" s="7"/>
      <c r="I269" s="7"/>
      <c r="J269" s="8"/>
      <c r="K269" s="9"/>
    </row>
    <row r="270">
      <c r="A270" s="6"/>
      <c r="B270" s="7"/>
      <c r="C270" s="7"/>
      <c r="D270" s="7"/>
      <c r="E270" s="7"/>
      <c r="F270" s="7"/>
      <c r="G270" s="7"/>
      <c r="H270" s="7"/>
      <c r="I270" s="7"/>
      <c r="J270" s="8"/>
      <c r="K270" s="9"/>
    </row>
    <row r="271">
      <c r="A271" s="6"/>
      <c r="B271" s="7"/>
      <c r="C271" s="7"/>
      <c r="D271" s="7"/>
      <c r="E271" s="7"/>
      <c r="F271" s="7"/>
      <c r="G271" s="7"/>
      <c r="H271" s="7"/>
      <c r="I271" s="7"/>
      <c r="J271" s="8"/>
      <c r="K271" s="9"/>
    </row>
    <row r="272">
      <c r="A272" s="6"/>
      <c r="B272" s="7"/>
      <c r="C272" s="7"/>
      <c r="D272" s="7"/>
      <c r="E272" s="7"/>
      <c r="F272" s="7"/>
      <c r="G272" s="7"/>
      <c r="H272" s="7"/>
      <c r="I272" s="7"/>
      <c r="J272" s="8"/>
      <c r="K272" s="9"/>
    </row>
    <row r="273">
      <c r="A273" s="6"/>
      <c r="B273" s="7"/>
      <c r="C273" s="7"/>
      <c r="D273" s="7"/>
      <c r="E273" s="7"/>
      <c r="F273" s="7"/>
      <c r="G273" s="7"/>
      <c r="H273" s="7"/>
      <c r="I273" s="7"/>
      <c r="J273" s="8"/>
      <c r="K273" s="9"/>
    </row>
    <row r="274">
      <c r="A274" s="6"/>
      <c r="B274" s="7"/>
      <c r="C274" s="7"/>
      <c r="D274" s="7"/>
      <c r="E274" s="7"/>
      <c r="F274" s="7"/>
      <c r="G274" s="7"/>
      <c r="H274" s="7"/>
      <c r="I274" s="7"/>
      <c r="J274" s="8"/>
      <c r="K274" s="9"/>
    </row>
    <row r="275">
      <c r="A275" s="6"/>
      <c r="B275" s="7"/>
      <c r="C275" s="7"/>
      <c r="D275" s="7"/>
      <c r="E275" s="7"/>
      <c r="F275" s="7"/>
      <c r="G275" s="7"/>
      <c r="H275" s="7"/>
      <c r="I275" s="7"/>
      <c r="J275" s="8"/>
      <c r="K275" s="9"/>
    </row>
    <row r="276">
      <c r="A276" s="6"/>
      <c r="B276" s="7"/>
      <c r="C276" s="7"/>
      <c r="D276" s="7"/>
      <c r="E276" s="7"/>
      <c r="F276" s="7"/>
      <c r="G276" s="7"/>
      <c r="H276" s="7"/>
      <c r="I276" s="7"/>
      <c r="J276" s="8"/>
      <c r="K276" s="9"/>
    </row>
    <row r="277">
      <c r="A277" s="6"/>
      <c r="B277" s="7"/>
      <c r="C277" s="7"/>
      <c r="D277" s="7"/>
      <c r="E277" s="7"/>
      <c r="F277" s="7"/>
      <c r="G277" s="7"/>
      <c r="H277" s="7"/>
      <c r="I277" s="7"/>
      <c r="J277" s="8"/>
      <c r="K277" s="9"/>
    </row>
    <row r="278">
      <c r="A278" s="6"/>
      <c r="B278" s="7"/>
      <c r="C278" s="7"/>
      <c r="D278" s="7"/>
      <c r="E278" s="7"/>
      <c r="F278" s="7"/>
      <c r="G278" s="7"/>
      <c r="H278" s="7"/>
      <c r="I278" s="7"/>
      <c r="J278" s="8"/>
      <c r="K278" s="9"/>
    </row>
    <row r="279">
      <c r="A279" s="6"/>
      <c r="B279" s="7"/>
      <c r="C279" s="7"/>
      <c r="D279" s="7"/>
      <c r="E279" s="7"/>
      <c r="F279" s="7"/>
      <c r="G279" s="7"/>
      <c r="H279" s="7"/>
      <c r="I279" s="7"/>
      <c r="J279" s="8"/>
      <c r="K279" s="9"/>
    </row>
    <row r="280">
      <c r="A280" s="6"/>
      <c r="B280" s="7"/>
      <c r="C280" s="7"/>
      <c r="D280" s="7"/>
      <c r="E280" s="7"/>
      <c r="F280" s="7"/>
      <c r="G280" s="7"/>
      <c r="H280" s="7"/>
      <c r="I280" s="7"/>
      <c r="J280" s="8"/>
      <c r="K280" s="9"/>
    </row>
    <row r="281">
      <c r="A281" s="6"/>
      <c r="B281" s="7"/>
      <c r="C281" s="7"/>
      <c r="D281" s="7"/>
      <c r="E281" s="7"/>
      <c r="F281" s="7"/>
      <c r="G281" s="7"/>
      <c r="H281" s="7"/>
      <c r="I281" s="7"/>
      <c r="J281" s="8"/>
      <c r="K281" s="9"/>
    </row>
    <row r="282">
      <c r="A282" s="6"/>
      <c r="B282" s="7"/>
      <c r="C282" s="7"/>
      <c r="D282" s="7"/>
      <c r="E282" s="7"/>
      <c r="F282" s="7"/>
      <c r="G282" s="7"/>
      <c r="H282" s="7"/>
      <c r="I282" s="7"/>
      <c r="J282" s="8"/>
      <c r="K282" s="9"/>
    </row>
    <row r="283">
      <c r="A283" s="6"/>
      <c r="B283" s="7"/>
      <c r="C283" s="7"/>
      <c r="D283" s="7"/>
      <c r="E283" s="7"/>
      <c r="F283" s="7"/>
      <c r="G283" s="7"/>
      <c r="H283" s="7"/>
      <c r="I283" s="7"/>
      <c r="J283" s="8"/>
      <c r="K283" s="9"/>
    </row>
    <row r="284">
      <c r="A284" s="6"/>
      <c r="B284" s="7"/>
      <c r="C284" s="7"/>
      <c r="D284" s="7"/>
      <c r="E284" s="7"/>
      <c r="F284" s="7"/>
      <c r="G284" s="7"/>
      <c r="H284" s="7"/>
      <c r="I284" s="7"/>
      <c r="J284" s="8"/>
      <c r="K284" s="9"/>
    </row>
    <row r="285">
      <c r="A285" s="6"/>
      <c r="B285" s="7"/>
      <c r="C285" s="7"/>
      <c r="D285" s="7"/>
      <c r="E285" s="7"/>
      <c r="F285" s="7"/>
      <c r="G285" s="7"/>
      <c r="H285" s="7"/>
      <c r="I285" s="7"/>
      <c r="J285" s="8"/>
      <c r="K285" s="9"/>
    </row>
    <row r="286">
      <c r="A286" s="6"/>
      <c r="B286" s="7"/>
      <c r="C286" s="7"/>
      <c r="D286" s="7"/>
      <c r="E286" s="7"/>
      <c r="F286" s="7"/>
      <c r="G286" s="7"/>
      <c r="H286" s="7"/>
      <c r="I286" s="7"/>
      <c r="J286" s="8"/>
      <c r="K286" s="9"/>
    </row>
    <row r="287">
      <c r="A287" s="6"/>
      <c r="B287" s="7"/>
      <c r="C287" s="7"/>
      <c r="D287" s="7"/>
      <c r="E287" s="7"/>
      <c r="F287" s="7"/>
      <c r="G287" s="7"/>
      <c r="H287" s="7"/>
      <c r="I287" s="7"/>
      <c r="J287" s="8"/>
      <c r="K287" s="9"/>
    </row>
    <row r="288">
      <c r="A288" s="6"/>
      <c r="B288" s="7"/>
      <c r="C288" s="7"/>
      <c r="D288" s="7"/>
      <c r="E288" s="7"/>
      <c r="F288" s="7"/>
      <c r="G288" s="7"/>
      <c r="H288" s="7"/>
      <c r="I288" s="7"/>
      <c r="J288" s="8"/>
      <c r="K288" s="9"/>
    </row>
    <row r="289">
      <c r="A289" s="6"/>
      <c r="B289" s="7"/>
      <c r="C289" s="7"/>
      <c r="D289" s="7"/>
      <c r="E289" s="7"/>
      <c r="F289" s="7"/>
      <c r="G289" s="7"/>
      <c r="H289" s="7"/>
      <c r="I289" s="7"/>
      <c r="J289" s="8"/>
      <c r="K289" s="9"/>
    </row>
    <row r="290">
      <c r="A290" s="6"/>
      <c r="B290" s="7"/>
      <c r="C290" s="7"/>
      <c r="D290" s="7"/>
      <c r="E290" s="7"/>
      <c r="F290" s="7"/>
      <c r="G290" s="7"/>
      <c r="H290" s="7"/>
      <c r="I290" s="7"/>
      <c r="J290" s="8"/>
      <c r="K290" s="9"/>
    </row>
    <row r="291">
      <c r="A291" s="6"/>
      <c r="B291" s="7"/>
      <c r="C291" s="7"/>
      <c r="D291" s="7"/>
      <c r="E291" s="7"/>
      <c r="F291" s="7"/>
      <c r="G291" s="7"/>
      <c r="H291" s="7"/>
      <c r="I291" s="7"/>
      <c r="J291" s="8"/>
      <c r="K291" s="9"/>
    </row>
    <row r="292">
      <c r="A292" s="6"/>
      <c r="B292" s="7"/>
      <c r="C292" s="7"/>
      <c r="D292" s="7"/>
      <c r="E292" s="7"/>
      <c r="F292" s="7"/>
      <c r="G292" s="7"/>
      <c r="H292" s="7"/>
      <c r="I292" s="7"/>
      <c r="J292" s="8"/>
      <c r="K292" s="9"/>
    </row>
    <row r="293">
      <c r="A293" s="6"/>
      <c r="B293" s="7"/>
      <c r="C293" s="7"/>
      <c r="D293" s="7"/>
      <c r="E293" s="7"/>
      <c r="F293" s="7"/>
      <c r="G293" s="7"/>
      <c r="H293" s="7"/>
      <c r="I293" s="7"/>
      <c r="J293" s="8"/>
      <c r="K293" s="9"/>
    </row>
    <row r="294">
      <c r="A294" s="6"/>
      <c r="B294" s="7"/>
      <c r="C294" s="7"/>
      <c r="D294" s="7"/>
      <c r="E294" s="7"/>
      <c r="F294" s="7"/>
      <c r="G294" s="7"/>
      <c r="H294" s="7"/>
      <c r="I294" s="7"/>
      <c r="J294" s="8"/>
      <c r="K294" s="9"/>
    </row>
    <row r="295">
      <c r="A295" s="6"/>
      <c r="B295" s="7"/>
      <c r="C295" s="7"/>
      <c r="D295" s="7"/>
      <c r="E295" s="7"/>
      <c r="F295" s="7"/>
      <c r="G295" s="7"/>
      <c r="H295" s="7"/>
      <c r="I295" s="7"/>
      <c r="J295" s="8"/>
      <c r="K295" s="9"/>
    </row>
    <row r="296">
      <c r="A296" s="6"/>
      <c r="B296" s="7"/>
      <c r="C296" s="7"/>
      <c r="D296" s="7"/>
      <c r="E296" s="7"/>
      <c r="F296" s="7"/>
      <c r="G296" s="7"/>
      <c r="H296" s="7"/>
      <c r="I296" s="7"/>
      <c r="J296" s="8"/>
      <c r="K296" s="9"/>
    </row>
    <row r="297">
      <c r="A297" s="6"/>
      <c r="B297" s="7"/>
      <c r="C297" s="7"/>
      <c r="D297" s="7"/>
      <c r="E297" s="7"/>
      <c r="F297" s="7"/>
      <c r="G297" s="7"/>
      <c r="H297" s="7"/>
      <c r="I297" s="7"/>
      <c r="J297" s="8"/>
      <c r="K297" s="9"/>
    </row>
    <row r="298">
      <c r="A298" s="6"/>
      <c r="B298" s="7"/>
      <c r="C298" s="7"/>
      <c r="D298" s="7"/>
      <c r="E298" s="7"/>
      <c r="F298" s="7"/>
      <c r="G298" s="7"/>
      <c r="H298" s="7"/>
      <c r="I298" s="7"/>
      <c r="J298" s="8"/>
      <c r="K298" s="9"/>
    </row>
    <row r="299">
      <c r="A299" s="6"/>
      <c r="B299" s="7"/>
      <c r="C299" s="7"/>
      <c r="D299" s="7"/>
      <c r="E299" s="7"/>
      <c r="F299" s="7"/>
      <c r="G299" s="7"/>
      <c r="H299" s="7"/>
      <c r="I299" s="7"/>
      <c r="J299" s="8"/>
      <c r="K299" s="9"/>
    </row>
    <row r="300">
      <c r="A300" s="6"/>
      <c r="B300" s="7"/>
      <c r="C300" s="7"/>
      <c r="D300" s="7"/>
      <c r="E300" s="7"/>
      <c r="F300" s="7"/>
      <c r="G300" s="7"/>
      <c r="H300" s="7"/>
      <c r="I300" s="7"/>
      <c r="J300" s="8"/>
      <c r="K300" s="9"/>
    </row>
    <row r="301">
      <c r="A301" s="6"/>
      <c r="B301" s="7"/>
      <c r="C301" s="7"/>
      <c r="D301" s="7"/>
      <c r="E301" s="7"/>
      <c r="F301" s="7"/>
      <c r="G301" s="7"/>
      <c r="H301" s="7"/>
      <c r="I301" s="7"/>
      <c r="J301" s="8"/>
      <c r="K301" s="9"/>
    </row>
    <row r="302">
      <c r="A302" s="6"/>
      <c r="B302" s="7"/>
      <c r="C302" s="7"/>
      <c r="D302" s="7"/>
      <c r="E302" s="7"/>
      <c r="F302" s="7"/>
      <c r="G302" s="7"/>
      <c r="H302" s="7"/>
      <c r="I302" s="7"/>
      <c r="J302" s="8"/>
      <c r="K302" s="9"/>
    </row>
    <row r="303">
      <c r="A303" s="6"/>
      <c r="B303" s="7"/>
      <c r="C303" s="7"/>
      <c r="D303" s="7"/>
      <c r="E303" s="7"/>
      <c r="F303" s="7"/>
      <c r="G303" s="7"/>
      <c r="H303" s="7"/>
      <c r="I303" s="7"/>
      <c r="J303" s="8"/>
      <c r="K303" s="9"/>
    </row>
    <row r="304">
      <c r="A304" s="6"/>
      <c r="B304" s="7"/>
      <c r="C304" s="7"/>
      <c r="D304" s="7"/>
      <c r="E304" s="7"/>
      <c r="F304" s="7"/>
      <c r="G304" s="7"/>
      <c r="H304" s="7"/>
      <c r="I304" s="7"/>
      <c r="J304" s="8"/>
      <c r="K304" s="9"/>
    </row>
    <row r="305">
      <c r="A305" s="6"/>
      <c r="B305" s="7"/>
      <c r="C305" s="7"/>
      <c r="D305" s="7"/>
      <c r="E305" s="7"/>
      <c r="F305" s="7"/>
      <c r="G305" s="7"/>
      <c r="H305" s="7"/>
      <c r="I305" s="7"/>
      <c r="J305" s="8"/>
      <c r="K305" s="9"/>
    </row>
    <row r="306">
      <c r="A306" s="6"/>
      <c r="B306" s="7"/>
      <c r="C306" s="7"/>
      <c r="D306" s="7"/>
      <c r="E306" s="7"/>
      <c r="F306" s="7"/>
      <c r="G306" s="7"/>
      <c r="H306" s="7"/>
      <c r="I306" s="7"/>
      <c r="J306" s="8"/>
      <c r="K306" s="9"/>
    </row>
    <row r="307">
      <c r="A307" s="6"/>
      <c r="B307" s="7"/>
      <c r="C307" s="7"/>
      <c r="D307" s="7"/>
      <c r="E307" s="7"/>
      <c r="F307" s="7"/>
      <c r="G307" s="7"/>
      <c r="H307" s="7"/>
      <c r="I307" s="7"/>
      <c r="J307" s="8"/>
      <c r="K307" s="9"/>
    </row>
    <row r="308">
      <c r="A308" s="6"/>
      <c r="B308" s="7"/>
      <c r="C308" s="7"/>
      <c r="D308" s="7"/>
      <c r="E308" s="7"/>
      <c r="F308" s="7"/>
      <c r="G308" s="7"/>
      <c r="H308" s="7"/>
      <c r="I308" s="7"/>
      <c r="J308" s="8"/>
      <c r="K308" s="9"/>
    </row>
    <row r="309">
      <c r="A309" s="6"/>
      <c r="B309" s="7"/>
      <c r="C309" s="7"/>
      <c r="D309" s="7"/>
      <c r="E309" s="7"/>
      <c r="F309" s="7"/>
      <c r="G309" s="7"/>
      <c r="H309" s="7"/>
      <c r="I309" s="7"/>
      <c r="J309" s="8"/>
      <c r="K309" s="9"/>
    </row>
    <row r="310">
      <c r="A310" s="6"/>
      <c r="B310" s="7"/>
      <c r="C310" s="7"/>
      <c r="D310" s="7"/>
      <c r="E310" s="7"/>
      <c r="F310" s="7"/>
      <c r="G310" s="7"/>
      <c r="H310" s="7"/>
      <c r="I310" s="7"/>
      <c r="J310" s="8"/>
      <c r="K310" s="9"/>
    </row>
    <row r="311">
      <c r="A311" s="6"/>
      <c r="B311" s="7"/>
      <c r="C311" s="7"/>
      <c r="D311" s="7"/>
      <c r="E311" s="7"/>
      <c r="F311" s="7"/>
      <c r="G311" s="7"/>
      <c r="H311" s="7"/>
      <c r="I311" s="7"/>
      <c r="J311" s="8"/>
      <c r="K311" s="9"/>
    </row>
    <row r="312">
      <c r="A312" s="6"/>
      <c r="B312" s="7"/>
      <c r="C312" s="7"/>
      <c r="D312" s="7"/>
      <c r="E312" s="7"/>
      <c r="F312" s="7"/>
      <c r="G312" s="7"/>
      <c r="H312" s="7"/>
      <c r="I312" s="7"/>
      <c r="J312" s="8"/>
      <c r="K312" s="9"/>
    </row>
    <row r="313">
      <c r="A313" s="6"/>
      <c r="B313" s="7"/>
      <c r="C313" s="7"/>
      <c r="D313" s="7"/>
      <c r="E313" s="7"/>
      <c r="F313" s="7"/>
      <c r="G313" s="7"/>
      <c r="H313" s="7"/>
      <c r="I313" s="7"/>
      <c r="J313" s="8"/>
      <c r="K313" s="9"/>
    </row>
    <row r="314">
      <c r="A314" s="6"/>
      <c r="B314" s="7"/>
      <c r="C314" s="7"/>
      <c r="D314" s="7"/>
      <c r="E314" s="7"/>
      <c r="F314" s="7"/>
      <c r="G314" s="7"/>
      <c r="H314" s="7"/>
      <c r="I314" s="7"/>
      <c r="J314" s="8"/>
      <c r="K314" s="9"/>
    </row>
    <row r="315">
      <c r="A315" s="6"/>
      <c r="B315" s="7"/>
      <c r="C315" s="7"/>
      <c r="D315" s="7"/>
      <c r="E315" s="7"/>
      <c r="F315" s="7"/>
      <c r="G315" s="7"/>
      <c r="H315" s="7"/>
      <c r="I315" s="7"/>
      <c r="J315" s="8"/>
      <c r="K315" s="9"/>
    </row>
    <row r="316">
      <c r="A316" s="6"/>
      <c r="B316" s="7"/>
      <c r="C316" s="7"/>
      <c r="D316" s="7"/>
      <c r="E316" s="7"/>
      <c r="F316" s="7"/>
      <c r="G316" s="7"/>
      <c r="H316" s="7"/>
      <c r="I316" s="7"/>
      <c r="J316" s="8"/>
      <c r="K316" s="9"/>
    </row>
    <row r="317">
      <c r="A317" s="6"/>
      <c r="B317" s="7"/>
      <c r="C317" s="7"/>
      <c r="D317" s="7"/>
      <c r="E317" s="7"/>
      <c r="F317" s="7"/>
      <c r="G317" s="7"/>
      <c r="H317" s="7"/>
      <c r="I317" s="7"/>
      <c r="J317" s="8"/>
      <c r="K317" s="9"/>
    </row>
    <row r="318">
      <c r="A318" s="6"/>
      <c r="B318" s="7"/>
      <c r="C318" s="7"/>
      <c r="D318" s="7"/>
      <c r="E318" s="7"/>
      <c r="F318" s="7"/>
      <c r="G318" s="7"/>
      <c r="H318" s="7"/>
      <c r="I318" s="7"/>
      <c r="J318" s="8"/>
      <c r="K318" s="9"/>
    </row>
    <row r="319">
      <c r="A319" s="6"/>
      <c r="B319" s="7"/>
      <c r="C319" s="7"/>
      <c r="D319" s="7"/>
      <c r="E319" s="7"/>
      <c r="F319" s="7"/>
      <c r="G319" s="7"/>
      <c r="H319" s="7"/>
      <c r="I319" s="7"/>
      <c r="J319" s="8"/>
      <c r="K319" s="9"/>
    </row>
    <row r="320">
      <c r="A320" s="6"/>
      <c r="B320" s="7"/>
      <c r="C320" s="7"/>
      <c r="D320" s="7"/>
      <c r="E320" s="7"/>
      <c r="F320" s="7"/>
      <c r="G320" s="7"/>
      <c r="H320" s="7"/>
      <c r="I320" s="7"/>
      <c r="J320" s="8"/>
      <c r="K320" s="9"/>
    </row>
    <row r="321">
      <c r="A321" s="6"/>
      <c r="B321" s="7"/>
      <c r="C321" s="7"/>
      <c r="D321" s="7"/>
      <c r="E321" s="7"/>
      <c r="F321" s="7"/>
      <c r="G321" s="7"/>
      <c r="H321" s="7"/>
      <c r="I321" s="7"/>
      <c r="J321" s="8"/>
      <c r="K321" s="9"/>
    </row>
    <row r="322">
      <c r="A322" s="6"/>
      <c r="B322" s="7"/>
      <c r="C322" s="7"/>
      <c r="D322" s="7"/>
      <c r="E322" s="7"/>
      <c r="F322" s="7"/>
      <c r="G322" s="7"/>
      <c r="H322" s="7"/>
      <c r="I322" s="7"/>
      <c r="J322" s="8"/>
      <c r="K322" s="9"/>
    </row>
    <row r="323">
      <c r="A323" s="6"/>
      <c r="B323" s="7"/>
      <c r="C323" s="7"/>
      <c r="D323" s="7"/>
      <c r="E323" s="7"/>
      <c r="F323" s="7"/>
      <c r="G323" s="7"/>
      <c r="H323" s="7"/>
      <c r="I323" s="7"/>
      <c r="J323" s="8"/>
      <c r="K323" s="9"/>
    </row>
    <row r="324">
      <c r="A324" s="6"/>
      <c r="B324" s="7"/>
      <c r="C324" s="7"/>
      <c r="D324" s="7"/>
      <c r="E324" s="7"/>
      <c r="F324" s="7"/>
      <c r="G324" s="7"/>
      <c r="H324" s="7"/>
      <c r="I324" s="7"/>
      <c r="J324" s="8"/>
      <c r="K324" s="9"/>
    </row>
    <row r="325">
      <c r="A325" s="6"/>
      <c r="B325" s="7"/>
      <c r="C325" s="7"/>
      <c r="D325" s="7"/>
      <c r="E325" s="7"/>
      <c r="F325" s="7"/>
      <c r="G325" s="7"/>
      <c r="H325" s="7"/>
      <c r="I325" s="7"/>
      <c r="J325" s="8"/>
      <c r="K325" s="9"/>
    </row>
    <row r="326">
      <c r="A326" s="6"/>
      <c r="B326" s="7"/>
      <c r="C326" s="7"/>
      <c r="D326" s="7"/>
      <c r="E326" s="7"/>
      <c r="F326" s="7"/>
      <c r="G326" s="7"/>
      <c r="H326" s="7"/>
      <c r="I326" s="7"/>
      <c r="J326" s="8"/>
      <c r="K326" s="9"/>
    </row>
    <row r="327">
      <c r="A327" s="6"/>
      <c r="B327" s="7"/>
      <c r="C327" s="7"/>
      <c r="D327" s="7"/>
      <c r="E327" s="7"/>
      <c r="F327" s="7"/>
      <c r="G327" s="7"/>
      <c r="H327" s="7"/>
      <c r="I327" s="7"/>
      <c r="J327" s="8"/>
      <c r="K327" s="9"/>
    </row>
    <row r="328">
      <c r="A328" s="6"/>
      <c r="B328" s="7"/>
      <c r="C328" s="7"/>
      <c r="D328" s="7"/>
      <c r="E328" s="7"/>
      <c r="F328" s="7"/>
      <c r="G328" s="7"/>
      <c r="H328" s="7"/>
      <c r="I328" s="7"/>
      <c r="J328" s="8"/>
      <c r="K328" s="9"/>
    </row>
    <row r="329">
      <c r="A329" s="6"/>
      <c r="B329" s="7"/>
      <c r="C329" s="7"/>
      <c r="D329" s="7"/>
      <c r="E329" s="7"/>
      <c r="F329" s="7"/>
      <c r="G329" s="7"/>
      <c r="H329" s="7"/>
      <c r="I329" s="7"/>
      <c r="J329" s="8"/>
      <c r="K329" s="9"/>
    </row>
    <row r="330">
      <c r="A330" s="6"/>
      <c r="B330" s="7"/>
      <c r="C330" s="7"/>
      <c r="D330" s="7"/>
      <c r="E330" s="7"/>
      <c r="F330" s="7"/>
      <c r="G330" s="7"/>
      <c r="H330" s="7"/>
      <c r="I330" s="7"/>
      <c r="J330" s="8"/>
      <c r="K330" s="9"/>
    </row>
    <row r="331">
      <c r="A331" s="6"/>
      <c r="B331" s="7"/>
      <c r="C331" s="7"/>
      <c r="D331" s="7"/>
      <c r="E331" s="7"/>
      <c r="F331" s="7"/>
      <c r="G331" s="7"/>
      <c r="H331" s="7"/>
      <c r="I331" s="7"/>
      <c r="J331" s="8"/>
      <c r="K331" s="9"/>
    </row>
    <row r="332">
      <c r="A332" s="6"/>
      <c r="B332" s="7"/>
      <c r="C332" s="7"/>
      <c r="D332" s="7"/>
      <c r="E332" s="7"/>
      <c r="F332" s="7"/>
      <c r="G332" s="7"/>
      <c r="H332" s="7"/>
      <c r="I332" s="7"/>
      <c r="J332" s="8"/>
      <c r="K332" s="9"/>
    </row>
    <row r="333">
      <c r="A333" s="6"/>
      <c r="B333" s="7"/>
      <c r="C333" s="7"/>
      <c r="D333" s="7"/>
      <c r="E333" s="7"/>
      <c r="F333" s="7"/>
      <c r="G333" s="7"/>
      <c r="H333" s="7"/>
      <c r="I333" s="7"/>
      <c r="J333" s="8"/>
      <c r="K333" s="9"/>
    </row>
    <row r="334">
      <c r="A334" s="6"/>
      <c r="B334" s="7"/>
      <c r="C334" s="7"/>
      <c r="D334" s="7"/>
      <c r="E334" s="7"/>
      <c r="F334" s="7"/>
      <c r="G334" s="7"/>
      <c r="H334" s="7"/>
      <c r="I334" s="7"/>
      <c r="J334" s="8"/>
      <c r="K334" s="9"/>
    </row>
    <row r="335">
      <c r="A335" s="6"/>
      <c r="B335" s="7"/>
      <c r="C335" s="7"/>
      <c r="D335" s="7"/>
      <c r="E335" s="7"/>
      <c r="F335" s="7"/>
      <c r="G335" s="7"/>
      <c r="H335" s="7"/>
      <c r="I335" s="7"/>
      <c r="J335" s="8"/>
      <c r="K335" s="9"/>
    </row>
    <row r="336">
      <c r="A336" s="6"/>
      <c r="B336" s="7"/>
      <c r="C336" s="7"/>
      <c r="D336" s="7"/>
      <c r="E336" s="7"/>
      <c r="F336" s="7"/>
      <c r="G336" s="7"/>
      <c r="H336" s="7"/>
      <c r="I336" s="7"/>
      <c r="J336" s="8"/>
      <c r="K336" s="9"/>
    </row>
    <row r="337">
      <c r="A337" s="6"/>
      <c r="B337" s="7"/>
      <c r="C337" s="7"/>
      <c r="D337" s="7"/>
      <c r="E337" s="7"/>
      <c r="F337" s="7"/>
      <c r="G337" s="7"/>
      <c r="H337" s="7"/>
      <c r="I337" s="7"/>
      <c r="J337" s="8"/>
      <c r="K337" s="9"/>
    </row>
    <row r="338">
      <c r="A338" s="6"/>
      <c r="B338" s="7"/>
      <c r="C338" s="7"/>
      <c r="D338" s="7"/>
      <c r="E338" s="7"/>
      <c r="F338" s="7"/>
      <c r="G338" s="7"/>
      <c r="H338" s="7"/>
      <c r="I338" s="7"/>
      <c r="J338" s="8"/>
      <c r="K338" s="9"/>
    </row>
    <row r="339">
      <c r="A339" s="6"/>
      <c r="B339" s="7"/>
      <c r="C339" s="7"/>
      <c r="D339" s="7"/>
      <c r="E339" s="7"/>
      <c r="F339" s="7"/>
      <c r="G339" s="7"/>
      <c r="H339" s="7"/>
      <c r="I339" s="7"/>
      <c r="J339" s="8"/>
      <c r="K339" s="9"/>
    </row>
    <row r="340">
      <c r="A340" s="6"/>
      <c r="B340" s="7"/>
      <c r="C340" s="7"/>
      <c r="D340" s="7"/>
      <c r="E340" s="7"/>
      <c r="F340" s="7"/>
      <c r="G340" s="7"/>
      <c r="H340" s="7"/>
      <c r="I340" s="7"/>
      <c r="J340" s="8"/>
      <c r="K340" s="9"/>
    </row>
    <row r="341">
      <c r="A341" s="6"/>
      <c r="B341" s="7"/>
      <c r="C341" s="7"/>
      <c r="D341" s="7"/>
      <c r="E341" s="7"/>
      <c r="F341" s="7"/>
      <c r="G341" s="7"/>
      <c r="H341" s="7"/>
      <c r="I341" s="7"/>
      <c r="J341" s="8"/>
      <c r="K341" s="9"/>
    </row>
    <row r="342">
      <c r="A342" s="6"/>
      <c r="B342" s="7"/>
      <c r="C342" s="7"/>
      <c r="D342" s="7"/>
      <c r="E342" s="7"/>
      <c r="F342" s="7"/>
      <c r="G342" s="7"/>
      <c r="H342" s="7"/>
      <c r="I342" s="7"/>
      <c r="J342" s="8"/>
      <c r="K342" s="9"/>
    </row>
    <row r="343">
      <c r="A343" s="6"/>
      <c r="B343" s="7"/>
      <c r="C343" s="7"/>
      <c r="D343" s="7"/>
      <c r="E343" s="7"/>
      <c r="F343" s="7"/>
      <c r="G343" s="7"/>
      <c r="H343" s="7"/>
      <c r="I343" s="7"/>
      <c r="J343" s="8"/>
      <c r="K343" s="9"/>
    </row>
    <row r="344">
      <c r="A344" s="6"/>
      <c r="B344" s="7"/>
      <c r="C344" s="7"/>
      <c r="D344" s="7"/>
      <c r="E344" s="7"/>
      <c r="F344" s="7"/>
      <c r="G344" s="7"/>
      <c r="H344" s="7"/>
      <c r="I344" s="7"/>
      <c r="J344" s="8"/>
      <c r="K344" s="9"/>
    </row>
    <row r="345">
      <c r="A345" s="6"/>
      <c r="B345" s="7"/>
      <c r="C345" s="7"/>
      <c r="D345" s="7"/>
      <c r="E345" s="7"/>
      <c r="F345" s="7"/>
      <c r="G345" s="7"/>
      <c r="H345" s="7"/>
      <c r="I345" s="7"/>
      <c r="J345" s="8"/>
      <c r="K345" s="9"/>
    </row>
    <row r="346">
      <c r="A346" s="6"/>
      <c r="B346" s="7"/>
      <c r="C346" s="7"/>
      <c r="D346" s="7"/>
      <c r="E346" s="7"/>
      <c r="F346" s="7"/>
      <c r="G346" s="7"/>
      <c r="H346" s="7"/>
      <c r="I346" s="7"/>
      <c r="J346" s="8"/>
      <c r="K346" s="9"/>
    </row>
    <row r="347">
      <c r="A347" s="6"/>
      <c r="B347" s="7"/>
      <c r="C347" s="7"/>
      <c r="D347" s="7"/>
      <c r="E347" s="7"/>
      <c r="F347" s="7"/>
      <c r="G347" s="7"/>
      <c r="H347" s="7"/>
      <c r="I347" s="7"/>
      <c r="J347" s="8"/>
      <c r="K347" s="9"/>
    </row>
    <row r="348">
      <c r="A348" s="6"/>
      <c r="B348" s="7"/>
      <c r="C348" s="7"/>
      <c r="D348" s="7"/>
      <c r="E348" s="7"/>
      <c r="F348" s="7"/>
      <c r="G348" s="7"/>
      <c r="H348" s="7"/>
      <c r="I348" s="7"/>
      <c r="J348" s="8"/>
      <c r="K348" s="9"/>
    </row>
    <row r="349">
      <c r="A349" s="6"/>
      <c r="B349" s="7"/>
      <c r="C349" s="7"/>
      <c r="D349" s="7"/>
      <c r="E349" s="7"/>
      <c r="F349" s="7"/>
      <c r="G349" s="7"/>
      <c r="H349" s="7"/>
      <c r="I349" s="7"/>
      <c r="J349" s="8"/>
      <c r="K349" s="9"/>
    </row>
    <row r="350">
      <c r="A350" s="6"/>
      <c r="B350" s="7"/>
      <c r="C350" s="7"/>
      <c r="D350" s="7"/>
      <c r="E350" s="7"/>
      <c r="F350" s="7"/>
      <c r="G350" s="7"/>
      <c r="H350" s="7"/>
      <c r="I350" s="7"/>
      <c r="J350" s="8"/>
      <c r="K350" s="9"/>
    </row>
    <row r="351">
      <c r="A351" s="6"/>
      <c r="B351" s="7"/>
      <c r="C351" s="7"/>
      <c r="D351" s="7"/>
      <c r="E351" s="7"/>
      <c r="F351" s="7"/>
      <c r="G351" s="7"/>
      <c r="H351" s="7"/>
      <c r="I351" s="7"/>
      <c r="J351" s="8"/>
      <c r="K351" s="9"/>
    </row>
    <row r="352">
      <c r="A352" s="6"/>
      <c r="B352" s="7"/>
      <c r="C352" s="7"/>
      <c r="D352" s="7"/>
      <c r="E352" s="7"/>
      <c r="F352" s="7"/>
      <c r="G352" s="7"/>
      <c r="H352" s="7"/>
      <c r="I352" s="7"/>
      <c r="J352" s="8"/>
      <c r="K352" s="9"/>
    </row>
    <row r="353">
      <c r="A353" s="6"/>
      <c r="B353" s="7"/>
      <c r="C353" s="7"/>
      <c r="D353" s="7"/>
      <c r="E353" s="7"/>
      <c r="F353" s="7"/>
      <c r="G353" s="7"/>
      <c r="H353" s="7"/>
      <c r="I353" s="7"/>
      <c r="J353" s="8"/>
      <c r="K353" s="9"/>
    </row>
    <row r="354">
      <c r="A354" s="6"/>
      <c r="B354" s="7"/>
      <c r="C354" s="7"/>
      <c r="D354" s="7"/>
      <c r="E354" s="7"/>
      <c r="F354" s="7"/>
      <c r="G354" s="7"/>
      <c r="H354" s="7"/>
      <c r="I354" s="7"/>
      <c r="J354" s="8"/>
      <c r="K354" s="9"/>
    </row>
    <row r="355">
      <c r="A355" s="6"/>
      <c r="B355" s="7"/>
      <c r="C355" s="7"/>
      <c r="D355" s="7"/>
      <c r="E355" s="7"/>
      <c r="F355" s="7"/>
      <c r="G355" s="7"/>
      <c r="H355" s="7"/>
      <c r="I355" s="7"/>
      <c r="J355" s="8"/>
      <c r="K355" s="9"/>
    </row>
    <row r="356">
      <c r="A356" s="6"/>
      <c r="B356" s="7"/>
      <c r="C356" s="7"/>
      <c r="D356" s="7"/>
      <c r="E356" s="7"/>
      <c r="F356" s="7"/>
      <c r="G356" s="7"/>
      <c r="H356" s="7"/>
      <c r="I356" s="7"/>
      <c r="J356" s="8"/>
      <c r="K356" s="9"/>
    </row>
    <row r="357">
      <c r="A357" s="6"/>
      <c r="B357" s="7"/>
      <c r="C357" s="7"/>
      <c r="D357" s="7"/>
      <c r="E357" s="7"/>
      <c r="F357" s="7"/>
      <c r="G357" s="7"/>
      <c r="H357" s="7"/>
      <c r="I357" s="7"/>
      <c r="J357" s="8"/>
      <c r="K357" s="9"/>
    </row>
    <row r="358">
      <c r="A358" s="6"/>
      <c r="B358" s="7"/>
      <c r="C358" s="7"/>
      <c r="D358" s="7"/>
      <c r="E358" s="7"/>
      <c r="F358" s="7"/>
      <c r="G358" s="7"/>
      <c r="H358" s="7"/>
      <c r="I358" s="7"/>
      <c r="J358" s="8"/>
      <c r="K358" s="9"/>
    </row>
    <row r="359">
      <c r="A359" s="6"/>
      <c r="B359" s="7"/>
      <c r="C359" s="7"/>
      <c r="D359" s="7"/>
      <c r="E359" s="7"/>
      <c r="F359" s="7"/>
      <c r="G359" s="7"/>
      <c r="H359" s="7"/>
      <c r="I359" s="7"/>
      <c r="J359" s="8"/>
      <c r="K359" s="9"/>
    </row>
    <row r="360">
      <c r="A360" s="6"/>
      <c r="B360" s="7"/>
      <c r="C360" s="7"/>
      <c r="D360" s="7"/>
      <c r="E360" s="7"/>
      <c r="F360" s="7"/>
      <c r="G360" s="7"/>
      <c r="H360" s="7"/>
      <c r="I360" s="7"/>
      <c r="J360" s="8"/>
      <c r="K360" s="9"/>
    </row>
    <row r="361">
      <c r="A361" s="6"/>
      <c r="B361" s="7"/>
      <c r="C361" s="7"/>
      <c r="D361" s="7"/>
      <c r="E361" s="7"/>
      <c r="F361" s="7"/>
      <c r="G361" s="7"/>
      <c r="H361" s="7"/>
      <c r="I361" s="7"/>
      <c r="J361" s="8"/>
      <c r="K361" s="9"/>
    </row>
    <row r="362">
      <c r="A362" s="6"/>
      <c r="B362" s="7"/>
      <c r="C362" s="7"/>
      <c r="D362" s="7"/>
      <c r="E362" s="7"/>
      <c r="F362" s="7"/>
      <c r="G362" s="7"/>
      <c r="H362" s="7"/>
      <c r="I362" s="7"/>
      <c r="J362" s="8"/>
      <c r="K362" s="9"/>
    </row>
    <row r="363">
      <c r="A363" s="6"/>
      <c r="B363" s="7"/>
      <c r="C363" s="7"/>
      <c r="D363" s="7"/>
      <c r="E363" s="7"/>
      <c r="F363" s="7"/>
      <c r="G363" s="7"/>
      <c r="H363" s="7"/>
      <c r="I363" s="7"/>
      <c r="J363" s="8"/>
      <c r="K363" s="9"/>
    </row>
    <row r="364">
      <c r="A364" s="6"/>
      <c r="B364" s="7"/>
      <c r="C364" s="7"/>
      <c r="D364" s="7"/>
      <c r="E364" s="7"/>
      <c r="F364" s="7"/>
      <c r="G364" s="7"/>
      <c r="H364" s="7"/>
      <c r="I364" s="7"/>
      <c r="J364" s="8"/>
      <c r="K364" s="9"/>
    </row>
    <row r="365">
      <c r="A365" s="6"/>
      <c r="B365" s="7"/>
      <c r="C365" s="7"/>
      <c r="D365" s="7"/>
      <c r="E365" s="7"/>
      <c r="F365" s="7"/>
      <c r="G365" s="7"/>
      <c r="H365" s="7"/>
      <c r="I365" s="7"/>
      <c r="J365" s="8"/>
      <c r="K365" s="9"/>
    </row>
    <row r="366">
      <c r="A366" s="6"/>
      <c r="B366" s="7"/>
      <c r="C366" s="7"/>
      <c r="D366" s="7"/>
      <c r="E366" s="7"/>
      <c r="F366" s="7"/>
      <c r="G366" s="7"/>
      <c r="H366" s="7"/>
      <c r="I366" s="7"/>
      <c r="J366" s="8"/>
      <c r="K366" s="9"/>
    </row>
    <row r="367">
      <c r="A367" s="6"/>
      <c r="B367" s="7"/>
      <c r="C367" s="7"/>
      <c r="D367" s="7"/>
      <c r="E367" s="7"/>
      <c r="F367" s="7"/>
      <c r="G367" s="7"/>
      <c r="H367" s="7"/>
      <c r="I367" s="7"/>
      <c r="J367" s="8"/>
      <c r="K367" s="9"/>
    </row>
    <row r="368">
      <c r="A368" s="6"/>
      <c r="B368" s="7"/>
      <c r="C368" s="7"/>
      <c r="D368" s="7"/>
      <c r="E368" s="7"/>
      <c r="F368" s="7"/>
      <c r="G368" s="7"/>
      <c r="H368" s="7"/>
      <c r="I368" s="7"/>
      <c r="J368" s="8"/>
      <c r="K368" s="9"/>
    </row>
    <row r="369">
      <c r="A369" s="6"/>
      <c r="B369" s="7"/>
      <c r="C369" s="7"/>
      <c r="D369" s="7"/>
      <c r="E369" s="7"/>
      <c r="F369" s="7"/>
      <c r="G369" s="7"/>
      <c r="H369" s="7"/>
      <c r="I369" s="7"/>
      <c r="J369" s="8"/>
      <c r="K369" s="9"/>
    </row>
    <row r="370">
      <c r="A370" s="6"/>
      <c r="B370" s="7"/>
      <c r="C370" s="7"/>
      <c r="D370" s="7"/>
      <c r="E370" s="7"/>
      <c r="F370" s="7"/>
      <c r="G370" s="7"/>
      <c r="H370" s="7"/>
      <c r="I370" s="7"/>
      <c r="J370" s="8"/>
      <c r="K370" s="9"/>
    </row>
    <row r="371">
      <c r="A371" s="6"/>
      <c r="B371" s="7"/>
      <c r="C371" s="7"/>
      <c r="D371" s="7"/>
      <c r="E371" s="7"/>
      <c r="F371" s="7"/>
      <c r="G371" s="7"/>
      <c r="H371" s="7"/>
      <c r="I371" s="7"/>
      <c r="J371" s="8"/>
      <c r="K371" s="9"/>
    </row>
    <row r="372">
      <c r="A372" s="6"/>
      <c r="B372" s="7"/>
      <c r="C372" s="7"/>
      <c r="D372" s="7"/>
      <c r="E372" s="7"/>
      <c r="F372" s="7"/>
      <c r="G372" s="7"/>
      <c r="H372" s="7"/>
      <c r="I372" s="7"/>
      <c r="J372" s="8"/>
      <c r="K372" s="9"/>
    </row>
    <row r="373">
      <c r="A373" s="6"/>
      <c r="B373" s="7"/>
      <c r="C373" s="7"/>
      <c r="D373" s="7"/>
      <c r="E373" s="7"/>
      <c r="F373" s="7"/>
      <c r="G373" s="7"/>
      <c r="H373" s="7"/>
      <c r="I373" s="7"/>
      <c r="J373" s="8"/>
      <c r="K373" s="9"/>
    </row>
    <row r="374">
      <c r="A374" s="6"/>
      <c r="B374" s="7"/>
      <c r="C374" s="7"/>
      <c r="D374" s="7"/>
      <c r="E374" s="7"/>
      <c r="F374" s="7"/>
      <c r="G374" s="7"/>
      <c r="H374" s="7"/>
      <c r="I374" s="7"/>
      <c r="J374" s="8"/>
      <c r="K374" s="9"/>
    </row>
    <row r="375">
      <c r="A375" s="6"/>
      <c r="B375" s="7"/>
      <c r="C375" s="7"/>
      <c r="D375" s="7"/>
      <c r="E375" s="7"/>
      <c r="F375" s="7"/>
      <c r="G375" s="7"/>
      <c r="H375" s="7"/>
      <c r="I375" s="7"/>
      <c r="J375" s="8"/>
      <c r="K375" s="9"/>
    </row>
    <row r="376">
      <c r="A376" s="6"/>
      <c r="B376" s="7"/>
      <c r="C376" s="7"/>
      <c r="D376" s="7"/>
      <c r="E376" s="7"/>
      <c r="F376" s="7"/>
      <c r="G376" s="7"/>
      <c r="H376" s="7"/>
      <c r="I376" s="7"/>
      <c r="J376" s="8"/>
      <c r="K376" s="9"/>
    </row>
    <row r="377">
      <c r="A377" s="6"/>
      <c r="B377" s="7"/>
      <c r="C377" s="7"/>
      <c r="D377" s="7"/>
      <c r="E377" s="7"/>
      <c r="F377" s="7"/>
      <c r="G377" s="7"/>
      <c r="H377" s="7"/>
      <c r="I377" s="7"/>
      <c r="J377" s="8"/>
      <c r="K377" s="9"/>
    </row>
    <row r="378">
      <c r="A378" s="6"/>
      <c r="B378" s="7"/>
      <c r="C378" s="7"/>
      <c r="D378" s="7"/>
      <c r="E378" s="7"/>
      <c r="F378" s="7"/>
      <c r="G378" s="7"/>
      <c r="H378" s="7"/>
      <c r="I378" s="7"/>
      <c r="J378" s="8"/>
      <c r="K378" s="9"/>
    </row>
    <row r="379">
      <c r="A379" s="6"/>
      <c r="B379" s="7"/>
      <c r="C379" s="7"/>
      <c r="D379" s="7"/>
      <c r="E379" s="7"/>
      <c r="F379" s="7"/>
      <c r="G379" s="7"/>
      <c r="H379" s="7"/>
      <c r="I379" s="7"/>
      <c r="J379" s="8"/>
      <c r="K379" s="9"/>
    </row>
    <row r="380">
      <c r="A380" s="6"/>
      <c r="B380" s="7"/>
      <c r="C380" s="7"/>
      <c r="D380" s="7"/>
      <c r="E380" s="7"/>
      <c r="F380" s="7"/>
      <c r="G380" s="7"/>
      <c r="H380" s="7"/>
      <c r="I380" s="7"/>
      <c r="J380" s="8"/>
      <c r="K380" s="9"/>
    </row>
    <row r="381">
      <c r="A381" s="6"/>
      <c r="B381" s="7"/>
      <c r="C381" s="7"/>
      <c r="D381" s="7"/>
      <c r="E381" s="7"/>
      <c r="F381" s="7"/>
      <c r="G381" s="7"/>
      <c r="H381" s="7"/>
      <c r="I381" s="7"/>
      <c r="J381" s="8"/>
      <c r="K381" s="9"/>
    </row>
    <row r="382">
      <c r="A382" s="6"/>
      <c r="B382" s="7"/>
      <c r="C382" s="7"/>
      <c r="D382" s="7"/>
      <c r="E382" s="7"/>
      <c r="F382" s="7"/>
      <c r="G382" s="7"/>
      <c r="H382" s="7"/>
      <c r="I382" s="7"/>
      <c r="J382" s="8"/>
      <c r="K382" s="9"/>
    </row>
    <row r="383">
      <c r="A383" s="6"/>
      <c r="B383" s="7"/>
      <c r="C383" s="7"/>
      <c r="D383" s="7"/>
      <c r="E383" s="7"/>
      <c r="F383" s="7"/>
      <c r="G383" s="7"/>
      <c r="H383" s="7"/>
      <c r="I383" s="7"/>
      <c r="J383" s="8"/>
      <c r="K383" s="9"/>
    </row>
    <row r="384">
      <c r="A384" s="6"/>
      <c r="B384" s="7"/>
      <c r="C384" s="7"/>
      <c r="D384" s="7"/>
      <c r="E384" s="7"/>
      <c r="F384" s="7"/>
      <c r="G384" s="7"/>
      <c r="H384" s="7"/>
      <c r="I384" s="7"/>
      <c r="J384" s="8"/>
      <c r="K384" s="9"/>
    </row>
    <row r="385">
      <c r="A385" s="6"/>
      <c r="B385" s="7"/>
      <c r="C385" s="7"/>
      <c r="D385" s="7"/>
      <c r="E385" s="7"/>
      <c r="F385" s="7"/>
      <c r="G385" s="7"/>
      <c r="H385" s="7"/>
      <c r="I385" s="7"/>
      <c r="J385" s="8"/>
      <c r="K385" s="9"/>
    </row>
    <row r="386">
      <c r="A386" s="6"/>
      <c r="B386" s="7"/>
      <c r="C386" s="7"/>
      <c r="D386" s="7"/>
      <c r="E386" s="7"/>
      <c r="F386" s="7"/>
      <c r="G386" s="7"/>
      <c r="H386" s="7"/>
      <c r="I386" s="7"/>
      <c r="J386" s="8"/>
      <c r="K386" s="9"/>
    </row>
    <row r="387">
      <c r="A387" s="6"/>
      <c r="B387" s="7"/>
      <c r="C387" s="7"/>
      <c r="D387" s="7"/>
      <c r="E387" s="7"/>
      <c r="F387" s="7"/>
      <c r="G387" s="7"/>
      <c r="H387" s="7"/>
      <c r="I387" s="7"/>
      <c r="J387" s="8"/>
      <c r="K387" s="9"/>
    </row>
    <row r="388">
      <c r="A388" s="6"/>
      <c r="B388" s="7"/>
      <c r="C388" s="7"/>
      <c r="D388" s="7"/>
      <c r="E388" s="7"/>
      <c r="F388" s="7"/>
      <c r="G388" s="7"/>
      <c r="H388" s="7"/>
      <c r="I388" s="7"/>
      <c r="J388" s="8"/>
      <c r="K388" s="9"/>
    </row>
    <row r="389">
      <c r="A389" s="6"/>
      <c r="B389" s="7"/>
      <c r="C389" s="7"/>
      <c r="D389" s="7"/>
      <c r="E389" s="7"/>
      <c r="F389" s="7"/>
      <c r="G389" s="7"/>
      <c r="H389" s="7"/>
      <c r="I389" s="7"/>
      <c r="J389" s="8"/>
      <c r="K389" s="9"/>
    </row>
    <row r="390">
      <c r="A390" s="6"/>
      <c r="B390" s="7"/>
      <c r="C390" s="7"/>
      <c r="D390" s="7"/>
      <c r="E390" s="7"/>
      <c r="F390" s="7"/>
      <c r="G390" s="7"/>
      <c r="H390" s="7"/>
      <c r="I390" s="7"/>
      <c r="J390" s="8"/>
      <c r="K390" s="9"/>
    </row>
    <row r="391">
      <c r="A391" s="6"/>
      <c r="B391" s="7"/>
      <c r="C391" s="7"/>
      <c r="D391" s="7"/>
      <c r="E391" s="7"/>
      <c r="F391" s="7"/>
      <c r="G391" s="7"/>
      <c r="H391" s="7"/>
      <c r="I391" s="7"/>
      <c r="J391" s="8"/>
      <c r="K391" s="9"/>
    </row>
    <row r="392">
      <c r="A392" s="6"/>
      <c r="B392" s="7"/>
      <c r="C392" s="7"/>
      <c r="D392" s="7"/>
      <c r="E392" s="7"/>
      <c r="F392" s="7"/>
      <c r="G392" s="7"/>
      <c r="H392" s="7"/>
      <c r="I392" s="7"/>
      <c r="J392" s="8"/>
      <c r="K392" s="9"/>
    </row>
    <row r="393">
      <c r="A393" s="6"/>
      <c r="B393" s="7"/>
      <c r="C393" s="7"/>
      <c r="D393" s="7"/>
      <c r="E393" s="7"/>
      <c r="F393" s="7"/>
      <c r="G393" s="7"/>
      <c r="H393" s="7"/>
      <c r="I393" s="7"/>
      <c r="J393" s="8"/>
      <c r="K393" s="9"/>
    </row>
    <row r="394">
      <c r="A394" s="6"/>
      <c r="B394" s="7"/>
      <c r="C394" s="7"/>
      <c r="D394" s="7"/>
      <c r="E394" s="7"/>
      <c r="F394" s="7"/>
      <c r="G394" s="7"/>
      <c r="H394" s="7"/>
      <c r="I394" s="7"/>
      <c r="J394" s="8"/>
      <c r="K394" s="9"/>
    </row>
    <row r="395">
      <c r="A395" s="6"/>
      <c r="B395" s="7"/>
      <c r="C395" s="7"/>
      <c r="D395" s="7"/>
      <c r="E395" s="7"/>
      <c r="F395" s="7"/>
      <c r="G395" s="7"/>
      <c r="H395" s="7"/>
      <c r="I395" s="7"/>
      <c r="J395" s="8"/>
      <c r="K395" s="9"/>
    </row>
    <row r="396">
      <c r="A396" s="6"/>
      <c r="B396" s="7"/>
      <c r="C396" s="7"/>
      <c r="D396" s="7"/>
      <c r="E396" s="7"/>
      <c r="F396" s="7"/>
      <c r="G396" s="7"/>
      <c r="H396" s="7"/>
      <c r="I396" s="7"/>
      <c r="J396" s="8"/>
      <c r="K396" s="9"/>
    </row>
    <row r="397">
      <c r="A397" s="6"/>
      <c r="B397" s="7"/>
      <c r="C397" s="7"/>
      <c r="D397" s="7"/>
      <c r="E397" s="7"/>
      <c r="F397" s="7"/>
      <c r="G397" s="7"/>
      <c r="H397" s="7"/>
      <c r="I397" s="7"/>
      <c r="J397" s="8"/>
      <c r="K397" s="9"/>
    </row>
    <row r="398">
      <c r="A398" s="6"/>
      <c r="B398" s="7"/>
      <c r="C398" s="7"/>
      <c r="D398" s="7"/>
      <c r="E398" s="7"/>
      <c r="F398" s="7"/>
      <c r="G398" s="7"/>
      <c r="H398" s="7"/>
      <c r="I398" s="7"/>
      <c r="J398" s="8"/>
      <c r="K398" s="9"/>
    </row>
    <row r="399">
      <c r="A399" s="6"/>
      <c r="B399" s="7"/>
      <c r="C399" s="7"/>
      <c r="D399" s="7"/>
      <c r="E399" s="7"/>
      <c r="F399" s="7"/>
      <c r="G399" s="7"/>
      <c r="H399" s="7"/>
      <c r="I399" s="7"/>
      <c r="J399" s="8"/>
      <c r="K399" s="9"/>
    </row>
    <row r="400">
      <c r="A400" s="6"/>
      <c r="B400" s="7"/>
      <c r="C400" s="7"/>
      <c r="D400" s="7"/>
      <c r="E400" s="7"/>
      <c r="F400" s="7"/>
      <c r="G400" s="7"/>
      <c r="H400" s="7"/>
      <c r="I400" s="7"/>
      <c r="J400" s="8"/>
      <c r="K400" s="9"/>
    </row>
    <row r="401">
      <c r="A401" s="6"/>
      <c r="B401" s="7"/>
      <c r="C401" s="7"/>
      <c r="D401" s="7"/>
      <c r="E401" s="7"/>
      <c r="F401" s="7"/>
      <c r="G401" s="7"/>
      <c r="H401" s="7"/>
      <c r="I401" s="7"/>
      <c r="J401" s="8"/>
      <c r="K401" s="9"/>
    </row>
    <row r="402">
      <c r="A402" s="6"/>
      <c r="B402" s="7"/>
      <c r="C402" s="7"/>
      <c r="D402" s="7"/>
      <c r="E402" s="7"/>
      <c r="F402" s="7"/>
      <c r="G402" s="7"/>
      <c r="H402" s="7"/>
      <c r="I402" s="7"/>
      <c r="J402" s="8"/>
      <c r="K402" s="9"/>
    </row>
    <row r="403">
      <c r="A403" s="6"/>
      <c r="B403" s="7"/>
      <c r="C403" s="7"/>
      <c r="D403" s="7"/>
      <c r="E403" s="7"/>
      <c r="F403" s="7"/>
      <c r="G403" s="7"/>
      <c r="H403" s="7"/>
      <c r="I403" s="7"/>
      <c r="J403" s="8"/>
      <c r="K403" s="9"/>
    </row>
    <row r="404">
      <c r="A404" s="6"/>
      <c r="B404" s="7"/>
      <c r="C404" s="7"/>
      <c r="D404" s="7"/>
      <c r="E404" s="7"/>
      <c r="F404" s="7"/>
      <c r="G404" s="7"/>
      <c r="H404" s="7"/>
      <c r="I404" s="7"/>
      <c r="J404" s="8"/>
      <c r="K404" s="9"/>
    </row>
    <row r="405">
      <c r="A405" s="6"/>
      <c r="B405" s="7"/>
      <c r="C405" s="7"/>
      <c r="D405" s="7"/>
      <c r="E405" s="7"/>
      <c r="F405" s="7"/>
      <c r="G405" s="7"/>
      <c r="H405" s="7"/>
      <c r="I405" s="7"/>
      <c r="J405" s="8"/>
      <c r="K405" s="9"/>
    </row>
    <row r="406">
      <c r="A406" s="6"/>
      <c r="B406" s="7"/>
      <c r="C406" s="7"/>
      <c r="D406" s="7"/>
      <c r="E406" s="7"/>
      <c r="F406" s="7"/>
      <c r="G406" s="7"/>
      <c r="H406" s="7"/>
      <c r="I406" s="7"/>
      <c r="J406" s="8"/>
      <c r="K406" s="9"/>
    </row>
    <row r="407">
      <c r="A407" s="6"/>
      <c r="B407" s="7"/>
      <c r="C407" s="7"/>
      <c r="D407" s="7"/>
      <c r="E407" s="7"/>
      <c r="F407" s="7"/>
      <c r="G407" s="7"/>
      <c r="H407" s="7"/>
      <c r="I407" s="7"/>
      <c r="J407" s="8"/>
      <c r="K407" s="9"/>
    </row>
    <row r="408">
      <c r="A408" s="6"/>
      <c r="B408" s="7"/>
      <c r="C408" s="7"/>
      <c r="D408" s="7"/>
      <c r="E408" s="7"/>
      <c r="F408" s="7"/>
      <c r="G408" s="7"/>
      <c r="H408" s="7"/>
      <c r="I408" s="7"/>
      <c r="J408" s="8"/>
      <c r="K408" s="9"/>
    </row>
    <row r="409">
      <c r="A409" s="6"/>
      <c r="B409" s="7"/>
      <c r="C409" s="7"/>
      <c r="D409" s="7"/>
      <c r="E409" s="7"/>
      <c r="F409" s="7"/>
      <c r="G409" s="7"/>
      <c r="H409" s="7"/>
      <c r="I409" s="7"/>
      <c r="J409" s="8"/>
      <c r="K409" s="9"/>
    </row>
    <row r="410">
      <c r="A410" s="6"/>
      <c r="B410" s="7"/>
      <c r="C410" s="7"/>
      <c r="D410" s="7"/>
      <c r="E410" s="7"/>
      <c r="F410" s="7"/>
      <c r="G410" s="7"/>
      <c r="H410" s="7"/>
      <c r="I410" s="7"/>
      <c r="J410" s="8"/>
      <c r="K410" s="9"/>
    </row>
    <row r="411">
      <c r="A411" s="6"/>
      <c r="B411" s="7"/>
      <c r="C411" s="7"/>
      <c r="D411" s="7"/>
      <c r="E411" s="7"/>
      <c r="F411" s="7"/>
      <c r="G411" s="7"/>
      <c r="H411" s="7"/>
      <c r="I411" s="7"/>
      <c r="J411" s="8"/>
      <c r="K411" s="9"/>
    </row>
    <row r="412">
      <c r="A412" s="6"/>
      <c r="B412" s="7"/>
      <c r="C412" s="7"/>
      <c r="D412" s="7"/>
      <c r="E412" s="7"/>
      <c r="F412" s="7"/>
      <c r="G412" s="7"/>
      <c r="H412" s="7"/>
      <c r="I412" s="7"/>
      <c r="J412" s="8"/>
      <c r="K412" s="9"/>
    </row>
    <row r="413">
      <c r="A413" s="6"/>
      <c r="B413" s="7"/>
      <c r="C413" s="7"/>
      <c r="D413" s="7"/>
      <c r="E413" s="7"/>
      <c r="F413" s="7"/>
      <c r="G413" s="7"/>
      <c r="H413" s="7"/>
      <c r="I413" s="7"/>
      <c r="J413" s="8"/>
      <c r="K413" s="9"/>
    </row>
    <row r="414">
      <c r="A414" s="6"/>
      <c r="B414" s="7"/>
      <c r="C414" s="7"/>
      <c r="D414" s="7"/>
      <c r="E414" s="7"/>
      <c r="F414" s="7"/>
      <c r="G414" s="7"/>
      <c r="H414" s="7"/>
      <c r="I414" s="7"/>
      <c r="J414" s="8"/>
      <c r="K414" s="9"/>
    </row>
    <row r="415">
      <c r="A415" s="6"/>
      <c r="B415" s="7"/>
      <c r="C415" s="7"/>
      <c r="D415" s="7"/>
      <c r="E415" s="7"/>
      <c r="F415" s="7"/>
      <c r="G415" s="7"/>
      <c r="H415" s="7"/>
      <c r="I415" s="7"/>
      <c r="J415" s="8"/>
      <c r="K415" s="9"/>
    </row>
    <row r="416">
      <c r="A416" s="6"/>
      <c r="B416" s="7"/>
      <c r="C416" s="7"/>
      <c r="D416" s="7"/>
      <c r="E416" s="7"/>
      <c r="F416" s="7"/>
      <c r="G416" s="7"/>
      <c r="H416" s="7"/>
      <c r="I416" s="7"/>
      <c r="J416" s="8"/>
      <c r="K416" s="9"/>
    </row>
    <row r="417">
      <c r="A417" s="6"/>
      <c r="B417" s="7"/>
      <c r="C417" s="7"/>
      <c r="D417" s="7"/>
      <c r="E417" s="7"/>
      <c r="F417" s="7"/>
      <c r="G417" s="7"/>
      <c r="H417" s="7"/>
      <c r="I417" s="7"/>
      <c r="J417" s="8"/>
      <c r="K417" s="9"/>
    </row>
    <row r="418">
      <c r="A418" s="6"/>
      <c r="B418" s="7"/>
      <c r="C418" s="7"/>
      <c r="D418" s="7"/>
      <c r="E418" s="7"/>
      <c r="F418" s="7"/>
      <c r="G418" s="7"/>
      <c r="H418" s="7"/>
      <c r="I418" s="7"/>
      <c r="J418" s="8"/>
      <c r="K418" s="9"/>
    </row>
    <row r="419">
      <c r="A419" s="6"/>
      <c r="B419" s="7"/>
      <c r="C419" s="7"/>
      <c r="D419" s="7"/>
      <c r="E419" s="7"/>
      <c r="F419" s="7"/>
      <c r="G419" s="7"/>
      <c r="H419" s="7"/>
      <c r="I419" s="7"/>
      <c r="J419" s="8"/>
      <c r="K419" s="9"/>
    </row>
    <row r="420">
      <c r="A420" s="6"/>
      <c r="B420" s="7"/>
      <c r="C420" s="7"/>
      <c r="D420" s="7"/>
      <c r="E420" s="7"/>
      <c r="F420" s="7"/>
      <c r="G420" s="7"/>
      <c r="H420" s="7"/>
      <c r="I420" s="7"/>
      <c r="J420" s="8"/>
      <c r="K420" s="9"/>
    </row>
    <row r="421">
      <c r="A421" s="6"/>
      <c r="B421" s="7"/>
      <c r="C421" s="7"/>
      <c r="D421" s="7"/>
      <c r="E421" s="7"/>
      <c r="F421" s="7"/>
      <c r="G421" s="7"/>
      <c r="H421" s="7"/>
      <c r="I421" s="7"/>
      <c r="J421" s="8"/>
      <c r="K421" s="9"/>
    </row>
    <row r="422">
      <c r="A422" s="6"/>
      <c r="B422" s="7"/>
      <c r="C422" s="7"/>
      <c r="D422" s="7"/>
      <c r="E422" s="7"/>
      <c r="F422" s="7"/>
      <c r="G422" s="7"/>
      <c r="H422" s="7"/>
      <c r="I422" s="7"/>
      <c r="J422" s="8"/>
      <c r="K422" s="9"/>
    </row>
    <row r="423">
      <c r="A423" s="6"/>
      <c r="B423" s="7"/>
      <c r="C423" s="7"/>
      <c r="D423" s="7"/>
      <c r="E423" s="7"/>
      <c r="F423" s="7"/>
      <c r="G423" s="7"/>
      <c r="H423" s="7"/>
      <c r="I423" s="7"/>
      <c r="J423" s="8"/>
      <c r="K423" s="9"/>
    </row>
    <row r="424">
      <c r="A424" s="6"/>
      <c r="B424" s="7"/>
      <c r="C424" s="7"/>
      <c r="D424" s="7"/>
      <c r="E424" s="7"/>
      <c r="F424" s="7"/>
      <c r="G424" s="7"/>
      <c r="H424" s="7"/>
      <c r="I424" s="7"/>
      <c r="J424" s="8"/>
      <c r="K424" s="9"/>
    </row>
    <row r="425">
      <c r="A425" s="6"/>
      <c r="B425" s="7"/>
      <c r="C425" s="7"/>
      <c r="D425" s="7"/>
      <c r="E425" s="7"/>
      <c r="F425" s="7"/>
      <c r="G425" s="7"/>
      <c r="H425" s="7"/>
      <c r="I425" s="7"/>
      <c r="J425" s="8"/>
      <c r="K425" s="9"/>
    </row>
    <row r="426">
      <c r="A426" s="6"/>
      <c r="B426" s="7"/>
      <c r="C426" s="7"/>
      <c r="D426" s="7"/>
      <c r="E426" s="7"/>
      <c r="F426" s="7"/>
      <c r="G426" s="7"/>
      <c r="H426" s="7"/>
      <c r="I426" s="7"/>
      <c r="J426" s="8"/>
      <c r="K426" s="9"/>
    </row>
    <row r="427">
      <c r="A427" s="6"/>
      <c r="B427" s="7"/>
      <c r="C427" s="7"/>
      <c r="D427" s="7"/>
      <c r="E427" s="7"/>
      <c r="F427" s="7"/>
      <c r="G427" s="7"/>
      <c r="H427" s="7"/>
      <c r="I427" s="7"/>
      <c r="J427" s="8"/>
      <c r="K427" s="9"/>
    </row>
    <row r="428">
      <c r="A428" s="6"/>
      <c r="B428" s="7"/>
      <c r="C428" s="7"/>
      <c r="D428" s="7"/>
      <c r="E428" s="7"/>
      <c r="F428" s="7"/>
      <c r="G428" s="7"/>
      <c r="H428" s="7"/>
      <c r="I428" s="7"/>
      <c r="J428" s="8"/>
      <c r="K428" s="9"/>
    </row>
    <row r="429">
      <c r="A429" s="6"/>
      <c r="B429" s="7"/>
      <c r="C429" s="7"/>
      <c r="D429" s="7"/>
      <c r="E429" s="7"/>
      <c r="F429" s="7"/>
      <c r="G429" s="7"/>
      <c r="H429" s="7"/>
      <c r="I429" s="7"/>
      <c r="J429" s="8"/>
      <c r="K429" s="9"/>
    </row>
    <row r="430">
      <c r="A430" s="6"/>
      <c r="B430" s="7"/>
      <c r="C430" s="7"/>
      <c r="D430" s="7"/>
      <c r="E430" s="7"/>
      <c r="F430" s="7"/>
      <c r="G430" s="7"/>
      <c r="H430" s="7"/>
      <c r="I430" s="7"/>
      <c r="J430" s="8"/>
      <c r="K430" s="9"/>
    </row>
    <row r="431">
      <c r="A431" s="6"/>
      <c r="B431" s="7"/>
      <c r="C431" s="7"/>
      <c r="D431" s="7"/>
      <c r="E431" s="7"/>
      <c r="F431" s="7"/>
      <c r="G431" s="7"/>
      <c r="H431" s="7"/>
      <c r="I431" s="7"/>
      <c r="J431" s="8"/>
      <c r="K431" s="9"/>
    </row>
    <row r="432">
      <c r="A432" s="6"/>
      <c r="B432" s="7"/>
      <c r="C432" s="7"/>
      <c r="D432" s="7"/>
      <c r="E432" s="7"/>
      <c r="F432" s="7"/>
      <c r="G432" s="7"/>
      <c r="H432" s="7"/>
      <c r="I432" s="7"/>
      <c r="J432" s="8"/>
      <c r="K432" s="9"/>
    </row>
    <row r="433">
      <c r="A433" s="6"/>
      <c r="B433" s="7"/>
      <c r="C433" s="7"/>
      <c r="D433" s="7"/>
      <c r="E433" s="7"/>
      <c r="F433" s="7"/>
      <c r="G433" s="7"/>
      <c r="H433" s="7"/>
      <c r="I433" s="7"/>
      <c r="J433" s="8"/>
      <c r="K433" s="9"/>
    </row>
    <row r="434">
      <c r="A434" s="6"/>
      <c r="B434" s="7"/>
      <c r="C434" s="7"/>
      <c r="D434" s="7"/>
      <c r="E434" s="7"/>
      <c r="F434" s="7"/>
      <c r="G434" s="7"/>
      <c r="H434" s="7"/>
      <c r="I434" s="7"/>
      <c r="J434" s="8"/>
      <c r="K434" s="9"/>
    </row>
    <row r="435">
      <c r="A435" s="6"/>
      <c r="B435" s="7"/>
      <c r="C435" s="7"/>
      <c r="D435" s="7"/>
      <c r="E435" s="7"/>
      <c r="F435" s="7"/>
      <c r="G435" s="7"/>
      <c r="H435" s="7"/>
      <c r="I435" s="7"/>
      <c r="J435" s="8"/>
      <c r="K435" s="9"/>
    </row>
    <row r="436">
      <c r="A436" s="6"/>
      <c r="B436" s="7"/>
      <c r="C436" s="7"/>
      <c r="D436" s="7"/>
      <c r="E436" s="7"/>
      <c r="F436" s="7"/>
      <c r="G436" s="7"/>
      <c r="H436" s="7"/>
      <c r="I436" s="7"/>
      <c r="J436" s="8"/>
      <c r="K436" s="9"/>
    </row>
    <row r="437">
      <c r="A437" s="6"/>
      <c r="B437" s="7"/>
      <c r="C437" s="7"/>
      <c r="D437" s="7"/>
      <c r="E437" s="7"/>
      <c r="F437" s="7"/>
      <c r="G437" s="7"/>
      <c r="H437" s="7"/>
      <c r="I437" s="7"/>
      <c r="J437" s="8"/>
      <c r="K437" s="9"/>
    </row>
    <row r="438">
      <c r="A438" s="6"/>
      <c r="B438" s="7"/>
      <c r="C438" s="7"/>
      <c r="D438" s="7"/>
      <c r="E438" s="7"/>
      <c r="F438" s="7"/>
      <c r="G438" s="7"/>
      <c r="H438" s="7"/>
      <c r="I438" s="7"/>
      <c r="J438" s="8"/>
      <c r="K438" s="9"/>
    </row>
    <row r="439">
      <c r="A439" s="6"/>
      <c r="B439" s="7"/>
      <c r="C439" s="7"/>
      <c r="D439" s="7"/>
      <c r="E439" s="7"/>
      <c r="F439" s="7"/>
      <c r="G439" s="7"/>
      <c r="H439" s="7"/>
      <c r="I439" s="7"/>
      <c r="J439" s="8"/>
      <c r="K439" s="9"/>
    </row>
    <row r="440">
      <c r="A440" s="6"/>
      <c r="B440" s="7"/>
      <c r="C440" s="7"/>
      <c r="D440" s="7"/>
      <c r="E440" s="7"/>
      <c r="F440" s="7"/>
      <c r="G440" s="7"/>
      <c r="H440" s="7"/>
      <c r="I440" s="7"/>
      <c r="J440" s="8"/>
      <c r="K440" s="9"/>
    </row>
    <row r="441">
      <c r="A441" s="6"/>
      <c r="B441" s="7"/>
      <c r="C441" s="7"/>
      <c r="D441" s="7"/>
      <c r="E441" s="7"/>
      <c r="F441" s="7"/>
      <c r="G441" s="7"/>
      <c r="H441" s="7"/>
      <c r="I441" s="7"/>
      <c r="J441" s="8"/>
      <c r="K441" s="9"/>
    </row>
    <row r="442">
      <c r="A442" s="6"/>
      <c r="B442" s="7"/>
      <c r="C442" s="7"/>
      <c r="D442" s="7"/>
      <c r="E442" s="7"/>
      <c r="F442" s="7"/>
      <c r="G442" s="7"/>
      <c r="H442" s="7"/>
      <c r="I442" s="7"/>
      <c r="J442" s="8"/>
      <c r="K442" s="9"/>
    </row>
    <row r="443">
      <c r="A443" s="6"/>
      <c r="B443" s="7"/>
      <c r="C443" s="7"/>
      <c r="D443" s="7"/>
      <c r="E443" s="7"/>
      <c r="F443" s="7"/>
      <c r="G443" s="7"/>
      <c r="H443" s="7"/>
      <c r="I443" s="7"/>
      <c r="J443" s="8"/>
      <c r="K443" s="9"/>
    </row>
    <row r="444">
      <c r="A444" s="6"/>
      <c r="B444" s="7"/>
      <c r="C444" s="7"/>
      <c r="D444" s="7"/>
      <c r="E444" s="7"/>
      <c r="F444" s="7"/>
      <c r="G444" s="7"/>
      <c r="H444" s="7"/>
      <c r="I444" s="7"/>
      <c r="J444" s="8"/>
      <c r="K444" s="9"/>
    </row>
    <row r="445">
      <c r="A445" s="6"/>
      <c r="B445" s="7"/>
      <c r="C445" s="7"/>
      <c r="D445" s="7"/>
      <c r="E445" s="7"/>
      <c r="F445" s="7"/>
      <c r="G445" s="7"/>
      <c r="H445" s="7"/>
      <c r="I445" s="7"/>
      <c r="J445" s="8"/>
      <c r="K445" s="9"/>
    </row>
    <row r="446">
      <c r="A446" s="6"/>
      <c r="B446" s="7"/>
      <c r="C446" s="7"/>
      <c r="D446" s="7"/>
      <c r="E446" s="7"/>
      <c r="F446" s="7"/>
      <c r="G446" s="7"/>
      <c r="H446" s="7"/>
      <c r="I446" s="7"/>
      <c r="J446" s="8"/>
      <c r="K446" s="9"/>
    </row>
    <row r="447">
      <c r="A447" s="6"/>
      <c r="B447" s="7"/>
      <c r="C447" s="7"/>
      <c r="D447" s="7"/>
      <c r="E447" s="7"/>
      <c r="F447" s="7"/>
      <c r="G447" s="7"/>
      <c r="H447" s="7"/>
      <c r="I447" s="7"/>
      <c r="J447" s="8"/>
      <c r="K447" s="9"/>
    </row>
    <row r="448">
      <c r="A448" s="6"/>
      <c r="B448" s="7"/>
      <c r="C448" s="7"/>
      <c r="D448" s="7"/>
      <c r="E448" s="7"/>
      <c r="F448" s="7"/>
      <c r="G448" s="7"/>
      <c r="H448" s="7"/>
      <c r="I448" s="7"/>
      <c r="J448" s="8"/>
      <c r="K448" s="9"/>
    </row>
    <row r="449">
      <c r="A449" s="6"/>
      <c r="B449" s="7"/>
      <c r="C449" s="7"/>
      <c r="D449" s="7"/>
      <c r="E449" s="7"/>
      <c r="F449" s="7"/>
      <c r="G449" s="7"/>
      <c r="H449" s="7"/>
      <c r="I449" s="7"/>
      <c r="J449" s="8"/>
      <c r="K449" s="9"/>
    </row>
    <row r="450">
      <c r="A450" s="6"/>
      <c r="B450" s="7"/>
      <c r="C450" s="7"/>
      <c r="D450" s="7"/>
      <c r="E450" s="7"/>
      <c r="F450" s="7"/>
      <c r="G450" s="7"/>
      <c r="H450" s="7"/>
      <c r="I450" s="7"/>
      <c r="J450" s="8"/>
      <c r="K450" s="9"/>
    </row>
    <row r="451">
      <c r="A451" s="6"/>
      <c r="B451" s="7"/>
      <c r="C451" s="7"/>
      <c r="D451" s="7"/>
      <c r="E451" s="7"/>
      <c r="F451" s="7"/>
      <c r="G451" s="7"/>
      <c r="H451" s="7"/>
      <c r="I451" s="7"/>
      <c r="J451" s="8"/>
      <c r="K451" s="9"/>
    </row>
    <row r="452">
      <c r="A452" s="6"/>
      <c r="B452" s="7"/>
      <c r="C452" s="7"/>
      <c r="D452" s="7"/>
      <c r="E452" s="7"/>
      <c r="F452" s="7"/>
      <c r="G452" s="7"/>
      <c r="H452" s="7"/>
      <c r="I452" s="7"/>
      <c r="J452" s="8"/>
      <c r="K452" s="9"/>
    </row>
    <row r="453">
      <c r="A453" s="6"/>
      <c r="B453" s="7"/>
      <c r="C453" s="7"/>
      <c r="D453" s="7"/>
      <c r="E453" s="7"/>
      <c r="F453" s="7"/>
      <c r="G453" s="7"/>
      <c r="H453" s="7"/>
      <c r="I453" s="7"/>
      <c r="J453" s="8"/>
      <c r="K453" s="9"/>
    </row>
    <row r="454">
      <c r="A454" s="6"/>
      <c r="B454" s="7"/>
      <c r="C454" s="7"/>
      <c r="D454" s="7"/>
      <c r="E454" s="7"/>
      <c r="F454" s="7"/>
      <c r="G454" s="7"/>
      <c r="H454" s="7"/>
      <c r="I454" s="7"/>
      <c r="J454" s="8"/>
      <c r="K454" s="9"/>
    </row>
    <row r="455">
      <c r="A455" s="6"/>
      <c r="B455" s="7"/>
      <c r="C455" s="7"/>
      <c r="D455" s="7"/>
      <c r="E455" s="7"/>
      <c r="F455" s="7"/>
      <c r="G455" s="7"/>
      <c r="H455" s="7"/>
      <c r="I455" s="7"/>
      <c r="J455" s="8"/>
      <c r="K455" s="9"/>
    </row>
    <row r="456">
      <c r="A456" s="6"/>
      <c r="B456" s="7"/>
      <c r="C456" s="7"/>
      <c r="D456" s="7"/>
      <c r="E456" s="7"/>
      <c r="F456" s="7"/>
      <c r="G456" s="7"/>
      <c r="H456" s="7"/>
      <c r="I456" s="7"/>
      <c r="J456" s="8"/>
      <c r="K456" s="9"/>
    </row>
    <row r="457">
      <c r="A457" s="6"/>
      <c r="B457" s="7"/>
      <c r="C457" s="7"/>
      <c r="D457" s="7"/>
      <c r="E457" s="7"/>
      <c r="F457" s="7"/>
      <c r="G457" s="7"/>
      <c r="H457" s="7"/>
      <c r="I457" s="7"/>
      <c r="J457" s="8"/>
      <c r="K457" s="9"/>
    </row>
    <row r="458">
      <c r="A458" s="6"/>
      <c r="B458" s="7"/>
      <c r="C458" s="7"/>
      <c r="D458" s="7"/>
      <c r="E458" s="7"/>
      <c r="F458" s="7"/>
      <c r="G458" s="7"/>
      <c r="H458" s="7"/>
      <c r="I458" s="7"/>
      <c r="J458" s="8"/>
      <c r="K458" s="9"/>
    </row>
    <row r="459">
      <c r="A459" s="6"/>
      <c r="B459" s="7"/>
      <c r="C459" s="7"/>
      <c r="D459" s="7"/>
      <c r="E459" s="7"/>
      <c r="F459" s="7"/>
      <c r="G459" s="7"/>
      <c r="H459" s="7"/>
      <c r="I459" s="7"/>
      <c r="J459" s="8"/>
      <c r="K459" s="9"/>
    </row>
    <row r="460">
      <c r="A460" s="6"/>
      <c r="B460" s="7"/>
      <c r="C460" s="7"/>
      <c r="D460" s="7"/>
      <c r="E460" s="7"/>
      <c r="F460" s="7"/>
      <c r="G460" s="7"/>
      <c r="H460" s="7"/>
      <c r="I460" s="7"/>
      <c r="J460" s="8"/>
      <c r="K460" s="9"/>
    </row>
    <row r="461">
      <c r="A461" s="6"/>
      <c r="B461" s="7"/>
      <c r="C461" s="7"/>
      <c r="D461" s="7"/>
      <c r="E461" s="7"/>
      <c r="F461" s="7"/>
      <c r="G461" s="7"/>
      <c r="H461" s="7"/>
      <c r="I461" s="7"/>
      <c r="J461" s="8"/>
      <c r="K461" s="9"/>
    </row>
    <row r="462">
      <c r="A462" s="6"/>
      <c r="B462" s="7"/>
      <c r="C462" s="7"/>
      <c r="D462" s="7"/>
      <c r="E462" s="7"/>
      <c r="F462" s="7"/>
      <c r="G462" s="7"/>
      <c r="H462" s="7"/>
      <c r="I462" s="7"/>
      <c r="J462" s="8"/>
      <c r="K462" s="9"/>
    </row>
    <row r="463">
      <c r="A463" s="6"/>
      <c r="B463" s="7"/>
      <c r="C463" s="7"/>
      <c r="D463" s="7"/>
      <c r="E463" s="7"/>
      <c r="F463" s="7"/>
      <c r="G463" s="7"/>
      <c r="H463" s="7"/>
      <c r="I463" s="7"/>
      <c r="J463" s="8"/>
      <c r="K463" s="9"/>
    </row>
    <row r="464">
      <c r="A464" s="6"/>
      <c r="B464" s="7"/>
      <c r="C464" s="7"/>
      <c r="D464" s="7"/>
      <c r="E464" s="7"/>
      <c r="F464" s="7"/>
      <c r="G464" s="7"/>
      <c r="H464" s="7"/>
      <c r="I464" s="7"/>
      <c r="J464" s="8"/>
      <c r="K464" s="9"/>
    </row>
    <row r="465">
      <c r="A465" s="6"/>
      <c r="B465" s="7"/>
      <c r="C465" s="7"/>
      <c r="D465" s="7"/>
      <c r="E465" s="7"/>
      <c r="F465" s="7"/>
      <c r="G465" s="7"/>
      <c r="H465" s="7"/>
      <c r="I465" s="7"/>
      <c r="J465" s="8"/>
      <c r="K465" s="9"/>
    </row>
    <row r="466">
      <c r="A466" s="6"/>
      <c r="B466" s="7"/>
      <c r="C466" s="7"/>
      <c r="D466" s="7"/>
      <c r="E466" s="7"/>
      <c r="F466" s="7"/>
      <c r="G466" s="7"/>
      <c r="H466" s="7"/>
      <c r="I466" s="7"/>
      <c r="J466" s="8"/>
      <c r="K466" s="9"/>
    </row>
    <row r="467">
      <c r="A467" s="6"/>
      <c r="B467" s="7"/>
      <c r="C467" s="7"/>
      <c r="D467" s="7"/>
      <c r="E467" s="7"/>
      <c r="F467" s="7"/>
      <c r="G467" s="7"/>
      <c r="H467" s="7"/>
      <c r="I467" s="7"/>
      <c r="J467" s="8"/>
      <c r="K467" s="9"/>
    </row>
    <row r="468">
      <c r="A468" s="6"/>
      <c r="B468" s="7"/>
      <c r="C468" s="7"/>
      <c r="D468" s="7"/>
      <c r="E468" s="7"/>
      <c r="F468" s="7"/>
      <c r="G468" s="7"/>
      <c r="H468" s="7"/>
      <c r="I468" s="7"/>
      <c r="J468" s="8"/>
      <c r="K468" s="9"/>
    </row>
    <row r="469">
      <c r="A469" s="6"/>
      <c r="B469" s="7"/>
      <c r="C469" s="7"/>
      <c r="D469" s="7"/>
      <c r="E469" s="7"/>
      <c r="F469" s="7"/>
      <c r="G469" s="7"/>
      <c r="H469" s="7"/>
      <c r="I469" s="7"/>
      <c r="J469" s="8"/>
      <c r="K469" s="9"/>
    </row>
    <row r="470">
      <c r="A470" s="6"/>
      <c r="B470" s="7"/>
      <c r="C470" s="7"/>
      <c r="D470" s="7"/>
      <c r="E470" s="7"/>
      <c r="F470" s="7"/>
      <c r="G470" s="7"/>
      <c r="H470" s="7"/>
      <c r="I470" s="7"/>
      <c r="J470" s="8"/>
      <c r="K470" s="9"/>
    </row>
    <row r="471">
      <c r="A471" s="6"/>
      <c r="B471" s="7"/>
      <c r="C471" s="7"/>
      <c r="D471" s="7"/>
      <c r="E471" s="7"/>
      <c r="F471" s="7"/>
      <c r="G471" s="7"/>
      <c r="H471" s="7"/>
      <c r="I471" s="7"/>
      <c r="J471" s="8"/>
      <c r="K471" s="9"/>
    </row>
    <row r="472">
      <c r="A472" s="6"/>
      <c r="B472" s="7"/>
      <c r="C472" s="7"/>
      <c r="D472" s="7"/>
      <c r="E472" s="7"/>
      <c r="F472" s="7"/>
      <c r="G472" s="7"/>
      <c r="H472" s="7"/>
      <c r="I472" s="7"/>
      <c r="J472" s="8"/>
      <c r="K472" s="9"/>
    </row>
    <row r="473">
      <c r="A473" s="6"/>
      <c r="B473" s="7"/>
      <c r="C473" s="7"/>
      <c r="D473" s="7"/>
      <c r="E473" s="7"/>
      <c r="F473" s="7"/>
      <c r="G473" s="7"/>
      <c r="H473" s="7"/>
      <c r="I473" s="7"/>
      <c r="J473" s="8"/>
      <c r="K473" s="9"/>
    </row>
    <row r="474">
      <c r="A474" s="6"/>
      <c r="B474" s="7"/>
      <c r="C474" s="7"/>
      <c r="D474" s="7"/>
      <c r="E474" s="7"/>
      <c r="F474" s="7"/>
      <c r="G474" s="7"/>
      <c r="H474" s="7"/>
      <c r="I474" s="7"/>
      <c r="J474" s="8"/>
      <c r="K474" s="9"/>
    </row>
    <row r="475">
      <c r="A475" s="6"/>
      <c r="B475" s="7"/>
      <c r="C475" s="7"/>
      <c r="D475" s="7"/>
      <c r="E475" s="7"/>
      <c r="F475" s="7"/>
      <c r="G475" s="7"/>
      <c r="H475" s="7"/>
      <c r="I475" s="7"/>
      <c r="J475" s="8"/>
      <c r="K475" s="9"/>
    </row>
    <row r="476">
      <c r="A476" s="6"/>
      <c r="B476" s="7"/>
      <c r="C476" s="7"/>
      <c r="D476" s="7"/>
      <c r="E476" s="7"/>
      <c r="F476" s="7"/>
      <c r="G476" s="7"/>
      <c r="H476" s="7"/>
      <c r="I476" s="7"/>
      <c r="J476" s="8"/>
      <c r="K476" s="9"/>
    </row>
    <row r="477">
      <c r="A477" s="6"/>
      <c r="B477" s="7"/>
      <c r="C477" s="7"/>
      <c r="D477" s="7"/>
      <c r="E477" s="7"/>
      <c r="F477" s="7"/>
      <c r="G477" s="7"/>
      <c r="H477" s="7"/>
      <c r="I477" s="7"/>
      <c r="J477" s="8"/>
      <c r="K477" s="9"/>
    </row>
    <row r="478">
      <c r="A478" s="6"/>
      <c r="B478" s="7"/>
      <c r="C478" s="7"/>
      <c r="D478" s="7"/>
      <c r="E478" s="7"/>
      <c r="F478" s="7"/>
      <c r="G478" s="7"/>
      <c r="H478" s="7"/>
      <c r="I478" s="7"/>
      <c r="J478" s="8"/>
      <c r="K478" s="9"/>
    </row>
    <row r="479">
      <c r="A479" s="6"/>
      <c r="B479" s="7"/>
      <c r="C479" s="7"/>
      <c r="D479" s="7"/>
      <c r="E479" s="7"/>
      <c r="F479" s="7"/>
      <c r="G479" s="7"/>
      <c r="H479" s="7"/>
      <c r="I479" s="7"/>
      <c r="J479" s="8"/>
      <c r="K479" s="9"/>
    </row>
    <row r="480">
      <c r="A480" s="6"/>
      <c r="B480" s="7"/>
      <c r="C480" s="7"/>
      <c r="D480" s="7"/>
      <c r="E480" s="7"/>
      <c r="F480" s="7"/>
      <c r="G480" s="7"/>
      <c r="H480" s="7"/>
      <c r="I480" s="7"/>
      <c r="J480" s="8"/>
      <c r="K480" s="9"/>
    </row>
    <row r="481">
      <c r="A481" s="6"/>
      <c r="B481" s="7"/>
      <c r="C481" s="7"/>
      <c r="D481" s="7"/>
      <c r="E481" s="7"/>
      <c r="F481" s="7"/>
      <c r="G481" s="7"/>
      <c r="H481" s="7"/>
      <c r="I481" s="7"/>
      <c r="J481" s="8"/>
      <c r="K481" s="9"/>
    </row>
    <row r="482">
      <c r="A482" s="6"/>
      <c r="B482" s="7"/>
      <c r="C482" s="7"/>
      <c r="D482" s="7"/>
      <c r="E482" s="7"/>
      <c r="F482" s="7"/>
      <c r="G482" s="7"/>
      <c r="H482" s="7"/>
      <c r="I482" s="7"/>
      <c r="J482" s="8"/>
      <c r="K482" s="9"/>
    </row>
    <row r="483">
      <c r="A483" s="6"/>
      <c r="B483" s="7"/>
      <c r="C483" s="7"/>
      <c r="D483" s="7"/>
      <c r="E483" s="7"/>
      <c r="F483" s="7"/>
      <c r="G483" s="7"/>
      <c r="H483" s="7"/>
      <c r="I483" s="7"/>
      <c r="J483" s="8"/>
      <c r="K483" s="9"/>
    </row>
    <row r="484">
      <c r="A484" s="6"/>
      <c r="B484" s="7"/>
      <c r="C484" s="7"/>
      <c r="D484" s="7"/>
      <c r="E484" s="7"/>
      <c r="F484" s="7"/>
      <c r="G484" s="7"/>
      <c r="H484" s="7"/>
      <c r="I484" s="7"/>
      <c r="J484" s="8"/>
      <c r="K484" s="9"/>
    </row>
    <row r="485">
      <c r="A485" s="6"/>
      <c r="B485" s="7"/>
      <c r="C485" s="7"/>
      <c r="D485" s="7"/>
      <c r="E485" s="7"/>
      <c r="F485" s="7"/>
      <c r="G485" s="7"/>
      <c r="H485" s="7"/>
      <c r="I485" s="7"/>
      <c r="J485" s="8"/>
      <c r="K485" s="9"/>
    </row>
    <row r="486">
      <c r="A486" s="6"/>
      <c r="B486" s="7"/>
      <c r="C486" s="7"/>
      <c r="D486" s="7"/>
      <c r="E486" s="7"/>
      <c r="F486" s="7"/>
      <c r="G486" s="7"/>
      <c r="H486" s="7"/>
      <c r="I486" s="7"/>
      <c r="J486" s="8"/>
      <c r="K486" s="9"/>
    </row>
    <row r="487">
      <c r="A487" s="6"/>
      <c r="B487" s="7"/>
      <c r="C487" s="7"/>
      <c r="D487" s="7"/>
      <c r="E487" s="7"/>
      <c r="F487" s="7"/>
      <c r="G487" s="7"/>
      <c r="H487" s="7"/>
      <c r="I487" s="7"/>
      <c r="J487" s="8"/>
      <c r="K487" s="9"/>
    </row>
    <row r="488">
      <c r="A488" s="6"/>
      <c r="B488" s="7"/>
      <c r="C488" s="7"/>
      <c r="D488" s="7"/>
      <c r="E488" s="7"/>
      <c r="F488" s="7"/>
      <c r="G488" s="7"/>
      <c r="H488" s="7"/>
      <c r="I488" s="7"/>
      <c r="J488" s="8"/>
      <c r="K488" s="9"/>
    </row>
    <row r="489">
      <c r="A489" s="6"/>
      <c r="B489" s="7"/>
      <c r="C489" s="7"/>
      <c r="D489" s="7"/>
      <c r="E489" s="7"/>
      <c r="F489" s="7"/>
      <c r="G489" s="7"/>
      <c r="H489" s="7"/>
      <c r="I489" s="7"/>
      <c r="J489" s="8"/>
      <c r="K489" s="9"/>
    </row>
    <row r="490">
      <c r="A490" s="6"/>
      <c r="B490" s="7"/>
      <c r="C490" s="7"/>
      <c r="D490" s="7"/>
      <c r="E490" s="7"/>
      <c r="F490" s="7"/>
      <c r="G490" s="7"/>
      <c r="H490" s="7"/>
      <c r="I490" s="7"/>
      <c r="J490" s="8"/>
      <c r="K490" s="9"/>
    </row>
    <row r="491">
      <c r="A491" s="6"/>
      <c r="B491" s="7"/>
      <c r="C491" s="7"/>
      <c r="D491" s="7"/>
      <c r="E491" s="7"/>
      <c r="F491" s="7"/>
      <c r="G491" s="7"/>
      <c r="H491" s="7"/>
      <c r="I491" s="7"/>
      <c r="J491" s="8"/>
      <c r="K491" s="9"/>
    </row>
    <row r="492">
      <c r="A492" s="6"/>
      <c r="B492" s="7"/>
      <c r="C492" s="7"/>
      <c r="D492" s="7"/>
      <c r="E492" s="7"/>
      <c r="F492" s="7"/>
      <c r="G492" s="7"/>
      <c r="H492" s="7"/>
      <c r="I492" s="7"/>
      <c r="J492" s="8"/>
      <c r="K492" s="9"/>
    </row>
    <row r="493">
      <c r="A493" s="6"/>
      <c r="B493" s="7"/>
      <c r="C493" s="7"/>
      <c r="D493" s="7"/>
      <c r="E493" s="7"/>
      <c r="F493" s="7"/>
      <c r="G493" s="7"/>
      <c r="H493" s="7"/>
      <c r="I493" s="7"/>
      <c r="J493" s="8"/>
      <c r="K493" s="9"/>
    </row>
    <row r="494">
      <c r="A494" s="6"/>
      <c r="B494" s="7"/>
      <c r="C494" s="7"/>
      <c r="D494" s="7"/>
      <c r="E494" s="7"/>
      <c r="F494" s="7"/>
      <c r="G494" s="7"/>
      <c r="H494" s="7"/>
      <c r="I494" s="7"/>
      <c r="J494" s="8"/>
      <c r="K494" s="9"/>
    </row>
    <row r="495">
      <c r="A495" s="6"/>
      <c r="B495" s="7"/>
      <c r="C495" s="7"/>
      <c r="D495" s="7"/>
      <c r="E495" s="7"/>
      <c r="F495" s="7"/>
      <c r="G495" s="7"/>
      <c r="H495" s="7"/>
      <c r="I495" s="7"/>
      <c r="J495" s="8"/>
      <c r="K495" s="9"/>
    </row>
    <row r="496">
      <c r="A496" s="6"/>
      <c r="B496" s="7"/>
      <c r="C496" s="7"/>
      <c r="D496" s="7"/>
      <c r="E496" s="7"/>
      <c r="F496" s="7"/>
      <c r="G496" s="7"/>
      <c r="H496" s="7"/>
      <c r="I496" s="7"/>
      <c r="J496" s="8"/>
      <c r="K496" s="9"/>
    </row>
    <row r="497">
      <c r="A497" s="6"/>
      <c r="B497" s="7"/>
      <c r="C497" s="7"/>
      <c r="D497" s="7"/>
      <c r="E497" s="7"/>
      <c r="F497" s="7"/>
      <c r="G497" s="7"/>
      <c r="H497" s="7"/>
      <c r="I497" s="7"/>
      <c r="J497" s="8"/>
      <c r="K497" s="9"/>
    </row>
    <row r="498">
      <c r="A498" s="6"/>
      <c r="B498" s="7"/>
      <c r="C498" s="7"/>
      <c r="D498" s="7"/>
      <c r="E498" s="7"/>
      <c r="F498" s="7"/>
      <c r="G498" s="7"/>
      <c r="H498" s="7"/>
      <c r="I498" s="7"/>
      <c r="J498" s="8"/>
      <c r="K498" s="9"/>
    </row>
    <row r="499">
      <c r="A499" s="6"/>
      <c r="B499" s="7"/>
      <c r="C499" s="7"/>
      <c r="D499" s="7"/>
      <c r="E499" s="7"/>
      <c r="F499" s="7"/>
      <c r="G499" s="7"/>
      <c r="H499" s="7"/>
      <c r="I499" s="7"/>
      <c r="J499" s="8"/>
      <c r="K499" s="9"/>
    </row>
    <row r="500">
      <c r="A500" s="6"/>
      <c r="B500" s="7"/>
      <c r="C500" s="7"/>
      <c r="D500" s="7"/>
      <c r="E500" s="7"/>
      <c r="F500" s="7"/>
      <c r="G500" s="7"/>
      <c r="H500" s="7"/>
      <c r="I500" s="7"/>
      <c r="J500" s="8"/>
      <c r="K500" s="9"/>
    </row>
    <row r="501">
      <c r="A501" s="6"/>
      <c r="B501" s="7"/>
      <c r="C501" s="7"/>
      <c r="D501" s="7"/>
      <c r="E501" s="7"/>
      <c r="F501" s="7"/>
      <c r="G501" s="7"/>
      <c r="H501" s="7"/>
      <c r="I501" s="7"/>
      <c r="J501" s="8"/>
      <c r="K501" s="9"/>
    </row>
    <row r="502">
      <c r="A502" s="6"/>
      <c r="B502" s="7"/>
      <c r="C502" s="7"/>
      <c r="D502" s="7"/>
      <c r="E502" s="7"/>
      <c r="F502" s="7"/>
      <c r="G502" s="7"/>
      <c r="H502" s="7"/>
      <c r="I502" s="7"/>
      <c r="J502" s="8"/>
      <c r="K502" s="9"/>
    </row>
    <row r="503">
      <c r="A503" s="6"/>
      <c r="B503" s="7"/>
      <c r="C503" s="7"/>
      <c r="D503" s="7"/>
      <c r="E503" s="7"/>
      <c r="F503" s="7"/>
      <c r="G503" s="7"/>
      <c r="H503" s="7"/>
      <c r="I503" s="7"/>
      <c r="J503" s="8"/>
      <c r="K503" s="9"/>
    </row>
    <row r="504">
      <c r="A504" s="6"/>
      <c r="B504" s="7"/>
      <c r="C504" s="7"/>
      <c r="D504" s="7"/>
      <c r="E504" s="7"/>
      <c r="F504" s="7"/>
      <c r="G504" s="7"/>
      <c r="H504" s="7"/>
      <c r="I504" s="7"/>
      <c r="J504" s="8"/>
      <c r="K504" s="9"/>
    </row>
    <row r="505">
      <c r="A505" s="6"/>
      <c r="B505" s="7"/>
      <c r="C505" s="7"/>
      <c r="D505" s="7"/>
      <c r="E505" s="7"/>
      <c r="F505" s="7"/>
      <c r="G505" s="7"/>
      <c r="H505" s="7"/>
      <c r="I505" s="7"/>
      <c r="J505" s="8"/>
      <c r="K505" s="9"/>
    </row>
    <row r="506">
      <c r="A506" s="6"/>
      <c r="B506" s="7"/>
      <c r="C506" s="7"/>
      <c r="D506" s="7"/>
      <c r="E506" s="7"/>
      <c r="F506" s="7"/>
      <c r="G506" s="7"/>
      <c r="H506" s="7"/>
      <c r="I506" s="7"/>
      <c r="J506" s="8"/>
      <c r="K506" s="9"/>
    </row>
    <row r="507">
      <c r="A507" s="6"/>
      <c r="B507" s="7"/>
      <c r="C507" s="7"/>
      <c r="D507" s="7"/>
      <c r="E507" s="7"/>
      <c r="F507" s="7"/>
      <c r="G507" s="7"/>
      <c r="H507" s="7"/>
      <c r="I507" s="7"/>
      <c r="J507" s="8"/>
      <c r="K507" s="9"/>
    </row>
    <row r="508">
      <c r="A508" s="6"/>
      <c r="B508" s="7"/>
      <c r="C508" s="7"/>
      <c r="D508" s="7"/>
      <c r="E508" s="7"/>
      <c r="F508" s="7"/>
      <c r="G508" s="7"/>
      <c r="H508" s="7"/>
      <c r="I508" s="7"/>
      <c r="J508" s="8"/>
      <c r="K508" s="9"/>
    </row>
    <row r="509">
      <c r="A509" s="6"/>
      <c r="B509" s="7"/>
      <c r="C509" s="7"/>
      <c r="D509" s="7"/>
      <c r="E509" s="7"/>
      <c r="F509" s="7"/>
      <c r="G509" s="7"/>
      <c r="H509" s="7"/>
      <c r="I509" s="7"/>
      <c r="J509" s="8"/>
      <c r="K509" s="9"/>
    </row>
    <row r="510">
      <c r="A510" s="6"/>
      <c r="B510" s="7"/>
      <c r="C510" s="7"/>
      <c r="D510" s="7"/>
      <c r="E510" s="7"/>
      <c r="F510" s="7"/>
      <c r="G510" s="7"/>
      <c r="H510" s="7"/>
      <c r="I510" s="7"/>
      <c r="J510" s="8"/>
      <c r="K510" s="9"/>
    </row>
    <row r="511">
      <c r="A511" s="6"/>
      <c r="B511" s="7"/>
      <c r="C511" s="7"/>
      <c r="D511" s="7"/>
      <c r="E511" s="7"/>
      <c r="F511" s="7"/>
      <c r="G511" s="7"/>
      <c r="H511" s="7"/>
      <c r="I511" s="7"/>
      <c r="J511" s="8"/>
      <c r="K511" s="9"/>
    </row>
    <row r="512">
      <c r="A512" s="6"/>
      <c r="B512" s="7"/>
      <c r="C512" s="7"/>
      <c r="D512" s="7"/>
      <c r="E512" s="7"/>
      <c r="F512" s="7"/>
      <c r="G512" s="7"/>
      <c r="H512" s="7"/>
      <c r="I512" s="7"/>
      <c r="J512" s="8"/>
      <c r="K512" s="9"/>
    </row>
    <row r="513">
      <c r="A513" s="6"/>
      <c r="B513" s="7"/>
      <c r="C513" s="7"/>
      <c r="D513" s="7"/>
      <c r="E513" s="7"/>
      <c r="F513" s="7"/>
      <c r="G513" s="7"/>
      <c r="H513" s="7"/>
      <c r="I513" s="7"/>
      <c r="J513" s="8"/>
      <c r="K513" s="9"/>
    </row>
    <row r="514">
      <c r="A514" s="6"/>
      <c r="B514" s="7"/>
      <c r="C514" s="7"/>
      <c r="D514" s="7"/>
      <c r="E514" s="7"/>
      <c r="F514" s="7"/>
      <c r="G514" s="7"/>
      <c r="H514" s="7"/>
      <c r="I514" s="7"/>
      <c r="J514" s="8"/>
      <c r="K514" s="9"/>
    </row>
    <row r="515">
      <c r="A515" s="6"/>
      <c r="B515" s="7"/>
      <c r="C515" s="7"/>
      <c r="D515" s="7"/>
      <c r="E515" s="7"/>
      <c r="F515" s="7"/>
      <c r="G515" s="7"/>
      <c r="H515" s="7"/>
      <c r="I515" s="7"/>
      <c r="J515" s="8"/>
      <c r="K515" s="9"/>
    </row>
    <row r="516">
      <c r="A516" s="6"/>
      <c r="B516" s="7"/>
      <c r="C516" s="7"/>
      <c r="D516" s="7"/>
      <c r="E516" s="7"/>
      <c r="F516" s="7"/>
      <c r="G516" s="7"/>
      <c r="H516" s="7"/>
      <c r="I516" s="7"/>
      <c r="J516" s="8"/>
      <c r="K516" s="9"/>
    </row>
    <row r="517">
      <c r="A517" s="6"/>
      <c r="B517" s="7"/>
      <c r="C517" s="7"/>
      <c r="D517" s="7"/>
      <c r="E517" s="7"/>
      <c r="F517" s="7"/>
      <c r="G517" s="7"/>
      <c r="H517" s="7"/>
      <c r="I517" s="7"/>
      <c r="J517" s="8"/>
      <c r="K517" s="9"/>
    </row>
    <row r="518">
      <c r="A518" s="6"/>
      <c r="B518" s="7"/>
      <c r="C518" s="7"/>
      <c r="D518" s="7"/>
      <c r="E518" s="7"/>
      <c r="F518" s="7"/>
      <c r="G518" s="7"/>
      <c r="H518" s="7"/>
      <c r="I518" s="7"/>
      <c r="J518" s="8"/>
      <c r="K518" s="9"/>
    </row>
    <row r="519">
      <c r="A519" s="6"/>
      <c r="B519" s="7"/>
      <c r="C519" s="7"/>
      <c r="D519" s="7"/>
      <c r="E519" s="7"/>
      <c r="F519" s="7"/>
      <c r="G519" s="7"/>
      <c r="H519" s="7"/>
      <c r="I519" s="7"/>
      <c r="J519" s="8"/>
      <c r="K519" s="9"/>
    </row>
    <row r="520">
      <c r="A520" s="6"/>
      <c r="B520" s="7"/>
      <c r="C520" s="7"/>
      <c r="D520" s="7"/>
      <c r="E520" s="7"/>
      <c r="F520" s="7"/>
      <c r="G520" s="7"/>
      <c r="H520" s="7"/>
      <c r="I520" s="7"/>
      <c r="J520" s="8"/>
      <c r="K520" s="9"/>
    </row>
    <row r="521">
      <c r="A521" s="6"/>
      <c r="B521" s="7"/>
      <c r="C521" s="7"/>
      <c r="D521" s="7"/>
      <c r="E521" s="7"/>
      <c r="F521" s="7"/>
      <c r="G521" s="7"/>
      <c r="H521" s="7"/>
      <c r="I521" s="7"/>
      <c r="J521" s="8"/>
      <c r="K521" s="9"/>
    </row>
    <row r="522">
      <c r="A522" s="6"/>
      <c r="B522" s="7"/>
      <c r="C522" s="7"/>
      <c r="D522" s="7"/>
      <c r="E522" s="7"/>
      <c r="F522" s="7"/>
      <c r="G522" s="7"/>
      <c r="H522" s="7"/>
      <c r="I522" s="7"/>
      <c r="J522" s="8"/>
      <c r="K522" s="9"/>
    </row>
    <row r="523">
      <c r="A523" s="6"/>
      <c r="B523" s="7"/>
      <c r="C523" s="7"/>
      <c r="D523" s="7"/>
      <c r="E523" s="7"/>
      <c r="F523" s="7"/>
      <c r="G523" s="7"/>
      <c r="H523" s="7"/>
      <c r="I523" s="7"/>
      <c r="J523" s="8"/>
      <c r="K523" s="9"/>
    </row>
    <row r="524">
      <c r="A524" s="6"/>
      <c r="B524" s="7"/>
      <c r="C524" s="7"/>
      <c r="D524" s="7"/>
      <c r="E524" s="7"/>
      <c r="F524" s="7"/>
      <c r="G524" s="7"/>
      <c r="H524" s="7"/>
      <c r="I524" s="7"/>
      <c r="J524" s="8"/>
      <c r="K524" s="9"/>
    </row>
    <row r="525">
      <c r="A525" s="6"/>
      <c r="B525" s="7"/>
      <c r="C525" s="7"/>
      <c r="D525" s="7"/>
      <c r="E525" s="7"/>
      <c r="F525" s="7"/>
      <c r="G525" s="7"/>
      <c r="H525" s="7"/>
      <c r="I525" s="7"/>
      <c r="J525" s="8"/>
      <c r="K525" s="9"/>
    </row>
    <row r="526">
      <c r="A526" s="6"/>
      <c r="B526" s="7"/>
      <c r="C526" s="7"/>
      <c r="D526" s="7"/>
      <c r="E526" s="7"/>
      <c r="F526" s="7"/>
      <c r="G526" s="7"/>
      <c r="H526" s="7"/>
      <c r="I526" s="7"/>
      <c r="J526" s="8"/>
      <c r="K526" s="9"/>
    </row>
    <row r="527">
      <c r="A527" s="6"/>
      <c r="B527" s="7"/>
      <c r="C527" s="7"/>
      <c r="D527" s="7"/>
      <c r="E527" s="7"/>
      <c r="F527" s="7"/>
      <c r="G527" s="7"/>
      <c r="H527" s="7"/>
      <c r="I527" s="7"/>
      <c r="J527" s="8"/>
      <c r="K527" s="9"/>
    </row>
    <row r="528">
      <c r="A528" s="6"/>
      <c r="B528" s="7"/>
      <c r="C528" s="7"/>
      <c r="D528" s="7"/>
      <c r="E528" s="7"/>
      <c r="F528" s="7"/>
      <c r="G528" s="7"/>
      <c r="H528" s="7"/>
      <c r="I528" s="7"/>
      <c r="J528" s="8"/>
      <c r="K528" s="9"/>
    </row>
    <row r="529">
      <c r="A529" s="6"/>
      <c r="B529" s="7"/>
      <c r="C529" s="7"/>
      <c r="D529" s="7"/>
      <c r="E529" s="7"/>
      <c r="F529" s="7"/>
      <c r="G529" s="7"/>
      <c r="H529" s="7"/>
      <c r="I529" s="7"/>
      <c r="J529" s="8"/>
      <c r="K529" s="9"/>
    </row>
    <row r="530">
      <c r="A530" s="6"/>
      <c r="B530" s="7"/>
      <c r="C530" s="7"/>
      <c r="D530" s="7"/>
      <c r="E530" s="7"/>
      <c r="F530" s="7"/>
      <c r="G530" s="7"/>
      <c r="H530" s="7"/>
      <c r="I530" s="7"/>
      <c r="J530" s="8"/>
      <c r="K530" s="9"/>
    </row>
    <row r="531">
      <c r="A531" s="6"/>
      <c r="B531" s="7"/>
      <c r="C531" s="7"/>
      <c r="D531" s="7"/>
      <c r="E531" s="7"/>
      <c r="F531" s="7"/>
      <c r="G531" s="7"/>
      <c r="H531" s="7"/>
      <c r="I531" s="7"/>
      <c r="J531" s="8"/>
      <c r="K531" s="9"/>
    </row>
    <row r="532">
      <c r="A532" s="6"/>
      <c r="B532" s="7"/>
      <c r="C532" s="7"/>
      <c r="D532" s="7"/>
      <c r="E532" s="7"/>
      <c r="F532" s="7"/>
      <c r="G532" s="7"/>
      <c r="H532" s="7"/>
      <c r="I532" s="7"/>
      <c r="J532" s="8"/>
      <c r="K532" s="9"/>
    </row>
    <row r="533">
      <c r="A533" s="6"/>
      <c r="B533" s="7"/>
      <c r="C533" s="7"/>
      <c r="D533" s="7"/>
      <c r="E533" s="7"/>
      <c r="F533" s="7"/>
      <c r="G533" s="7"/>
      <c r="H533" s="7"/>
      <c r="I533" s="7"/>
      <c r="J533" s="8"/>
      <c r="K533" s="9"/>
    </row>
    <row r="534">
      <c r="A534" s="6"/>
      <c r="B534" s="7"/>
      <c r="C534" s="7"/>
      <c r="D534" s="7"/>
      <c r="E534" s="7"/>
      <c r="F534" s="7"/>
      <c r="G534" s="7"/>
      <c r="H534" s="7"/>
      <c r="I534" s="7"/>
      <c r="J534" s="8"/>
      <c r="K534" s="9"/>
    </row>
    <row r="535">
      <c r="A535" s="6"/>
      <c r="B535" s="7"/>
      <c r="C535" s="7"/>
      <c r="D535" s="7"/>
      <c r="E535" s="7"/>
      <c r="F535" s="7"/>
      <c r="G535" s="7"/>
      <c r="H535" s="7"/>
      <c r="I535" s="7"/>
      <c r="J535" s="8"/>
      <c r="K535" s="9"/>
    </row>
    <row r="536">
      <c r="A536" s="6"/>
      <c r="B536" s="7"/>
      <c r="C536" s="7"/>
      <c r="D536" s="7"/>
      <c r="E536" s="7"/>
      <c r="F536" s="7"/>
      <c r="G536" s="7"/>
      <c r="H536" s="7"/>
      <c r="I536" s="7"/>
      <c r="J536" s="8"/>
      <c r="K536" s="9"/>
    </row>
    <row r="537">
      <c r="A537" s="6"/>
      <c r="B537" s="7"/>
      <c r="C537" s="7"/>
      <c r="D537" s="7"/>
      <c r="E537" s="7"/>
      <c r="F537" s="7"/>
      <c r="G537" s="7"/>
      <c r="H537" s="7"/>
      <c r="I537" s="7"/>
      <c r="J537" s="8"/>
      <c r="K537" s="9"/>
    </row>
    <row r="538">
      <c r="A538" s="6"/>
      <c r="B538" s="7"/>
      <c r="C538" s="7"/>
      <c r="D538" s="7"/>
      <c r="E538" s="7"/>
      <c r="F538" s="7"/>
      <c r="G538" s="7"/>
      <c r="H538" s="7"/>
      <c r="I538" s="7"/>
      <c r="J538" s="8"/>
      <c r="K538" s="9"/>
    </row>
    <row r="539">
      <c r="A539" s="6"/>
      <c r="B539" s="7"/>
      <c r="C539" s="7"/>
      <c r="D539" s="7"/>
      <c r="E539" s="7"/>
      <c r="F539" s="7"/>
      <c r="G539" s="7"/>
      <c r="H539" s="7"/>
      <c r="I539" s="7"/>
      <c r="J539" s="8"/>
      <c r="K539" s="9"/>
    </row>
    <row r="540">
      <c r="A540" s="6"/>
      <c r="B540" s="7"/>
      <c r="C540" s="7"/>
      <c r="D540" s="7"/>
      <c r="E540" s="7"/>
      <c r="F540" s="7"/>
      <c r="G540" s="7"/>
      <c r="H540" s="7"/>
      <c r="I540" s="7"/>
      <c r="J540" s="8"/>
      <c r="K540" s="9"/>
    </row>
    <row r="541">
      <c r="A541" s="6"/>
      <c r="B541" s="7"/>
      <c r="C541" s="7"/>
      <c r="D541" s="7"/>
      <c r="E541" s="7"/>
      <c r="F541" s="7"/>
      <c r="G541" s="7"/>
      <c r="H541" s="7"/>
      <c r="I541" s="7"/>
      <c r="J541" s="8"/>
      <c r="K541" s="9"/>
    </row>
    <row r="542">
      <c r="A542" s="6"/>
      <c r="B542" s="7"/>
      <c r="C542" s="7"/>
      <c r="D542" s="7"/>
      <c r="E542" s="7"/>
      <c r="F542" s="7"/>
      <c r="G542" s="7"/>
      <c r="H542" s="7"/>
      <c r="I542" s="7"/>
      <c r="J542" s="8"/>
      <c r="K542" s="9"/>
    </row>
    <row r="543">
      <c r="A543" s="6"/>
      <c r="B543" s="7"/>
      <c r="C543" s="7"/>
      <c r="D543" s="7"/>
      <c r="E543" s="7"/>
      <c r="F543" s="7"/>
      <c r="G543" s="7"/>
      <c r="H543" s="7"/>
      <c r="I543" s="7"/>
      <c r="J543" s="8"/>
      <c r="K543" s="9"/>
    </row>
    <row r="544">
      <c r="A544" s="6"/>
      <c r="B544" s="7"/>
      <c r="C544" s="7"/>
      <c r="D544" s="7"/>
      <c r="E544" s="7"/>
      <c r="F544" s="7"/>
      <c r="G544" s="7"/>
      <c r="H544" s="7"/>
      <c r="I544" s="7"/>
      <c r="J544" s="8"/>
      <c r="K544" s="9"/>
    </row>
    <row r="545">
      <c r="A545" s="6"/>
      <c r="B545" s="7"/>
      <c r="C545" s="7"/>
      <c r="D545" s="7"/>
      <c r="E545" s="7"/>
      <c r="F545" s="7"/>
      <c r="G545" s="7"/>
      <c r="H545" s="7"/>
      <c r="I545" s="7"/>
      <c r="J545" s="8"/>
      <c r="K545" s="9"/>
    </row>
    <row r="546">
      <c r="A546" s="6"/>
      <c r="B546" s="7"/>
      <c r="C546" s="7"/>
      <c r="D546" s="7"/>
      <c r="E546" s="7"/>
      <c r="F546" s="7"/>
      <c r="G546" s="7"/>
      <c r="H546" s="7"/>
      <c r="I546" s="7"/>
      <c r="J546" s="8"/>
      <c r="K546" s="9"/>
    </row>
    <row r="547">
      <c r="A547" s="6"/>
      <c r="B547" s="7"/>
      <c r="C547" s="7"/>
      <c r="D547" s="7"/>
      <c r="E547" s="7"/>
      <c r="F547" s="7"/>
      <c r="G547" s="7"/>
      <c r="H547" s="7"/>
      <c r="I547" s="7"/>
      <c r="J547" s="8"/>
      <c r="K547" s="9"/>
    </row>
    <row r="548">
      <c r="A548" s="6"/>
      <c r="B548" s="7"/>
      <c r="C548" s="7"/>
      <c r="D548" s="7"/>
      <c r="E548" s="7"/>
      <c r="F548" s="7"/>
      <c r="G548" s="7"/>
      <c r="H548" s="7"/>
      <c r="I548" s="7"/>
      <c r="J548" s="8"/>
      <c r="K548" s="9"/>
    </row>
    <row r="549">
      <c r="A549" s="6"/>
      <c r="B549" s="7"/>
      <c r="C549" s="7"/>
      <c r="D549" s="7"/>
      <c r="E549" s="7"/>
      <c r="F549" s="7"/>
      <c r="G549" s="7"/>
      <c r="H549" s="7"/>
      <c r="I549" s="7"/>
      <c r="J549" s="8"/>
      <c r="K549" s="9"/>
    </row>
    <row r="550">
      <c r="A550" s="6"/>
      <c r="B550" s="7"/>
      <c r="C550" s="7"/>
      <c r="D550" s="7"/>
      <c r="E550" s="7"/>
      <c r="F550" s="7"/>
      <c r="G550" s="7"/>
      <c r="H550" s="7"/>
      <c r="I550" s="7"/>
      <c r="J550" s="8"/>
      <c r="K550" s="9"/>
    </row>
    <row r="551">
      <c r="A551" s="6"/>
      <c r="B551" s="7"/>
      <c r="C551" s="7"/>
      <c r="D551" s="7"/>
      <c r="E551" s="7"/>
      <c r="F551" s="7"/>
      <c r="G551" s="7"/>
      <c r="H551" s="7"/>
      <c r="I551" s="7"/>
      <c r="J551" s="8"/>
      <c r="K551" s="9"/>
    </row>
    <row r="552">
      <c r="A552" s="6"/>
      <c r="B552" s="7"/>
      <c r="C552" s="7"/>
      <c r="D552" s="7"/>
      <c r="E552" s="7"/>
      <c r="F552" s="7"/>
      <c r="G552" s="7"/>
      <c r="H552" s="7"/>
      <c r="I552" s="7"/>
      <c r="J552" s="8"/>
      <c r="K552" s="9"/>
    </row>
    <row r="553">
      <c r="A553" s="6"/>
      <c r="B553" s="7"/>
      <c r="C553" s="7"/>
      <c r="D553" s="7"/>
      <c r="E553" s="7"/>
      <c r="F553" s="7"/>
      <c r="G553" s="7"/>
      <c r="H553" s="7"/>
      <c r="I553" s="7"/>
      <c r="J553" s="8"/>
      <c r="K553" s="9"/>
    </row>
    <row r="554">
      <c r="A554" s="6"/>
      <c r="B554" s="7"/>
      <c r="C554" s="7"/>
      <c r="D554" s="7"/>
      <c r="E554" s="7"/>
      <c r="F554" s="7"/>
      <c r="G554" s="7"/>
      <c r="H554" s="7"/>
      <c r="I554" s="7"/>
      <c r="J554" s="8"/>
      <c r="K554" s="9"/>
    </row>
    <row r="555">
      <c r="A555" s="6"/>
      <c r="B555" s="7"/>
      <c r="C555" s="7"/>
      <c r="D555" s="7"/>
      <c r="E555" s="7"/>
      <c r="F555" s="7"/>
      <c r="G555" s="7"/>
      <c r="H555" s="7"/>
      <c r="I555" s="7"/>
      <c r="J555" s="8"/>
      <c r="K555" s="9"/>
    </row>
    <row r="556">
      <c r="A556" s="6"/>
      <c r="B556" s="7"/>
      <c r="C556" s="7"/>
      <c r="D556" s="7"/>
      <c r="E556" s="7"/>
      <c r="F556" s="7"/>
      <c r="G556" s="7"/>
      <c r="H556" s="7"/>
      <c r="I556" s="7"/>
      <c r="J556" s="8"/>
      <c r="K556" s="9"/>
    </row>
    <row r="557">
      <c r="A557" s="6"/>
      <c r="B557" s="7"/>
      <c r="C557" s="7"/>
      <c r="D557" s="7"/>
      <c r="E557" s="7"/>
      <c r="F557" s="7"/>
      <c r="G557" s="7"/>
      <c r="H557" s="7"/>
      <c r="I557" s="7"/>
      <c r="J557" s="8"/>
      <c r="K557" s="9"/>
    </row>
    <row r="558">
      <c r="A558" s="6"/>
      <c r="B558" s="7"/>
      <c r="C558" s="7"/>
      <c r="D558" s="7"/>
      <c r="E558" s="7"/>
      <c r="F558" s="7"/>
      <c r="G558" s="7"/>
      <c r="H558" s="7"/>
      <c r="I558" s="7"/>
      <c r="J558" s="8"/>
      <c r="K558" s="9"/>
    </row>
    <row r="559">
      <c r="A559" s="6"/>
      <c r="B559" s="7"/>
      <c r="C559" s="7"/>
      <c r="D559" s="7"/>
      <c r="E559" s="7"/>
      <c r="F559" s="7"/>
      <c r="G559" s="7"/>
      <c r="H559" s="7"/>
      <c r="I559" s="7"/>
      <c r="J559" s="8"/>
      <c r="K559" s="9"/>
    </row>
    <row r="560">
      <c r="A560" s="6"/>
      <c r="B560" s="7"/>
      <c r="C560" s="7"/>
      <c r="D560" s="7"/>
      <c r="E560" s="7"/>
      <c r="F560" s="7"/>
      <c r="G560" s="7"/>
      <c r="H560" s="7"/>
      <c r="I560" s="7"/>
      <c r="J560" s="8"/>
      <c r="K560" s="9"/>
    </row>
    <row r="561">
      <c r="A561" s="6"/>
      <c r="B561" s="7"/>
      <c r="C561" s="7"/>
      <c r="D561" s="7"/>
      <c r="E561" s="7"/>
      <c r="F561" s="7"/>
      <c r="G561" s="7"/>
      <c r="H561" s="7"/>
      <c r="I561" s="7"/>
      <c r="J561" s="8"/>
      <c r="K561" s="9"/>
    </row>
    <row r="562">
      <c r="A562" s="6"/>
      <c r="B562" s="7"/>
      <c r="C562" s="7"/>
      <c r="D562" s="7"/>
      <c r="E562" s="7"/>
      <c r="F562" s="7"/>
      <c r="G562" s="7"/>
      <c r="H562" s="7"/>
      <c r="I562" s="7"/>
      <c r="J562" s="8"/>
      <c r="K562" s="9"/>
    </row>
    <row r="563">
      <c r="A563" s="6"/>
      <c r="B563" s="7"/>
      <c r="C563" s="7"/>
      <c r="D563" s="7"/>
      <c r="E563" s="7"/>
      <c r="F563" s="7"/>
      <c r="G563" s="7"/>
      <c r="H563" s="7"/>
      <c r="I563" s="7"/>
      <c r="J563" s="8"/>
      <c r="K563" s="9"/>
    </row>
    <row r="564">
      <c r="A564" s="6"/>
      <c r="B564" s="7"/>
      <c r="C564" s="7"/>
      <c r="D564" s="7"/>
      <c r="E564" s="7"/>
      <c r="F564" s="7"/>
      <c r="G564" s="7"/>
      <c r="H564" s="7"/>
      <c r="I564" s="7"/>
      <c r="J564" s="8"/>
      <c r="K564" s="9"/>
    </row>
    <row r="565">
      <c r="A565" s="6"/>
      <c r="B565" s="7"/>
      <c r="C565" s="7"/>
      <c r="D565" s="7"/>
      <c r="E565" s="7"/>
      <c r="F565" s="7"/>
      <c r="G565" s="7"/>
      <c r="H565" s="7"/>
      <c r="I565" s="7"/>
      <c r="J565" s="8"/>
      <c r="K565" s="9"/>
    </row>
    <row r="566">
      <c r="A566" s="6"/>
      <c r="B566" s="7"/>
      <c r="C566" s="7"/>
      <c r="D566" s="7"/>
      <c r="E566" s="7"/>
      <c r="F566" s="7"/>
      <c r="G566" s="7"/>
      <c r="H566" s="7"/>
      <c r="I566" s="7"/>
      <c r="J566" s="8"/>
      <c r="K566" s="9"/>
    </row>
    <row r="567">
      <c r="A567" s="6"/>
      <c r="B567" s="7"/>
      <c r="C567" s="7"/>
      <c r="D567" s="7"/>
      <c r="E567" s="7"/>
      <c r="F567" s="7"/>
      <c r="G567" s="7"/>
      <c r="H567" s="7"/>
      <c r="I567" s="7"/>
      <c r="J567" s="8"/>
      <c r="K567" s="9"/>
    </row>
    <row r="568">
      <c r="A568" s="6"/>
      <c r="B568" s="7"/>
      <c r="C568" s="7"/>
      <c r="D568" s="7"/>
      <c r="E568" s="7"/>
      <c r="F568" s="7"/>
      <c r="G568" s="7"/>
      <c r="H568" s="7"/>
      <c r="I568" s="7"/>
      <c r="J568" s="8"/>
      <c r="K568" s="9"/>
    </row>
    <row r="569">
      <c r="A569" s="6"/>
      <c r="B569" s="7"/>
      <c r="C569" s="7"/>
      <c r="D569" s="7"/>
      <c r="E569" s="7"/>
      <c r="F569" s="7"/>
      <c r="G569" s="7"/>
      <c r="H569" s="7"/>
      <c r="I569" s="7"/>
      <c r="J569" s="8"/>
      <c r="K569" s="9"/>
    </row>
    <row r="570">
      <c r="A570" s="6"/>
      <c r="B570" s="7"/>
      <c r="C570" s="7"/>
      <c r="D570" s="7"/>
      <c r="E570" s="7"/>
      <c r="F570" s="7"/>
      <c r="G570" s="7"/>
      <c r="H570" s="7"/>
      <c r="I570" s="7"/>
      <c r="J570" s="8"/>
      <c r="K570" s="9"/>
    </row>
    <row r="571">
      <c r="A571" s="6"/>
      <c r="B571" s="7"/>
      <c r="C571" s="7"/>
      <c r="D571" s="7"/>
      <c r="E571" s="7"/>
      <c r="F571" s="7"/>
      <c r="G571" s="7"/>
      <c r="H571" s="7"/>
      <c r="I571" s="7"/>
      <c r="J571" s="8"/>
      <c r="K571" s="9"/>
    </row>
    <row r="572">
      <c r="A572" s="6"/>
      <c r="B572" s="7"/>
      <c r="C572" s="7"/>
      <c r="D572" s="7"/>
      <c r="E572" s="7"/>
      <c r="F572" s="7"/>
      <c r="G572" s="7"/>
      <c r="H572" s="7"/>
      <c r="I572" s="7"/>
      <c r="J572" s="8"/>
      <c r="K572" s="9"/>
    </row>
    <row r="573">
      <c r="A573" s="6"/>
      <c r="B573" s="7"/>
      <c r="C573" s="7"/>
      <c r="D573" s="7"/>
      <c r="E573" s="7"/>
      <c r="F573" s="7"/>
      <c r="G573" s="7"/>
      <c r="H573" s="7"/>
      <c r="I573" s="7"/>
      <c r="J573" s="8"/>
      <c r="K573" s="9"/>
    </row>
    <row r="574">
      <c r="A574" s="6"/>
      <c r="B574" s="7"/>
      <c r="C574" s="7"/>
      <c r="D574" s="7"/>
      <c r="E574" s="7"/>
      <c r="F574" s="7"/>
      <c r="G574" s="7"/>
      <c r="H574" s="7"/>
      <c r="I574" s="7"/>
      <c r="J574" s="8"/>
      <c r="K574" s="9"/>
    </row>
    <row r="575">
      <c r="A575" s="6"/>
      <c r="B575" s="7"/>
      <c r="C575" s="7"/>
      <c r="D575" s="7"/>
      <c r="E575" s="7"/>
      <c r="F575" s="7"/>
      <c r="G575" s="7"/>
      <c r="H575" s="7"/>
      <c r="I575" s="7"/>
      <c r="J575" s="8"/>
      <c r="K575" s="9"/>
    </row>
    <row r="576">
      <c r="A576" s="6"/>
      <c r="B576" s="7"/>
      <c r="C576" s="7"/>
      <c r="D576" s="7"/>
      <c r="E576" s="7"/>
      <c r="F576" s="7"/>
      <c r="G576" s="7"/>
      <c r="H576" s="7"/>
      <c r="I576" s="7"/>
      <c r="J576" s="8"/>
      <c r="K576" s="9"/>
    </row>
    <row r="577">
      <c r="A577" s="6"/>
      <c r="B577" s="7"/>
      <c r="C577" s="7"/>
      <c r="D577" s="7"/>
      <c r="E577" s="7"/>
      <c r="F577" s="7"/>
      <c r="G577" s="7"/>
      <c r="H577" s="7"/>
      <c r="I577" s="7"/>
      <c r="J577" s="8"/>
      <c r="K577" s="9"/>
    </row>
    <row r="578">
      <c r="A578" s="6"/>
      <c r="B578" s="7"/>
      <c r="C578" s="7"/>
      <c r="D578" s="7"/>
      <c r="E578" s="7"/>
      <c r="F578" s="7"/>
      <c r="G578" s="7"/>
      <c r="H578" s="7"/>
      <c r="I578" s="7"/>
      <c r="J578" s="8"/>
      <c r="K578" s="9"/>
    </row>
    <row r="579">
      <c r="A579" s="6"/>
      <c r="B579" s="7"/>
      <c r="C579" s="7"/>
      <c r="D579" s="7"/>
      <c r="E579" s="7"/>
      <c r="F579" s="7"/>
      <c r="G579" s="7"/>
      <c r="H579" s="7"/>
      <c r="I579" s="7"/>
      <c r="J579" s="8"/>
      <c r="K579" s="9"/>
    </row>
    <row r="580">
      <c r="A580" s="6"/>
      <c r="B580" s="7"/>
      <c r="C580" s="7"/>
      <c r="D580" s="7"/>
      <c r="E580" s="7"/>
      <c r="F580" s="7"/>
      <c r="G580" s="7"/>
      <c r="H580" s="7"/>
      <c r="I580" s="7"/>
      <c r="J580" s="8"/>
      <c r="K580" s="9"/>
    </row>
    <row r="581">
      <c r="A581" s="6"/>
      <c r="B581" s="7"/>
      <c r="C581" s="7"/>
      <c r="D581" s="7"/>
      <c r="E581" s="7"/>
      <c r="F581" s="7"/>
      <c r="G581" s="7"/>
      <c r="H581" s="7"/>
      <c r="I581" s="7"/>
      <c r="J581" s="8"/>
      <c r="K581" s="9"/>
    </row>
    <row r="582">
      <c r="A582" s="6"/>
      <c r="B582" s="7"/>
      <c r="C582" s="7"/>
      <c r="D582" s="7"/>
      <c r="E582" s="7"/>
      <c r="F582" s="7"/>
      <c r="G582" s="7"/>
      <c r="H582" s="7"/>
      <c r="I582" s="7"/>
      <c r="J582" s="8"/>
      <c r="K582" s="9"/>
    </row>
    <row r="583">
      <c r="A583" s="6"/>
      <c r="B583" s="7"/>
      <c r="C583" s="7"/>
      <c r="D583" s="7"/>
      <c r="E583" s="7"/>
      <c r="F583" s="7"/>
      <c r="G583" s="7"/>
      <c r="H583" s="7"/>
      <c r="I583" s="7"/>
      <c r="J583" s="8"/>
      <c r="K583" s="9"/>
    </row>
    <row r="584">
      <c r="A584" s="6"/>
      <c r="B584" s="7"/>
      <c r="C584" s="7"/>
      <c r="D584" s="7"/>
      <c r="E584" s="7"/>
      <c r="F584" s="7"/>
      <c r="G584" s="7"/>
      <c r="H584" s="7"/>
      <c r="I584" s="7"/>
      <c r="J584" s="8"/>
      <c r="K584" s="9"/>
    </row>
    <row r="585">
      <c r="A585" s="6"/>
      <c r="B585" s="7"/>
      <c r="C585" s="7"/>
      <c r="D585" s="7"/>
      <c r="E585" s="7"/>
      <c r="F585" s="7"/>
      <c r="G585" s="7"/>
      <c r="H585" s="7"/>
      <c r="I585" s="7"/>
      <c r="J585" s="8"/>
      <c r="K585" s="9"/>
    </row>
    <row r="586">
      <c r="A586" s="6"/>
      <c r="B586" s="7"/>
      <c r="C586" s="7"/>
      <c r="D586" s="7"/>
      <c r="E586" s="7"/>
      <c r="F586" s="7"/>
      <c r="G586" s="7"/>
      <c r="H586" s="7"/>
      <c r="I586" s="7"/>
      <c r="J586" s="8"/>
      <c r="K586" s="9"/>
    </row>
    <row r="587">
      <c r="A587" s="6"/>
      <c r="B587" s="7"/>
      <c r="C587" s="7"/>
      <c r="D587" s="7"/>
      <c r="E587" s="7"/>
      <c r="F587" s="7"/>
      <c r="G587" s="7"/>
      <c r="H587" s="7"/>
      <c r="I587" s="7"/>
      <c r="J587" s="8"/>
      <c r="K587" s="9"/>
    </row>
    <row r="588">
      <c r="A588" s="6"/>
      <c r="B588" s="7"/>
      <c r="C588" s="7"/>
      <c r="D588" s="7"/>
      <c r="E588" s="7"/>
      <c r="F588" s="7"/>
      <c r="G588" s="7"/>
      <c r="H588" s="7"/>
      <c r="I588" s="7"/>
      <c r="J588" s="8"/>
      <c r="K588" s="9"/>
    </row>
    <row r="589">
      <c r="A589" s="6"/>
      <c r="B589" s="7"/>
      <c r="C589" s="7"/>
      <c r="D589" s="7"/>
      <c r="E589" s="7"/>
      <c r="F589" s="7"/>
      <c r="G589" s="7"/>
      <c r="H589" s="7"/>
      <c r="I589" s="7"/>
      <c r="J589" s="8"/>
      <c r="K589" s="9"/>
    </row>
    <row r="590">
      <c r="A590" s="6"/>
      <c r="B590" s="7"/>
      <c r="C590" s="7"/>
      <c r="D590" s="7"/>
      <c r="E590" s="7"/>
      <c r="F590" s="7"/>
      <c r="G590" s="7"/>
      <c r="H590" s="7"/>
      <c r="I590" s="7"/>
      <c r="J590" s="8"/>
      <c r="K590" s="9"/>
    </row>
    <row r="591">
      <c r="A591" s="6"/>
      <c r="B591" s="7"/>
      <c r="C591" s="7"/>
      <c r="D591" s="7"/>
      <c r="E591" s="7"/>
      <c r="F591" s="7"/>
      <c r="G591" s="7"/>
      <c r="H591" s="7"/>
      <c r="I591" s="7"/>
      <c r="J591" s="8"/>
      <c r="K591" s="9"/>
    </row>
    <row r="592">
      <c r="A592" s="6"/>
      <c r="B592" s="7"/>
      <c r="C592" s="7"/>
      <c r="D592" s="7"/>
      <c r="E592" s="7"/>
      <c r="F592" s="7"/>
      <c r="G592" s="7"/>
      <c r="H592" s="7"/>
      <c r="I592" s="7"/>
      <c r="J592" s="8"/>
      <c r="K592" s="9"/>
    </row>
    <row r="593">
      <c r="A593" s="6"/>
      <c r="B593" s="7"/>
      <c r="C593" s="7"/>
      <c r="D593" s="7"/>
      <c r="E593" s="7"/>
      <c r="F593" s="7"/>
      <c r="G593" s="7"/>
      <c r="H593" s="7"/>
      <c r="I593" s="7"/>
      <c r="J593" s="8"/>
      <c r="K593" s="9"/>
    </row>
    <row r="594">
      <c r="A594" s="6"/>
      <c r="B594" s="7"/>
      <c r="C594" s="7"/>
      <c r="D594" s="7"/>
      <c r="E594" s="7"/>
      <c r="F594" s="7"/>
      <c r="G594" s="7"/>
      <c r="H594" s="7"/>
      <c r="I594" s="7"/>
      <c r="J594" s="8"/>
      <c r="K594" s="9"/>
    </row>
    <row r="595">
      <c r="A595" s="6"/>
      <c r="B595" s="7"/>
      <c r="C595" s="7"/>
      <c r="D595" s="7"/>
      <c r="E595" s="7"/>
      <c r="F595" s="7"/>
      <c r="G595" s="7"/>
      <c r="H595" s="7"/>
      <c r="I595" s="7"/>
      <c r="J595" s="8"/>
      <c r="K595" s="9"/>
    </row>
    <row r="596">
      <c r="A596" s="6"/>
      <c r="B596" s="7"/>
      <c r="C596" s="7"/>
      <c r="D596" s="7"/>
      <c r="E596" s="7"/>
      <c r="F596" s="7"/>
      <c r="G596" s="7"/>
      <c r="H596" s="7"/>
      <c r="I596" s="7"/>
      <c r="J596" s="8"/>
      <c r="K596" s="9"/>
    </row>
    <row r="597">
      <c r="A597" s="6"/>
      <c r="B597" s="7"/>
      <c r="C597" s="7"/>
      <c r="D597" s="7"/>
      <c r="E597" s="7"/>
      <c r="F597" s="7"/>
      <c r="G597" s="7"/>
      <c r="H597" s="7"/>
      <c r="I597" s="7"/>
      <c r="J597" s="8"/>
      <c r="K597" s="9"/>
    </row>
    <row r="598">
      <c r="A598" s="6"/>
      <c r="B598" s="7"/>
      <c r="C598" s="7"/>
      <c r="D598" s="7"/>
      <c r="E598" s="7"/>
      <c r="F598" s="7"/>
      <c r="G598" s="7"/>
      <c r="H598" s="7"/>
      <c r="I598" s="7"/>
      <c r="J598" s="8"/>
      <c r="K598" s="9"/>
    </row>
    <row r="599">
      <c r="A599" s="6"/>
      <c r="B599" s="7"/>
      <c r="C599" s="7"/>
      <c r="D599" s="7"/>
      <c r="E599" s="7"/>
      <c r="F599" s="7"/>
      <c r="G599" s="7"/>
      <c r="H599" s="7"/>
      <c r="I599" s="7"/>
      <c r="J599" s="8"/>
      <c r="K599" s="9"/>
    </row>
    <row r="600">
      <c r="A600" s="6"/>
      <c r="B600" s="7"/>
      <c r="C600" s="7"/>
      <c r="D600" s="7"/>
      <c r="E600" s="7"/>
      <c r="F600" s="7"/>
      <c r="G600" s="7"/>
      <c r="H600" s="7"/>
      <c r="I600" s="7"/>
      <c r="J600" s="8"/>
      <c r="K600" s="9"/>
    </row>
    <row r="601">
      <c r="A601" s="6"/>
      <c r="B601" s="7"/>
      <c r="C601" s="7"/>
      <c r="D601" s="7"/>
      <c r="E601" s="7"/>
      <c r="F601" s="7"/>
      <c r="G601" s="7"/>
      <c r="H601" s="7"/>
      <c r="I601" s="7"/>
      <c r="J601" s="8"/>
      <c r="K601" s="9"/>
    </row>
    <row r="602">
      <c r="A602" s="6"/>
      <c r="B602" s="7"/>
      <c r="C602" s="7"/>
      <c r="D602" s="7"/>
      <c r="E602" s="7"/>
      <c r="F602" s="7"/>
      <c r="G602" s="7"/>
      <c r="H602" s="7"/>
      <c r="I602" s="7"/>
      <c r="J602" s="8"/>
      <c r="K602" s="9"/>
    </row>
    <row r="603">
      <c r="A603" s="6"/>
      <c r="B603" s="7"/>
      <c r="C603" s="7"/>
      <c r="D603" s="7"/>
      <c r="E603" s="7"/>
      <c r="F603" s="7"/>
      <c r="G603" s="7"/>
      <c r="H603" s="7"/>
      <c r="I603" s="7"/>
      <c r="J603" s="8"/>
      <c r="K603" s="9"/>
    </row>
    <row r="604">
      <c r="A604" s="6"/>
      <c r="B604" s="7"/>
      <c r="C604" s="7"/>
      <c r="D604" s="7"/>
      <c r="E604" s="7"/>
      <c r="F604" s="7"/>
      <c r="G604" s="7"/>
      <c r="H604" s="7"/>
      <c r="I604" s="7"/>
      <c r="J604" s="8"/>
      <c r="K604" s="9"/>
    </row>
    <row r="605">
      <c r="A605" s="6"/>
      <c r="B605" s="7"/>
      <c r="C605" s="7"/>
      <c r="D605" s="7"/>
      <c r="E605" s="7"/>
      <c r="F605" s="7"/>
      <c r="G605" s="7"/>
      <c r="H605" s="7"/>
      <c r="I605" s="7"/>
      <c r="J605" s="8"/>
      <c r="K605" s="9"/>
    </row>
    <row r="606">
      <c r="A606" s="6"/>
      <c r="B606" s="7"/>
      <c r="C606" s="7"/>
      <c r="D606" s="7"/>
      <c r="E606" s="7"/>
      <c r="F606" s="7"/>
      <c r="G606" s="7"/>
      <c r="H606" s="7"/>
      <c r="I606" s="7"/>
      <c r="J606" s="8"/>
      <c r="K606" s="9"/>
    </row>
    <row r="607">
      <c r="A607" s="6"/>
      <c r="B607" s="7"/>
      <c r="C607" s="7"/>
      <c r="D607" s="7"/>
      <c r="E607" s="7"/>
      <c r="F607" s="7"/>
      <c r="G607" s="7"/>
      <c r="H607" s="7"/>
      <c r="I607" s="7"/>
      <c r="J607" s="8"/>
      <c r="K607" s="9"/>
    </row>
    <row r="608">
      <c r="A608" s="6"/>
      <c r="B608" s="7"/>
      <c r="C608" s="7"/>
      <c r="D608" s="7"/>
      <c r="E608" s="7"/>
      <c r="F608" s="7"/>
      <c r="G608" s="7"/>
      <c r="H608" s="7"/>
      <c r="I608" s="7"/>
      <c r="J608" s="8"/>
      <c r="K608" s="9"/>
    </row>
    <row r="609">
      <c r="A609" s="6"/>
      <c r="B609" s="7"/>
      <c r="C609" s="7"/>
      <c r="D609" s="7"/>
      <c r="E609" s="7"/>
      <c r="F609" s="7"/>
      <c r="G609" s="7"/>
      <c r="H609" s="7"/>
      <c r="I609" s="7"/>
      <c r="J609" s="8"/>
      <c r="K609" s="9"/>
    </row>
    <row r="610">
      <c r="A610" s="6"/>
      <c r="B610" s="7"/>
      <c r="C610" s="7"/>
      <c r="D610" s="7"/>
      <c r="E610" s="7"/>
      <c r="F610" s="7"/>
      <c r="G610" s="7"/>
      <c r="H610" s="7"/>
      <c r="I610" s="7"/>
      <c r="J610" s="8"/>
      <c r="K610" s="9"/>
    </row>
    <row r="611">
      <c r="A611" s="6"/>
      <c r="B611" s="7"/>
      <c r="C611" s="7"/>
      <c r="D611" s="7"/>
      <c r="E611" s="7"/>
      <c r="F611" s="7"/>
      <c r="G611" s="7"/>
      <c r="H611" s="7"/>
      <c r="I611" s="7"/>
      <c r="J611" s="8"/>
      <c r="K611" s="9"/>
    </row>
    <row r="612">
      <c r="A612" s="6"/>
      <c r="B612" s="7"/>
      <c r="C612" s="7"/>
      <c r="D612" s="7"/>
      <c r="E612" s="7"/>
      <c r="F612" s="7"/>
      <c r="G612" s="7"/>
      <c r="H612" s="7"/>
      <c r="I612" s="7"/>
      <c r="J612" s="8"/>
      <c r="K612" s="9"/>
    </row>
    <row r="613">
      <c r="A613" s="6"/>
      <c r="B613" s="7"/>
      <c r="C613" s="7"/>
      <c r="D613" s="7"/>
      <c r="E613" s="7"/>
      <c r="F613" s="7"/>
      <c r="G613" s="7"/>
      <c r="H613" s="7"/>
      <c r="I613" s="7"/>
      <c r="J613" s="8"/>
      <c r="K613" s="9"/>
    </row>
    <row r="614">
      <c r="A614" s="6"/>
      <c r="B614" s="7"/>
      <c r="C614" s="7"/>
      <c r="D614" s="7"/>
      <c r="E614" s="7"/>
      <c r="F614" s="7"/>
      <c r="G614" s="7"/>
      <c r="H614" s="7"/>
      <c r="I614" s="7"/>
      <c r="J614" s="8"/>
      <c r="K614" s="9"/>
    </row>
    <row r="615">
      <c r="A615" s="6"/>
      <c r="B615" s="7"/>
      <c r="C615" s="7"/>
      <c r="D615" s="7"/>
      <c r="E615" s="7"/>
      <c r="F615" s="7"/>
      <c r="G615" s="7"/>
      <c r="H615" s="7"/>
      <c r="I615" s="7"/>
      <c r="J615" s="8"/>
      <c r="K615" s="9"/>
    </row>
    <row r="616">
      <c r="A616" s="6"/>
      <c r="B616" s="7"/>
      <c r="C616" s="7"/>
      <c r="D616" s="7"/>
      <c r="E616" s="7"/>
      <c r="F616" s="7"/>
      <c r="G616" s="7"/>
      <c r="H616" s="7"/>
      <c r="I616" s="7"/>
      <c r="J616" s="8"/>
      <c r="K616" s="9"/>
    </row>
    <row r="617">
      <c r="A617" s="6"/>
      <c r="B617" s="7"/>
      <c r="C617" s="7"/>
      <c r="D617" s="7"/>
      <c r="E617" s="7"/>
      <c r="F617" s="7"/>
      <c r="G617" s="7"/>
      <c r="H617" s="7"/>
      <c r="I617" s="7"/>
      <c r="J617" s="8"/>
      <c r="K617" s="9"/>
    </row>
    <row r="618">
      <c r="A618" s="6"/>
      <c r="B618" s="7"/>
      <c r="C618" s="7"/>
      <c r="D618" s="7"/>
      <c r="E618" s="7"/>
      <c r="F618" s="7"/>
      <c r="G618" s="7"/>
      <c r="H618" s="7"/>
      <c r="I618" s="7"/>
      <c r="J618" s="8"/>
      <c r="K618" s="9"/>
    </row>
    <row r="619">
      <c r="A619" s="6"/>
      <c r="B619" s="7"/>
      <c r="C619" s="7"/>
      <c r="D619" s="7"/>
      <c r="E619" s="7"/>
      <c r="F619" s="7"/>
      <c r="G619" s="7"/>
      <c r="H619" s="7"/>
      <c r="I619" s="7"/>
      <c r="J619" s="8"/>
      <c r="K619" s="9"/>
    </row>
    <row r="620">
      <c r="A620" s="6"/>
      <c r="B620" s="7"/>
      <c r="C620" s="7"/>
      <c r="D620" s="7"/>
      <c r="E620" s="7"/>
      <c r="F620" s="7"/>
      <c r="G620" s="7"/>
      <c r="H620" s="7"/>
      <c r="I620" s="7"/>
      <c r="J620" s="8"/>
      <c r="K620" s="9"/>
    </row>
    <row r="621">
      <c r="A621" s="6"/>
      <c r="B621" s="7"/>
      <c r="C621" s="7"/>
      <c r="D621" s="7"/>
      <c r="E621" s="7"/>
      <c r="F621" s="7"/>
      <c r="G621" s="7"/>
      <c r="H621" s="7"/>
      <c r="I621" s="7"/>
      <c r="J621" s="8"/>
      <c r="K621" s="9"/>
    </row>
    <row r="622">
      <c r="A622" s="6"/>
      <c r="B622" s="7"/>
      <c r="C622" s="7"/>
      <c r="D622" s="7"/>
      <c r="E622" s="7"/>
      <c r="F622" s="7"/>
      <c r="G622" s="7"/>
      <c r="H622" s="7"/>
      <c r="I622" s="7"/>
      <c r="J622" s="8"/>
      <c r="K622" s="9"/>
    </row>
    <row r="623">
      <c r="A623" s="6"/>
      <c r="B623" s="7"/>
      <c r="C623" s="7"/>
      <c r="D623" s="7"/>
      <c r="E623" s="7"/>
      <c r="F623" s="7"/>
      <c r="G623" s="7"/>
      <c r="H623" s="7"/>
      <c r="I623" s="7"/>
      <c r="J623" s="8"/>
      <c r="K623" s="9"/>
    </row>
    <row r="624">
      <c r="A624" s="6"/>
      <c r="B624" s="7"/>
      <c r="C624" s="7"/>
      <c r="D624" s="7"/>
      <c r="E624" s="7"/>
      <c r="F624" s="7"/>
      <c r="G624" s="7"/>
      <c r="H624" s="7"/>
      <c r="I624" s="7"/>
      <c r="J624" s="8"/>
      <c r="K624" s="9"/>
    </row>
    <row r="625">
      <c r="A625" s="6"/>
      <c r="B625" s="7"/>
      <c r="C625" s="7"/>
      <c r="D625" s="7"/>
      <c r="E625" s="7"/>
      <c r="F625" s="7"/>
      <c r="G625" s="7"/>
      <c r="H625" s="7"/>
      <c r="I625" s="7"/>
      <c r="J625" s="8"/>
      <c r="K625" s="9"/>
    </row>
    <row r="626">
      <c r="A626" s="6"/>
      <c r="B626" s="7"/>
      <c r="C626" s="7"/>
      <c r="D626" s="7"/>
      <c r="E626" s="7"/>
      <c r="F626" s="7"/>
      <c r="G626" s="7"/>
      <c r="H626" s="7"/>
      <c r="I626" s="7"/>
      <c r="J626" s="8"/>
      <c r="K626" s="9"/>
    </row>
    <row r="627">
      <c r="A627" s="6"/>
      <c r="B627" s="7"/>
      <c r="C627" s="7"/>
      <c r="D627" s="7"/>
      <c r="E627" s="7"/>
      <c r="F627" s="7"/>
      <c r="G627" s="7"/>
      <c r="H627" s="7"/>
      <c r="I627" s="7"/>
      <c r="J627" s="8"/>
      <c r="K627" s="9"/>
    </row>
    <row r="628">
      <c r="A628" s="6"/>
      <c r="B628" s="7"/>
      <c r="C628" s="7"/>
      <c r="D628" s="7"/>
      <c r="E628" s="7"/>
      <c r="F628" s="7"/>
      <c r="G628" s="7"/>
      <c r="H628" s="7"/>
      <c r="I628" s="7"/>
      <c r="J628" s="8"/>
      <c r="K628" s="9"/>
    </row>
    <row r="629">
      <c r="A629" s="6"/>
      <c r="B629" s="7"/>
      <c r="C629" s="7"/>
      <c r="D629" s="7"/>
      <c r="E629" s="7"/>
      <c r="F629" s="7"/>
      <c r="G629" s="7"/>
      <c r="H629" s="7"/>
      <c r="I629" s="7"/>
      <c r="J629" s="8"/>
      <c r="K629" s="9"/>
    </row>
    <row r="630">
      <c r="A630" s="6"/>
      <c r="B630" s="7"/>
      <c r="C630" s="7"/>
      <c r="D630" s="7"/>
      <c r="E630" s="7"/>
      <c r="F630" s="7"/>
      <c r="G630" s="7"/>
      <c r="H630" s="7"/>
      <c r="I630" s="7"/>
      <c r="J630" s="8"/>
      <c r="K630" s="9"/>
    </row>
    <row r="631">
      <c r="A631" s="6"/>
      <c r="B631" s="7"/>
      <c r="C631" s="7"/>
      <c r="D631" s="7"/>
      <c r="E631" s="7"/>
      <c r="F631" s="7"/>
      <c r="G631" s="7"/>
      <c r="H631" s="7"/>
      <c r="I631" s="7"/>
      <c r="J631" s="8"/>
      <c r="K631" s="9"/>
    </row>
    <row r="632">
      <c r="A632" s="6"/>
      <c r="B632" s="7"/>
      <c r="C632" s="7"/>
      <c r="D632" s="7"/>
      <c r="E632" s="7"/>
      <c r="F632" s="7"/>
      <c r="G632" s="7"/>
      <c r="H632" s="7"/>
      <c r="I632" s="7"/>
      <c r="J632" s="8"/>
      <c r="K632" s="9"/>
    </row>
    <row r="633">
      <c r="A633" s="6"/>
      <c r="B633" s="7"/>
      <c r="C633" s="7"/>
      <c r="D633" s="7"/>
      <c r="E633" s="7"/>
      <c r="F633" s="7"/>
      <c r="G633" s="7"/>
      <c r="H633" s="7"/>
      <c r="I633" s="7"/>
      <c r="J633" s="8"/>
      <c r="K633" s="9"/>
    </row>
    <row r="634">
      <c r="A634" s="6"/>
      <c r="B634" s="7"/>
      <c r="C634" s="7"/>
      <c r="D634" s="7"/>
      <c r="E634" s="7"/>
      <c r="F634" s="7"/>
      <c r="G634" s="7"/>
      <c r="H634" s="7"/>
      <c r="I634" s="7"/>
      <c r="J634" s="8"/>
      <c r="K634" s="9"/>
    </row>
    <row r="635">
      <c r="A635" s="6"/>
      <c r="B635" s="7"/>
      <c r="C635" s="7"/>
      <c r="D635" s="7"/>
      <c r="E635" s="7"/>
      <c r="F635" s="7"/>
      <c r="G635" s="7"/>
      <c r="H635" s="7"/>
      <c r="I635" s="7"/>
      <c r="J635" s="8"/>
      <c r="K635" s="9"/>
    </row>
    <row r="636">
      <c r="A636" s="6"/>
      <c r="B636" s="7"/>
      <c r="C636" s="7"/>
      <c r="D636" s="7"/>
      <c r="E636" s="7"/>
      <c r="F636" s="7"/>
      <c r="G636" s="7"/>
      <c r="H636" s="7"/>
      <c r="I636" s="7"/>
      <c r="J636" s="8"/>
      <c r="K636" s="9"/>
    </row>
    <row r="637">
      <c r="A637" s="6"/>
      <c r="B637" s="7"/>
      <c r="C637" s="7"/>
      <c r="D637" s="7"/>
      <c r="E637" s="7"/>
      <c r="F637" s="7"/>
      <c r="G637" s="7"/>
      <c r="H637" s="7"/>
      <c r="I637" s="7"/>
      <c r="J637" s="8"/>
      <c r="K637" s="9"/>
    </row>
    <row r="638">
      <c r="A638" s="6"/>
      <c r="B638" s="7"/>
      <c r="C638" s="7"/>
      <c r="D638" s="7"/>
      <c r="E638" s="7"/>
      <c r="F638" s="7"/>
      <c r="G638" s="7"/>
      <c r="H638" s="7"/>
      <c r="I638" s="7"/>
      <c r="J638" s="8"/>
      <c r="K638" s="9"/>
    </row>
    <row r="639">
      <c r="A639" s="6"/>
      <c r="B639" s="7"/>
      <c r="C639" s="7"/>
      <c r="D639" s="7"/>
      <c r="E639" s="7"/>
      <c r="F639" s="7"/>
      <c r="G639" s="7"/>
      <c r="H639" s="7"/>
      <c r="I639" s="7"/>
      <c r="J639" s="8"/>
      <c r="K639" s="9"/>
    </row>
    <row r="640">
      <c r="A640" s="6"/>
      <c r="B640" s="7"/>
      <c r="C640" s="7"/>
      <c r="D640" s="7"/>
      <c r="E640" s="7"/>
      <c r="F640" s="7"/>
      <c r="G640" s="7"/>
      <c r="H640" s="7"/>
      <c r="I640" s="7"/>
      <c r="J640" s="8"/>
      <c r="K640" s="9"/>
    </row>
    <row r="641">
      <c r="A641" s="6"/>
      <c r="B641" s="7"/>
      <c r="C641" s="7"/>
      <c r="D641" s="7"/>
      <c r="E641" s="7"/>
      <c r="F641" s="7"/>
      <c r="G641" s="7"/>
      <c r="H641" s="7"/>
      <c r="I641" s="7"/>
      <c r="J641" s="8"/>
      <c r="K641" s="9"/>
    </row>
    <row r="642">
      <c r="A642" s="6"/>
      <c r="B642" s="7"/>
      <c r="C642" s="7"/>
      <c r="D642" s="7"/>
      <c r="E642" s="7"/>
      <c r="F642" s="7"/>
      <c r="G642" s="7"/>
      <c r="H642" s="7"/>
      <c r="I642" s="7"/>
      <c r="J642" s="8"/>
      <c r="K642" s="9"/>
    </row>
    <row r="643">
      <c r="A643" s="6"/>
      <c r="B643" s="7"/>
      <c r="C643" s="7"/>
      <c r="D643" s="7"/>
      <c r="E643" s="7"/>
      <c r="F643" s="7"/>
      <c r="G643" s="7"/>
      <c r="H643" s="7"/>
      <c r="I643" s="7"/>
      <c r="J643" s="8"/>
      <c r="K643" s="9"/>
    </row>
    <row r="644">
      <c r="A644" s="6"/>
      <c r="B644" s="7"/>
      <c r="C644" s="7"/>
      <c r="D644" s="7"/>
      <c r="E644" s="7"/>
      <c r="F644" s="7"/>
      <c r="G644" s="7"/>
      <c r="H644" s="7"/>
      <c r="I644" s="7"/>
      <c r="J644" s="8"/>
      <c r="K644" s="9"/>
    </row>
    <row r="645">
      <c r="A645" s="6"/>
      <c r="B645" s="7"/>
      <c r="C645" s="7"/>
      <c r="D645" s="7"/>
      <c r="E645" s="7"/>
      <c r="F645" s="7"/>
      <c r="G645" s="7"/>
      <c r="H645" s="7"/>
      <c r="I645" s="7"/>
      <c r="J645" s="8"/>
      <c r="K645" s="9"/>
    </row>
    <row r="646">
      <c r="A646" s="6"/>
      <c r="B646" s="7"/>
      <c r="C646" s="7"/>
      <c r="D646" s="7"/>
      <c r="E646" s="7"/>
      <c r="F646" s="7"/>
      <c r="G646" s="7"/>
      <c r="H646" s="7"/>
      <c r="I646" s="7"/>
      <c r="J646" s="8"/>
      <c r="K646" s="9"/>
    </row>
    <row r="647">
      <c r="A647" s="6"/>
      <c r="B647" s="7"/>
      <c r="C647" s="7"/>
      <c r="D647" s="7"/>
      <c r="E647" s="7"/>
      <c r="F647" s="7"/>
      <c r="G647" s="7"/>
      <c r="H647" s="7"/>
      <c r="I647" s="7"/>
      <c r="J647" s="8"/>
      <c r="K647" s="9"/>
    </row>
    <row r="648">
      <c r="A648" s="6"/>
      <c r="B648" s="7"/>
      <c r="C648" s="7"/>
      <c r="D648" s="7"/>
      <c r="E648" s="7"/>
      <c r="F648" s="7"/>
      <c r="G648" s="7"/>
      <c r="H648" s="7"/>
      <c r="I648" s="7"/>
      <c r="J648" s="8"/>
      <c r="K648" s="9"/>
    </row>
    <row r="649">
      <c r="A649" s="6"/>
      <c r="B649" s="7"/>
      <c r="C649" s="7"/>
      <c r="D649" s="7"/>
      <c r="E649" s="7"/>
      <c r="F649" s="7"/>
      <c r="G649" s="7"/>
      <c r="H649" s="7"/>
      <c r="I649" s="7"/>
      <c r="J649" s="8"/>
      <c r="K649" s="9"/>
    </row>
    <row r="650">
      <c r="A650" s="6"/>
      <c r="B650" s="7"/>
      <c r="C650" s="7"/>
      <c r="D650" s="7"/>
      <c r="E650" s="7"/>
      <c r="F650" s="7"/>
      <c r="G650" s="7"/>
      <c r="H650" s="7"/>
      <c r="I650" s="7"/>
      <c r="J650" s="8"/>
      <c r="K650" s="9"/>
    </row>
    <row r="651">
      <c r="A651" s="6"/>
      <c r="B651" s="7"/>
      <c r="C651" s="7"/>
      <c r="D651" s="7"/>
      <c r="E651" s="7"/>
      <c r="F651" s="7"/>
      <c r="G651" s="7"/>
      <c r="H651" s="7"/>
      <c r="I651" s="7"/>
      <c r="J651" s="8"/>
      <c r="K651" s="9"/>
    </row>
    <row r="652">
      <c r="A652" s="6"/>
      <c r="B652" s="7"/>
      <c r="C652" s="7"/>
      <c r="D652" s="7"/>
      <c r="E652" s="7"/>
      <c r="F652" s="7"/>
      <c r="G652" s="7"/>
      <c r="H652" s="7"/>
      <c r="I652" s="7"/>
      <c r="J652" s="8"/>
      <c r="K652" s="9"/>
    </row>
    <row r="653">
      <c r="A653" s="6"/>
      <c r="B653" s="7"/>
      <c r="C653" s="7"/>
      <c r="D653" s="7"/>
      <c r="E653" s="7"/>
      <c r="F653" s="7"/>
      <c r="G653" s="7"/>
      <c r="H653" s="7"/>
      <c r="I653" s="7"/>
      <c r="J653" s="8"/>
      <c r="K653" s="9"/>
    </row>
    <row r="654">
      <c r="A654" s="6"/>
      <c r="B654" s="7"/>
      <c r="C654" s="7"/>
      <c r="D654" s="7"/>
      <c r="E654" s="7"/>
      <c r="F654" s="7"/>
      <c r="G654" s="7"/>
      <c r="H654" s="7"/>
      <c r="I654" s="7"/>
      <c r="J654" s="8"/>
      <c r="K654" s="9"/>
    </row>
    <row r="655">
      <c r="A655" s="6"/>
      <c r="B655" s="7"/>
      <c r="C655" s="7"/>
      <c r="D655" s="7"/>
      <c r="E655" s="7"/>
      <c r="F655" s="7"/>
      <c r="G655" s="7"/>
      <c r="H655" s="7"/>
      <c r="I655" s="7"/>
      <c r="J655" s="8"/>
      <c r="K655" s="9"/>
    </row>
    <row r="656">
      <c r="A656" s="6"/>
      <c r="B656" s="7"/>
      <c r="C656" s="7"/>
      <c r="D656" s="7"/>
      <c r="E656" s="7"/>
      <c r="F656" s="7"/>
      <c r="G656" s="7"/>
      <c r="H656" s="7"/>
      <c r="I656" s="7"/>
      <c r="J656" s="8"/>
      <c r="K656" s="9"/>
    </row>
    <row r="657">
      <c r="A657" s="6"/>
      <c r="B657" s="7"/>
      <c r="C657" s="7"/>
      <c r="D657" s="7"/>
      <c r="E657" s="7"/>
      <c r="F657" s="7"/>
      <c r="G657" s="7"/>
      <c r="H657" s="7"/>
      <c r="I657" s="7"/>
      <c r="J657" s="8"/>
      <c r="K657" s="9"/>
    </row>
    <row r="658">
      <c r="A658" s="6"/>
      <c r="B658" s="7"/>
      <c r="C658" s="7"/>
      <c r="D658" s="7"/>
      <c r="E658" s="7"/>
      <c r="F658" s="7"/>
      <c r="G658" s="7"/>
      <c r="H658" s="7"/>
      <c r="I658" s="7"/>
      <c r="J658" s="8"/>
      <c r="K658" s="9"/>
    </row>
    <row r="659">
      <c r="A659" s="6"/>
      <c r="B659" s="7"/>
      <c r="C659" s="7"/>
      <c r="D659" s="7"/>
      <c r="E659" s="7"/>
      <c r="F659" s="7"/>
      <c r="G659" s="7"/>
      <c r="H659" s="7"/>
      <c r="I659" s="7"/>
      <c r="J659" s="8"/>
      <c r="K659" s="9"/>
    </row>
    <row r="660">
      <c r="A660" s="6"/>
      <c r="B660" s="7"/>
      <c r="C660" s="7"/>
      <c r="D660" s="7"/>
      <c r="E660" s="7"/>
      <c r="F660" s="7"/>
      <c r="G660" s="7"/>
      <c r="H660" s="7"/>
      <c r="I660" s="7"/>
      <c r="J660" s="8"/>
      <c r="K660" s="9"/>
    </row>
    <row r="661">
      <c r="A661" s="6"/>
      <c r="B661" s="7"/>
      <c r="C661" s="7"/>
      <c r="D661" s="7"/>
      <c r="E661" s="7"/>
      <c r="F661" s="7"/>
      <c r="G661" s="7"/>
      <c r="H661" s="7"/>
      <c r="I661" s="7"/>
      <c r="J661" s="8"/>
      <c r="K661" s="9"/>
    </row>
    <row r="662">
      <c r="A662" s="6"/>
      <c r="B662" s="7"/>
      <c r="C662" s="7"/>
      <c r="D662" s="7"/>
      <c r="E662" s="7"/>
      <c r="F662" s="7"/>
      <c r="G662" s="7"/>
      <c r="H662" s="7"/>
      <c r="I662" s="7"/>
      <c r="J662" s="8"/>
      <c r="K662" s="9"/>
    </row>
    <row r="663">
      <c r="A663" s="6"/>
      <c r="B663" s="7"/>
      <c r="C663" s="7"/>
      <c r="D663" s="7"/>
      <c r="E663" s="7"/>
      <c r="F663" s="7"/>
      <c r="G663" s="7"/>
      <c r="H663" s="7"/>
      <c r="I663" s="7"/>
      <c r="J663" s="8"/>
      <c r="K663" s="9"/>
    </row>
    <row r="664">
      <c r="A664" s="6"/>
      <c r="B664" s="7"/>
      <c r="C664" s="7"/>
      <c r="D664" s="7"/>
      <c r="E664" s="7"/>
      <c r="F664" s="7"/>
      <c r="G664" s="7"/>
      <c r="H664" s="7"/>
      <c r="I664" s="7"/>
      <c r="J664" s="8"/>
      <c r="K664" s="9"/>
    </row>
    <row r="665">
      <c r="A665" s="6"/>
      <c r="B665" s="7"/>
      <c r="C665" s="7"/>
      <c r="D665" s="7"/>
      <c r="E665" s="7"/>
      <c r="F665" s="7"/>
      <c r="G665" s="7"/>
      <c r="H665" s="7"/>
      <c r="I665" s="7"/>
      <c r="J665" s="8"/>
      <c r="K665" s="9"/>
    </row>
    <row r="666">
      <c r="A666" s="6"/>
      <c r="B666" s="7"/>
      <c r="C666" s="7"/>
      <c r="D666" s="7"/>
      <c r="E666" s="7"/>
      <c r="F666" s="7"/>
      <c r="G666" s="7"/>
      <c r="H666" s="7"/>
      <c r="I666" s="7"/>
      <c r="J666" s="8"/>
      <c r="K666" s="9"/>
    </row>
    <row r="667">
      <c r="A667" s="6"/>
      <c r="B667" s="7"/>
      <c r="C667" s="7"/>
      <c r="D667" s="7"/>
      <c r="E667" s="7"/>
      <c r="F667" s="7"/>
      <c r="G667" s="7"/>
      <c r="H667" s="7"/>
      <c r="I667" s="7"/>
      <c r="J667" s="8"/>
      <c r="K667" s="9"/>
    </row>
    <row r="668">
      <c r="A668" s="6"/>
      <c r="B668" s="7"/>
      <c r="C668" s="7"/>
      <c r="D668" s="7"/>
      <c r="E668" s="7"/>
      <c r="F668" s="7"/>
      <c r="G668" s="7"/>
      <c r="H668" s="7"/>
      <c r="I668" s="7"/>
      <c r="J668" s="8"/>
      <c r="K668" s="9"/>
    </row>
    <row r="669">
      <c r="A669" s="6"/>
      <c r="B669" s="7"/>
      <c r="C669" s="7"/>
      <c r="D669" s="7"/>
      <c r="E669" s="7"/>
      <c r="F669" s="7"/>
      <c r="G669" s="7"/>
      <c r="H669" s="7"/>
      <c r="I669" s="7"/>
      <c r="J669" s="8"/>
      <c r="K669" s="9"/>
    </row>
    <row r="670">
      <c r="A670" s="6"/>
      <c r="B670" s="7"/>
      <c r="C670" s="7"/>
      <c r="D670" s="7"/>
      <c r="E670" s="7"/>
      <c r="F670" s="7"/>
      <c r="G670" s="7"/>
      <c r="H670" s="7"/>
      <c r="I670" s="7"/>
      <c r="J670" s="8"/>
      <c r="K670" s="9"/>
    </row>
    <row r="671">
      <c r="A671" s="6"/>
      <c r="B671" s="7"/>
      <c r="C671" s="7"/>
      <c r="D671" s="7"/>
      <c r="E671" s="7"/>
      <c r="F671" s="7"/>
      <c r="G671" s="7"/>
      <c r="H671" s="7"/>
      <c r="I671" s="7"/>
      <c r="J671" s="8"/>
      <c r="K671" s="9"/>
    </row>
    <row r="672">
      <c r="A672" s="6"/>
      <c r="B672" s="7"/>
      <c r="C672" s="7"/>
      <c r="D672" s="7"/>
      <c r="E672" s="7"/>
      <c r="F672" s="7"/>
      <c r="G672" s="7"/>
      <c r="H672" s="7"/>
      <c r="I672" s="7"/>
      <c r="J672" s="8"/>
      <c r="K672" s="9"/>
    </row>
    <row r="673">
      <c r="A673" s="6"/>
      <c r="B673" s="7"/>
      <c r="C673" s="7"/>
      <c r="D673" s="7"/>
      <c r="E673" s="7"/>
      <c r="F673" s="7"/>
      <c r="G673" s="7"/>
      <c r="H673" s="7"/>
      <c r="I673" s="7"/>
      <c r="J673" s="8"/>
      <c r="K673" s="9"/>
    </row>
    <row r="674">
      <c r="A674" s="6"/>
      <c r="B674" s="7"/>
      <c r="C674" s="7"/>
      <c r="D674" s="7"/>
      <c r="E674" s="7"/>
      <c r="F674" s="7"/>
      <c r="G674" s="7"/>
      <c r="H674" s="7"/>
      <c r="I674" s="7"/>
      <c r="J674" s="8"/>
      <c r="K674" s="9"/>
    </row>
    <row r="675">
      <c r="A675" s="6"/>
      <c r="B675" s="7"/>
      <c r="C675" s="7"/>
      <c r="D675" s="7"/>
      <c r="E675" s="7"/>
      <c r="F675" s="7"/>
      <c r="G675" s="7"/>
      <c r="H675" s="7"/>
      <c r="I675" s="7"/>
      <c r="J675" s="8"/>
      <c r="K675" s="9"/>
    </row>
    <row r="676">
      <c r="A676" s="6"/>
      <c r="B676" s="7"/>
      <c r="C676" s="7"/>
      <c r="D676" s="7"/>
      <c r="E676" s="7"/>
      <c r="F676" s="7"/>
      <c r="G676" s="7"/>
      <c r="H676" s="7"/>
      <c r="I676" s="7"/>
      <c r="J676" s="8"/>
      <c r="K676" s="9"/>
    </row>
    <row r="677">
      <c r="A677" s="6"/>
      <c r="B677" s="7"/>
      <c r="C677" s="7"/>
      <c r="D677" s="7"/>
      <c r="E677" s="7"/>
      <c r="F677" s="7"/>
      <c r="G677" s="7"/>
      <c r="H677" s="7"/>
      <c r="I677" s="7"/>
      <c r="J677" s="8"/>
      <c r="K677" s="9"/>
    </row>
    <row r="678">
      <c r="A678" s="6"/>
      <c r="B678" s="7"/>
      <c r="C678" s="7"/>
      <c r="D678" s="7"/>
      <c r="E678" s="7"/>
      <c r="F678" s="7"/>
      <c r="G678" s="7"/>
      <c r="H678" s="7"/>
      <c r="I678" s="7"/>
      <c r="J678" s="8"/>
      <c r="K678" s="9"/>
    </row>
    <row r="679">
      <c r="A679" s="6"/>
      <c r="B679" s="7"/>
      <c r="C679" s="7"/>
      <c r="D679" s="7"/>
      <c r="E679" s="7"/>
      <c r="F679" s="7"/>
      <c r="G679" s="7"/>
      <c r="H679" s="7"/>
      <c r="I679" s="7"/>
      <c r="J679" s="8"/>
      <c r="K679" s="9"/>
    </row>
    <row r="680">
      <c r="A680" s="6"/>
      <c r="B680" s="7"/>
      <c r="C680" s="7"/>
      <c r="D680" s="7"/>
      <c r="E680" s="7"/>
      <c r="F680" s="7"/>
      <c r="G680" s="7"/>
      <c r="H680" s="7"/>
      <c r="I680" s="7"/>
      <c r="J680" s="8"/>
      <c r="K680" s="9"/>
    </row>
    <row r="681">
      <c r="A681" s="6"/>
      <c r="B681" s="7"/>
      <c r="C681" s="7"/>
      <c r="D681" s="7"/>
      <c r="E681" s="7"/>
      <c r="F681" s="7"/>
      <c r="G681" s="7"/>
      <c r="H681" s="7"/>
      <c r="I681" s="7"/>
      <c r="J681" s="8"/>
      <c r="K681" s="9"/>
    </row>
    <row r="682">
      <c r="A682" s="6"/>
      <c r="B682" s="7"/>
      <c r="C682" s="7"/>
      <c r="D682" s="7"/>
      <c r="E682" s="7"/>
      <c r="F682" s="7"/>
      <c r="G682" s="7"/>
      <c r="H682" s="7"/>
      <c r="I682" s="7"/>
      <c r="J682" s="8"/>
      <c r="K682" s="9"/>
    </row>
    <row r="683">
      <c r="A683" s="6"/>
      <c r="B683" s="7"/>
      <c r="C683" s="7"/>
      <c r="D683" s="7"/>
      <c r="E683" s="7"/>
      <c r="F683" s="7"/>
      <c r="G683" s="7"/>
      <c r="H683" s="7"/>
      <c r="I683" s="7"/>
      <c r="J683" s="8"/>
      <c r="K683" s="9"/>
    </row>
    <row r="684">
      <c r="A684" s="6"/>
      <c r="B684" s="7"/>
      <c r="C684" s="7"/>
      <c r="D684" s="7"/>
      <c r="E684" s="7"/>
      <c r="F684" s="7"/>
      <c r="G684" s="7"/>
      <c r="H684" s="7"/>
      <c r="I684" s="7"/>
      <c r="J684" s="8"/>
      <c r="K684" s="9"/>
    </row>
    <row r="685">
      <c r="A685" s="6"/>
      <c r="B685" s="7"/>
      <c r="C685" s="7"/>
      <c r="D685" s="7"/>
      <c r="E685" s="7"/>
      <c r="F685" s="7"/>
      <c r="G685" s="7"/>
      <c r="H685" s="7"/>
      <c r="I685" s="7"/>
      <c r="J685" s="8"/>
      <c r="K685" s="9"/>
    </row>
    <row r="686">
      <c r="A686" s="6"/>
      <c r="B686" s="7"/>
      <c r="C686" s="7"/>
      <c r="D686" s="7"/>
      <c r="E686" s="7"/>
      <c r="F686" s="7"/>
      <c r="G686" s="7"/>
      <c r="H686" s="7"/>
      <c r="I686" s="7"/>
      <c r="J686" s="8"/>
      <c r="K686" s="9"/>
    </row>
    <row r="687">
      <c r="A687" s="6"/>
      <c r="B687" s="7"/>
      <c r="C687" s="7"/>
      <c r="D687" s="7"/>
      <c r="E687" s="7"/>
      <c r="F687" s="7"/>
      <c r="G687" s="7"/>
      <c r="H687" s="7"/>
      <c r="I687" s="7"/>
      <c r="J687" s="8"/>
      <c r="K687" s="9"/>
    </row>
    <row r="688">
      <c r="A688" s="6"/>
      <c r="B688" s="7"/>
      <c r="C688" s="7"/>
      <c r="D688" s="7"/>
      <c r="E688" s="7"/>
      <c r="F688" s="7"/>
      <c r="G688" s="7"/>
      <c r="H688" s="7"/>
      <c r="I688" s="7"/>
      <c r="J688" s="8"/>
      <c r="K688" s="9"/>
    </row>
    <row r="689">
      <c r="A689" s="6"/>
      <c r="B689" s="7"/>
      <c r="C689" s="7"/>
      <c r="D689" s="7"/>
      <c r="E689" s="7"/>
      <c r="F689" s="7"/>
      <c r="G689" s="7"/>
      <c r="H689" s="7"/>
      <c r="I689" s="7"/>
      <c r="J689" s="8"/>
      <c r="K689" s="9"/>
    </row>
    <row r="690">
      <c r="A690" s="6"/>
      <c r="B690" s="7"/>
      <c r="C690" s="7"/>
      <c r="D690" s="7"/>
      <c r="E690" s="7"/>
      <c r="F690" s="7"/>
      <c r="G690" s="7"/>
      <c r="H690" s="7"/>
      <c r="I690" s="7"/>
      <c r="J690" s="8"/>
      <c r="K690" s="9"/>
    </row>
    <row r="691">
      <c r="A691" s="6"/>
      <c r="B691" s="7"/>
      <c r="C691" s="7"/>
      <c r="D691" s="7"/>
      <c r="E691" s="7"/>
      <c r="F691" s="7"/>
      <c r="G691" s="7"/>
      <c r="H691" s="7"/>
      <c r="I691" s="7"/>
      <c r="J691" s="8"/>
      <c r="K691" s="9"/>
    </row>
    <row r="692">
      <c r="A692" s="6"/>
      <c r="B692" s="7"/>
      <c r="C692" s="7"/>
      <c r="D692" s="7"/>
      <c r="E692" s="7"/>
      <c r="F692" s="7"/>
      <c r="G692" s="7"/>
      <c r="H692" s="7"/>
      <c r="I692" s="7"/>
      <c r="J692" s="8"/>
      <c r="K692" s="9"/>
    </row>
    <row r="693">
      <c r="A693" s="6"/>
      <c r="B693" s="7"/>
      <c r="C693" s="7"/>
      <c r="D693" s="7"/>
      <c r="E693" s="7"/>
      <c r="F693" s="7"/>
      <c r="G693" s="7"/>
      <c r="H693" s="7"/>
      <c r="I693" s="7"/>
      <c r="J693" s="8"/>
      <c r="K693" s="9"/>
    </row>
    <row r="694">
      <c r="A694" s="6"/>
      <c r="B694" s="7"/>
      <c r="C694" s="7"/>
      <c r="D694" s="7"/>
      <c r="E694" s="7"/>
      <c r="F694" s="7"/>
      <c r="G694" s="7"/>
      <c r="H694" s="7"/>
      <c r="I694" s="7"/>
      <c r="J694" s="8"/>
      <c r="K694" s="9"/>
    </row>
    <row r="695">
      <c r="A695" s="6"/>
      <c r="B695" s="7"/>
      <c r="C695" s="7"/>
      <c r="D695" s="7"/>
      <c r="E695" s="7"/>
      <c r="F695" s="7"/>
      <c r="G695" s="7"/>
      <c r="H695" s="7"/>
      <c r="I695" s="7"/>
      <c r="J695" s="8"/>
      <c r="K695" s="9"/>
    </row>
    <row r="696">
      <c r="A696" s="6"/>
      <c r="B696" s="7"/>
      <c r="C696" s="7"/>
      <c r="D696" s="7"/>
      <c r="E696" s="7"/>
      <c r="F696" s="7"/>
      <c r="G696" s="7"/>
      <c r="H696" s="7"/>
      <c r="I696" s="7"/>
      <c r="J696" s="8"/>
      <c r="K696" s="9"/>
    </row>
    <row r="697">
      <c r="A697" s="6"/>
      <c r="B697" s="7"/>
      <c r="C697" s="7"/>
      <c r="D697" s="7"/>
      <c r="E697" s="7"/>
      <c r="F697" s="7"/>
      <c r="G697" s="7"/>
      <c r="H697" s="7"/>
      <c r="I697" s="7"/>
      <c r="J697" s="8"/>
      <c r="K697" s="9"/>
    </row>
    <row r="698">
      <c r="A698" s="6"/>
      <c r="B698" s="7"/>
      <c r="C698" s="7"/>
      <c r="D698" s="7"/>
      <c r="E698" s="7"/>
      <c r="F698" s="7"/>
      <c r="G698" s="7"/>
      <c r="H698" s="7"/>
      <c r="I698" s="7"/>
      <c r="J698" s="8"/>
      <c r="K698" s="9"/>
    </row>
    <row r="699">
      <c r="A699" s="6"/>
      <c r="B699" s="7"/>
      <c r="C699" s="7"/>
      <c r="D699" s="7"/>
      <c r="E699" s="7"/>
      <c r="F699" s="7"/>
      <c r="G699" s="7"/>
      <c r="H699" s="7"/>
      <c r="I699" s="7"/>
      <c r="J699" s="8"/>
      <c r="K699" s="9"/>
    </row>
    <row r="700">
      <c r="A700" s="6"/>
      <c r="B700" s="7"/>
      <c r="C700" s="7"/>
      <c r="D700" s="7"/>
      <c r="E700" s="7"/>
      <c r="F700" s="7"/>
      <c r="G700" s="7"/>
      <c r="H700" s="7"/>
      <c r="I700" s="7"/>
      <c r="J700" s="8"/>
      <c r="K700" s="9"/>
    </row>
    <row r="701">
      <c r="A701" s="6"/>
      <c r="B701" s="7"/>
      <c r="C701" s="7"/>
      <c r="D701" s="7"/>
      <c r="E701" s="7"/>
      <c r="F701" s="7"/>
      <c r="G701" s="7"/>
      <c r="H701" s="7"/>
      <c r="I701" s="7"/>
      <c r="J701" s="8"/>
      <c r="K701" s="9"/>
    </row>
    <row r="702">
      <c r="A702" s="6"/>
      <c r="B702" s="7"/>
      <c r="C702" s="7"/>
      <c r="D702" s="7"/>
      <c r="E702" s="7"/>
      <c r="F702" s="7"/>
      <c r="G702" s="7"/>
      <c r="H702" s="7"/>
      <c r="I702" s="7"/>
      <c r="J702" s="8"/>
      <c r="K702" s="9"/>
    </row>
    <row r="703">
      <c r="A703" s="6"/>
      <c r="B703" s="7"/>
      <c r="C703" s="7"/>
      <c r="D703" s="7"/>
      <c r="E703" s="7"/>
      <c r="F703" s="7"/>
      <c r="G703" s="7"/>
      <c r="H703" s="7"/>
      <c r="I703" s="7"/>
      <c r="J703" s="8"/>
      <c r="K703" s="9"/>
    </row>
    <row r="704">
      <c r="A704" s="6"/>
      <c r="B704" s="7"/>
      <c r="C704" s="7"/>
      <c r="D704" s="7"/>
      <c r="E704" s="7"/>
      <c r="F704" s="7"/>
      <c r="G704" s="7"/>
      <c r="H704" s="7"/>
      <c r="I704" s="7"/>
      <c r="J704" s="8"/>
      <c r="K704" s="9"/>
    </row>
    <row r="705">
      <c r="A705" s="6"/>
      <c r="B705" s="7"/>
      <c r="C705" s="7"/>
      <c r="D705" s="7"/>
      <c r="E705" s="7"/>
      <c r="F705" s="7"/>
      <c r="G705" s="7"/>
      <c r="H705" s="7"/>
      <c r="I705" s="7"/>
      <c r="J705" s="8"/>
      <c r="K705" s="9"/>
    </row>
    <row r="706">
      <c r="A706" s="6"/>
      <c r="B706" s="7"/>
      <c r="C706" s="7"/>
      <c r="D706" s="7"/>
      <c r="E706" s="7"/>
      <c r="F706" s="7"/>
      <c r="G706" s="7"/>
      <c r="H706" s="7"/>
      <c r="I706" s="7"/>
      <c r="J706" s="8"/>
      <c r="K706" s="9"/>
    </row>
    <row r="707">
      <c r="A707" s="6"/>
      <c r="B707" s="7"/>
      <c r="C707" s="7"/>
      <c r="D707" s="7"/>
      <c r="E707" s="7"/>
      <c r="F707" s="7"/>
      <c r="G707" s="7"/>
      <c r="H707" s="7"/>
      <c r="I707" s="7"/>
      <c r="J707" s="8"/>
      <c r="K707" s="9"/>
    </row>
    <row r="708">
      <c r="A708" s="6"/>
      <c r="B708" s="7"/>
      <c r="C708" s="7"/>
      <c r="D708" s="7"/>
      <c r="E708" s="7"/>
      <c r="F708" s="7"/>
      <c r="G708" s="7"/>
      <c r="H708" s="7"/>
      <c r="I708" s="7"/>
      <c r="J708" s="8"/>
      <c r="K708" s="9"/>
    </row>
    <row r="709">
      <c r="A709" s="6"/>
      <c r="B709" s="7"/>
      <c r="C709" s="7"/>
      <c r="D709" s="7"/>
      <c r="E709" s="7"/>
      <c r="F709" s="7"/>
      <c r="G709" s="7"/>
      <c r="H709" s="7"/>
      <c r="I709" s="7"/>
      <c r="J709" s="8"/>
      <c r="K709" s="9"/>
    </row>
    <row r="710">
      <c r="A710" s="6"/>
      <c r="B710" s="7"/>
      <c r="C710" s="7"/>
      <c r="D710" s="7"/>
      <c r="E710" s="7"/>
      <c r="F710" s="7"/>
      <c r="G710" s="7"/>
      <c r="H710" s="7"/>
      <c r="I710" s="7"/>
      <c r="J710" s="8"/>
      <c r="K710" s="9"/>
    </row>
    <row r="711">
      <c r="A711" s="6"/>
      <c r="B711" s="7"/>
      <c r="C711" s="7"/>
      <c r="D711" s="7"/>
      <c r="E711" s="7"/>
      <c r="F711" s="7"/>
      <c r="G711" s="7"/>
      <c r="H711" s="7"/>
      <c r="I711" s="7"/>
      <c r="J711" s="8"/>
      <c r="K711" s="9"/>
    </row>
    <row r="712">
      <c r="A712" s="6"/>
      <c r="B712" s="7"/>
      <c r="C712" s="7"/>
      <c r="D712" s="7"/>
      <c r="E712" s="7"/>
      <c r="F712" s="7"/>
      <c r="G712" s="7"/>
      <c r="H712" s="7"/>
      <c r="I712" s="7"/>
      <c r="J712" s="8"/>
      <c r="K712" s="9"/>
    </row>
    <row r="713">
      <c r="A713" s="6"/>
      <c r="B713" s="7"/>
      <c r="C713" s="7"/>
      <c r="D713" s="7"/>
      <c r="E713" s="7"/>
      <c r="F713" s="7"/>
      <c r="G713" s="7"/>
      <c r="H713" s="7"/>
      <c r="I713" s="7"/>
      <c r="J713" s="8"/>
      <c r="K713" s="9"/>
    </row>
    <row r="714">
      <c r="A714" s="6"/>
      <c r="B714" s="7"/>
      <c r="C714" s="7"/>
      <c r="D714" s="7"/>
      <c r="E714" s="7"/>
      <c r="F714" s="7"/>
      <c r="G714" s="7"/>
      <c r="H714" s="7"/>
      <c r="I714" s="7"/>
      <c r="J714" s="8"/>
      <c r="K714" s="9"/>
    </row>
    <row r="715">
      <c r="A715" s="6"/>
      <c r="B715" s="7"/>
      <c r="C715" s="7"/>
      <c r="D715" s="7"/>
      <c r="E715" s="7"/>
      <c r="F715" s="7"/>
      <c r="G715" s="7"/>
      <c r="H715" s="7"/>
      <c r="I715" s="7"/>
      <c r="J715" s="8"/>
      <c r="K715" s="9"/>
    </row>
    <row r="716">
      <c r="A716" s="6"/>
      <c r="B716" s="7"/>
      <c r="C716" s="7"/>
      <c r="D716" s="7"/>
      <c r="E716" s="7"/>
      <c r="F716" s="7"/>
      <c r="G716" s="7"/>
      <c r="H716" s="7"/>
      <c r="I716" s="7"/>
      <c r="J716" s="8"/>
      <c r="K716" s="9"/>
    </row>
    <row r="717">
      <c r="A717" s="6"/>
      <c r="B717" s="7"/>
      <c r="C717" s="7"/>
      <c r="D717" s="7"/>
      <c r="E717" s="7"/>
      <c r="F717" s="7"/>
      <c r="G717" s="7"/>
      <c r="H717" s="7"/>
      <c r="I717" s="7"/>
      <c r="J717" s="8"/>
      <c r="K717" s="9"/>
    </row>
    <row r="718">
      <c r="A718" s="6"/>
      <c r="B718" s="7"/>
      <c r="C718" s="7"/>
      <c r="D718" s="7"/>
      <c r="E718" s="7"/>
      <c r="F718" s="7"/>
      <c r="G718" s="7"/>
      <c r="H718" s="7"/>
      <c r="I718" s="7"/>
      <c r="J718" s="8"/>
      <c r="K718" s="9"/>
    </row>
    <row r="719">
      <c r="A719" s="6"/>
      <c r="B719" s="7"/>
      <c r="C719" s="7"/>
      <c r="D719" s="7"/>
      <c r="E719" s="7"/>
      <c r="F719" s="7"/>
      <c r="G719" s="7"/>
      <c r="H719" s="7"/>
      <c r="I719" s="7"/>
      <c r="J719" s="8"/>
      <c r="K719" s="9"/>
    </row>
    <row r="720">
      <c r="A720" s="6"/>
      <c r="B720" s="7"/>
      <c r="C720" s="7"/>
      <c r="D720" s="7"/>
      <c r="E720" s="7"/>
      <c r="F720" s="7"/>
      <c r="G720" s="7"/>
      <c r="H720" s="7"/>
      <c r="I720" s="7"/>
      <c r="J720" s="8"/>
      <c r="K720" s="9"/>
    </row>
    <row r="721">
      <c r="A721" s="6"/>
      <c r="B721" s="7"/>
      <c r="C721" s="7"/>
      <c r="D721" s="7"/>
      <c r="E721" s="7"/>
      <c r="F721" s="7"/>
      <c r="G721" s="7"/>
      <c r="H721" s="7"/>
      <c r="I721" s="7"/>
      <c r="J721" s="8"/>
      <c r="K721" s="9"/>
    </row>
    <row r="722">
      <c r="A722" s="6"/>
      <c r="B722" s="7"/>
      <c r="C722" s="7"/>
      <c r="D722" s="7"/>
      <c r="E722" s="7"/>
      <c r="F722" s="7"/>
      <c r="G722" s="7"/>
      <c r="H722" s="7"/>
      <c r="I722" s="7"/>
      <c r="J722" s="8"/>
      <c r="K722" s="9"/>
    </row>
    <row r="723">
      <c r="A723" s="6"/>
      <c r="B723" s="7"/>
      <c r="C723" s="7"/>
      <c r="D723" s="7"/>
      <c r="E723" s="7"/>
      <c r="F723" s="7"/>
      <c r="G723" s="7"/>
      <c r="H723" s="7"/>
      <c r="I723" s="7"/>
      <c r="J723" s="8"/>
      <c r="K723" s="9"/>
    </row>
    <row r="724">
      <c r="A724" s="6"/>
      <c r="B724" s="7"/>
      <c r="C724" s="7"/>
      <c r="D724" s="7"/>
      <c r="E724" s="7"/>
      <c r="F724" s="7"/>
      <c r="G724" s="7"/>
      <c r="H724" s="7"/>
      <c r="I724" s="7"/>
      <c r="J724" s="8"/>
      <c r="K724" s="9"/>
    </row>
    <row r="725">
      <c r="A725" s="6"/>
      <c r="B725" s="7"/>
      <c r="C725" s="7"/>
      <c r="D725" s="7"/>
      <c r="E725" s="7"/>
      <c r="F725" s="7"/>
      <c r="G725" s="7"/>
      <c r="H725" s="7"/>
      <c r="I725" s="7"/>
      <c r="J725" s="8"/>
      <c r="K725" s="9"/>
    </row>
    <row r="726">
      <c r="A726" s="6"/>
      <c r="B726" s="7"/>
      <c r="C726" s="7"/>
      <c r="D726" s="7"/>
      <c r="E726" s="7"/>
      <c r="F726" s="7"/>
      <c r="G726" s="7"/>
      <c r="H726" s="7"/>
      <c r="I726" s="7"/>
      <c r="J726" s="8"/>
      <c r="K726" s="9"/>
    </row>
    <row r="727">
      <c r="A727" s="6"/>
      <c r="B727" s="7"/>
      <c r="C727" s="7"/>
      <c r="D727" s="7"/>
      <c r="E727" s="7"/>
      <c r="F727" s="7"/>
      <c r="G727" s="7"/>
      <c r="H727" s="7"/>
      <c r="I727" s="7"/>
      <c r="J727" s="8"/>
      <c r="K727" s="9"/>
    </row>
    <row r="728">
      <c r="A728" s="6"/>
      <c r="B728" s="7"/>
      <c r="C728" s="7"/>
      <c r="D728" s="7"/>
      <c r="E728" s="7"/>
      <c r="F728" s="7"/>
      <c r="G728" s="7"/>
      <c r="H728" s="7"/>
      <c r="I728" s="7"/>
      <c r="J728" s="8"/>
      <c r="K728" s="9"/>
    </row>
    <row r="729">
      <c r="A729" s="6"/>
      <c r="B729" s="7"/>
      <c r="C729" s="7"/>
      <c r="D729" s="7"/>
      <c r="E729" s="7"/>
      <c r="F729" s="7"/>
      <c r="G729" s="7"/>
      <c r="H729" s="7"/>
      <c r="I729" s="7"/>
      <c r="J729" s="8"/>
      <c r="K729" s="9"/>
    </row>
    <row r="730">
      <c r="A730" s="6"/>
      <c r="B730" s="7"/>
      <c r="C730" s="7"/>
      <c r="D730" s="7"/>
      <c r="E730" s="7"/>
      <c r="F730" s="7"/>
      <c r="G730" s="7"/>
      <c r="H730" s="7"/>
      <c r="I730" s="7"/>
      <c r="J730" s="8"/>
      <c r="K730" s="9"/>
    </row>
    <row r="731">
      <c r="A731" s="6"/>
      <c r="B731" s="7"/>
      <c r="C731" s="7"/>
      <c r="D731" s="7"/>
      <c r="E731" s="7"/>
      <c r="F731" s="7"/>
      <c r="G731" s="7"/>
      <c r="H731" s="7"/>
      <c r="I731" s="7"/>
      <c r="J731" s="8"/>
      <c r="K731" s="9"/>
    </row>
    <row r="732">
      <c r="A732" s="6"/>
      <c r="B732" s="7"/>
      <c r="C732" s="7"/>
      <c r="D732" s="7"/>
      <c r="E732" s="7"/>
      <c r="F732" s="7"/>
      <c r="G732" s="7"/>
      <c r="H732" s="7"/>
      <c r="I732" s="7"/>
      <c r="J732" s="8"/>
      <c r="K732" s="9"/>
    </row>
    <row r="733">
      <c r="A733" s="6"/>
      <c r="B733" s="7"/>
      <c r="C733" s="7"/>
      <c r="D733" s="7"/>
      <c r="E733" s="7"/>
      <c r="F733" s="7"/>
      <c r="G733" s="7"/>
      <c r="H733" s="7"/>
      <c r="I733" s="7"/>
      <c r="J733" s="8"/>
      <c r="K733" s="9"/>
    </row>
    <row r="734">
      <c r="A734" s="6"/>
      <c r="B734" s="7"/>
      <c r="C734" s="7"/>
      <c r="D734" s="7"/>
      <c r="E734" s="7"/>
      <c r="F734" s="7"/>
      <c r="G734" s="7"/>
      <c r="H734" s="7"/>
      <c r="I734" s="7"/>
      <c r="J734" s="8"/>
      <c r="K734" s="9"/>
    </row>
    <row r="735">
      <c r="A735" s="6"/>
      <c r="B735" s="7"/>
      <c r="C735" s="7"/>
      <c r="D735" s="7"/>
      <c r="E735" s="7"/>
      <c r="F735" s="7"/>
      <c r="G735" s="7"/>
      <c r="H735" s="7"/>
      <c r="I735" s="7"/>
      <c r="J735" s="8"/>
      <c r="K735" s="9"/>
    </row>
    <row r="736">
      <c r="A736" s="6"/>
      <c r="B736" s="7"/>
      <c r="C736" s="7"/>
      <c r="D736" s="7"/>
      <c r="E736" s="7"/>
      <c r="F736" s="7"/>
      <c r="G736" s="7"/>
      <c r="H736" s="7"/>
      <c r="I736" s="7"/>
      <c r="J736" s="8"/>
      <c r="K736" s="9"/>
    </row>
    <row r="737">
      <c r="A737" s="6"/>
      <c r="B737" s="7"/>
      <c r="C737" s="7"/>
      <c r="D737" s="7"/>
      <c r="E737" s="7"/>
      <c r="F737" s="7"/>
      <c r="G737" s="7"/>
      <c r="H737" s="7"/>
      <c r="I737" s="7"/>
      <c r="J737" s="8"/>
      <c r="K737" s="9"/>
    </row>
    <row r="738">
      <c r="A738" s="6"/>
      <c r="B738" s="7"/>
      <c r="C738" s="7"/>
      <c r="D738" s="7"/>
      <c r="E738" s="7"/>
      <c r="F738" s="7"/>
      <c r="G738" s="7"/>
      <c r="H738" s="7"/>
      <c r="I738" s="7"/>
      <c r="J738" s="8"/>
      <c r="K738" s="9"/>
    </row>
    <row r="739">
      <c r="A739" s="6"/>
      <c r="B739" s="7"/>
      <c r="C739" s="7"/>
      <c r="D739" s="7"/>
      <c r="E739" s="7"/>
      <c r="F739" s="7"/>
      <c r="G739" s="7"/>
      <c r="H739" s="7"/>
      <c r="I739" s="7"/>
      <c r="J739" s="8"/>
      <c r="K739" s="9"/>
    </row>
    <row r="740">
      <c r="A740" s="6"/>
      <c r="B740" s="7"/>
      <c r="C740" s="7"/>
      <c r="D740" s="7"/>
      <c r="E740" s="7"/>
      <c r="F740" s="7"/>
      <c r="G740" s="7"/>
      <c r="H740" s="7"/>
      <c r="I740" s="7"/>
      <c r="J740" s="8"/>
      <c r="K740" s="9"/>
    </row>
    <row r="741">
      <c r="A741" s="6"/>
      <c r="B741" s="7"/>
      <c r="C741" s="7"/>
      <c r="D741" s="7"/>
      <c r="E741" s="7"/>
      <c r="F741" s="7"/>
      <c r="G741" s="7"/>
      <c r="H741" s="7"/>
      <c r="I741" s="7"/>
      <c r="J741" s="8"/>
      <c r="K741" s="9"/>
    </row>
    <row r="742">
      <c r="A742" s="6"/>
      <c r="B742" s="7"/>
      <c r="C742" s="7"/>
      <c r="D742" s="7"/>
      <c r="E742" s="7"/>
      <c r="F742" s="7"/>
      <c r="G742" s="7"/>
      <c r="H742" s="7"/>
      <c r="I742" s="7"/>
      <c r="J742" s="8"/>
      <c r="K742" s="9"/>
    </row>
    <row r="743">
      <c r="A743" s="6"/>
      <c r="B743" s="7"/>
      <c r="C743" s="7"/>
      <c r="D743" s="7"/>
      <c r="E743" s="7"/>
      <c r="F743" s="7"/>
      <c r="G743" s="7"/>
      <c r="H743" s="7"/>
      <c r="I743" s="7"/>
      <c r="J743" s="8"/>
      <c r="K743" s="9"/>
    </row>
    <row r="744">
      <c r="A744" s="6"/>
      <c r="B744" s="7"/>
      <c r="C744" s="7"/>
      <c r="D744" s="7"/>
      <c r="E744" s="7"/>
      <c r="F744" s="7"/>
      <c r="G744" s="7"/>
      <c r="H744" s="7"/>
      <c r="I744" s="7"/>
      <c r="J744" s="8"/>
      <c r="K744" s="9"/>
    </row>
    <row r="745">
      <c r="A745" s="6"/>
      <c r="B745" s="7"/>
      <c r="C745" s="7"/>
      <c r="D745" s="7"/>
      <c r="E745" s="7"/>
      <c r="F745" s="7"/>
      <c r="G745" s="7"/>
      <c r="H745" s="7"/>
      <c r="I745" s="7"/>
      <c r="J745" s="8"/>
      <c r="K745" s="9"/>
    </row>
    <row r="746">
      <c r="A746" s="6"/>
      <c r="B746" s="7"/>
      <c r="C746" s="7"/>
      <c r="D746" s="7"/>
      <c r="E746" s="7"/>
      <c r="F746" s="7"/>
      <c r="G746" s="7"/>
      <c r="H746" s="7"/>
      <c r="I746" s="7"/>
      <c r="J746" s="8"/>
      <c r="K746" s="9"/>
    </row>
    <row r="747">
      <c r="A747" s="6"/>
      <c r="B747" s="7"/>
      <c r="C747" s="7"/>
      <c r="D747" s="7"/>
      <c r="E747" s="7"/>
      <c r="F747" s="7"/>
      <c r="G747" s="7"/>
      <c r="H747" s="7"/>
      <c r="I747" s="7"/>
      <c r="J747" s="8"/>
      <c r="K747" s="9"/>
    </row>
    <row r="748">
      <c r="A748" s="6"/>
      <c r="B748" s="7"/>
      <c r="C748" s="7"/>
      <c r="D748" s="7"/>
      <c r="E748" s="7"/>
      <c r="F748" s="7"/>
      <c r="G748" s="7"/>
      <c r="H748" s="7"/>
      <c r="I748" s="7"/>
      <c r="J748" s="8"/>
      <c r="K748" s="9"/>
    </row>
    <row r="749">
      <c r="A749" s="6"/>
      <c r="B749" s="7"/>
      <c r="C749" s="7"/>
      <c r="D749" s="7"/>
      <c r="E749" s="7"/>
      <c r="F749" s="7"/>
      <c r="G749" s="7"/>
      <c r="H749" s="7"/>
      <c r="I749" s="7"/>
      <c r="J749" s="8"/>
      <c r="K749" s="9"/>
    </row>
    <row r="750">
      <c r="A750" s="6"/>
      <c r="B750" s="7"/>
      <c r="C750" s="7"/>
      <c r="D750" s="7"/>
      <c r="E750" s="7"/>
      <c r="F750" s="7"/>
      <c r="G750" s="7"/>
      <c r="H750" s="7"/>
      <c r="I750" s="7"/>
      <c r="J750" s="8"/>
      <c r="K750" s="9"/>
    </row>
    <row r="751">
      <c r="A751" s="6"/>
      <c r="B751" s="7"/>
      <c r="C751" s="7"/>
      <c r="D751" s="7"/>
      <c r="E751" s="7"/>
      <c r="F751" s="7"/>
      <c r="G751" s="7"/>
      <c r="H751" s="7"/>
      <c r="I751" s="7"/>
      <c r="J751" s="8"/>
      <c r="K751" s="9"/>
    </row>
    <row r="752">
      <c r="A752" s="6"/>
      <c r="B752" s="7"/>
      <c r="C752" s="7"/>
      <c r="D752" s="7"/>
      <c r="E752" s="7"/>
      <c r="F752" s="7"/>
      <c r="G752" s="7"/>
      <c r="H752" s="7"/>
      <c r="I752" s="7"/>
      <c r="J752" s="8"/>
      <c r="K752" s="9"/>
    </row>
    <row r="753">
      <c r="A753" s="6"/>
      <c r="B753" s="7"/>
      <c r="C753" s="7"/>
      <c r="D753" s="7"/>
      <c r="E753" s="7"/>
      <c r="F753" s="7"/>
      <c r="G753" s="7"/>
      <c r="H753" s="7"/>
      <c r="I753" s="7"/>
      <c r="J753" s="8"/>
      <c r="K753" s="9"/>
    </row>
    <row r="754">
      <c r="A754" s="6"/>
      <c r="B754" s="7"/>
      <c r="C754" s="7"/>
      <c r="D754" s="7"/>
      <c r="E754" s="7"/>
      <c r="F754" s="7"/>
      <c r="G754" s="7"/>
      <c r="H754" s="7"/>
      <c r="I754" s="7"/>
      <c r="J754" s="8"/>
      <c r="K754" s="9"/>
    </row>
    <row r="755">
      <c r="A755" s="6"/>
      <c r="B755" s="7"/>
      <c r="C755" s="7"/>
      <c r="D755" s="7"/>
      <c r="E755" s="7"/>
      <c r="F755" s="7"/>
      <c r="G755" s="7"/>
      <c r="H755" s="7"/>
      <c r="I755" s="7"/>
      <c r="J755" s="8"/>
      <c r="K755" s="9"/>
    </row>
    <row r="756">
      <c r="A756" s="6"/>
      <c r="B756" s="7"/>
      <c r="C756" s="7"/>
      <c r="D756" s="7"/>
      <c r="E756" s="7"/>
      <c r="F756" s="7"/>
      <c r="G756" s="7"/>
      <c r="H756" s="7"/>
      <c r="I756" s="7"/>
      <c r="J756" s="8"/>
      <c r="K756" s="9"/>
    </row>
    <row r="757">
      <c r="A757" s="6"/>
      <c r="B757" s="7"/>
      <c r="C757" s="7"/>
      <c r="D757" s="7"/>
      <c r="E757" s="7"/>
      <c r="F757" s="7"/>
      <c r="G757" s="7"/>
      <c r="H757" s="7"/>
      <c r="I757" s="7"/>
      <c r="J757" s="8"/>
      <c r="K757" s="9"/>
    </row>
    <row r="758">
      <c r="A758" s="6"/>
      <c r="B758" s="7"/>
      <c r="C758" s="7"/>
      <c r="D758" s="7"/>
      <c r="E758" s="7"/>
      <c r="F758" s="7"/>
      <c r="G758" s="7"/>
      <c r="H758" s="7"/>
      <c r="I758" s="7"/>
      <c r="J758" s="8"/>
      <c r="K758" s="9"/>
    </row>
    <row r="759">
      <c r="A759" s="6"/>
      <c r="B759" s="7"/>
      <c r="C759" s="7"/>
      <c r="D759" s="7"/>
      <c r="E759" s="7"/>
      <c r="F759" s="7"/>
      <c r="G759" s="7"/>
      <c r="H759" s="7"/>
      <c r="I759" s="7"/>
      <c r="J759" s="8"/>
      <c r="K759" s="9"/>
    </row>
    <row r="760">
      <c r="A760" s="6"/>
      <c r="B760" s="7"/>
      <c r="C760" s="7"/>
      <c r="D760" s="7"/>
      <c r="E760" s="7"/>
      <c r="F760" s="7"/>
      <c r="G760" s="7"/>
      <c r="H760" s="7"/>
      <c r="I760" s="7"/>
      <c r="J760" s="8"/>
      <c r="K760" s="9"/>
    </row>
    <row r="761">
      <c r="A761" s="6"/>
      <c r="B761" s="7"/>
      <c r="C761" s="7"/>
      <c r="D761" s="7"/>
      <c r="E761" s="7"/>
      <c r="F761" s="7"/>
      <c r="G761" s="7"/>
      <c r="H761" s="7"/>
      <c r="I761" s="7"/>
      <c r="J761" s="8"/>
      <c r="K761" s="9"/>
    </row>
    <row r="762">
      <c r="A762" s="6"/>
      <c r="B762" s="7"/>
      <c r="C762" s="7"/>
      <c r="D762" s="7"/>
      <c r="E762" s="7"/>
      <c r="F762" s="7"/>
      <c r="G762" s="7"/>
      <c r="H762" s="7"/>
      <c r="I762" s="7"/>
      <c r="J762" s="8"/>
      <c r="K762" s="9"/>
    </row>
    <row r="763">
      <c r="A763" s="6"/>
      <c r="B763" s="7"/>
      <c r="C763" s="7"/>
      <c r="D763" s="7"/>
      <c r="E763" s="7"/>
      <c r="F763" s="7"/>
      <c r="G763" s="7"/>
      <c r="H763" s="7"/>
      <c r="I763" s="7"/>
      <c r="J763" s="8"/>
      <c r="K763" s="9"/>
    </row>
    <row r="764">
      <c r="A764" s="6"/>
      <c r="B764" s="7"/>
      <c r="C764" s="7"/>
      <c r="D764" s="7"/>
      <c r="E764" s="7"/>
      <c r="F764" s="7"/>
      <c r="G764" s="7"/>
      <c r="H764" s="7"/>
      <c r="I764" s="7"/>
      <c r="J764" s="8"/>
      <c r="K764" s="9"/>
    </row>
    <row r="765">
      <c r="A765" s="6"/>
      <c r="B765" s="7"/>
      <c r="C765" s="7"/>
      <c r="D765" s="7"/>
      <c r="E765" s="7"/>
      <c r="F765" s="7"/>
      <c r="G765" s="7"/>
      <c r="H765" s="7"/>
      <c r="I765" s="7"/>
      <c r="J765" s="8"/>
      <c r="K765" s="9"/>
    </row>
    <row r="766">
      <c r="A766" s="6"/>
      <c r="B766" s="7"/>
      <c r="C766" s="7"/>
      <c r="D766" s="7"/>
      <c r="E766" s="7"/>
      <c r="F766" s="7"/>
      <c r="G766" s="7"/>
      <c r="H766" s="7"/>
      <c r="I766" s="7"/>
      <c r="J766" s="8"/>
      <c r="K766" s="9"/>
    </row>
    <row r="767">
      <c r="A767" s="6"/>
      <c r="B767" s="7"/>
      <c r="C767" s="7"/>
      <c r="D767" s="7"/>
      <c r="E767" s="7"/>
      <c r="F767" s="7"/>
      <c r="G767" s="7"/>
      <c r="H767" s="7"/>
      <c r="I767" s="7"/>
      <c r="J767" s="8"/>
      <c r="K767" s="9"/>
    </row>
    <row r="768">
      <c r="A768" s="6"/>
      <c r="B768" s="7"/>
      <c r="C768" s="7"/>
      <c r="D768" s="7"/>
      <c r="E768" s="7"/>
      <c r="F768" s="7"/>
      <c r="G768" s="7"/>
      <c r="H768" s="7"/>
      <c r="I768" s="7"/>
      <c r="J768" s="8"/>
      <c r="K768" s="9"/>
    </row>
    <row r="769">
      <c r="A769" s="6"/>
      <c r="B769" s="7"/>
      <c r="C769" s="7"/>
      <c r="D769" s="7"/>
      <c r="E769" s="7"/>
      <c r="F769" s="7"/>
      <c r="G769" s="7"/>
      <c r="H769" s="7"/>
      <c r="I769" s="7"/>
      <c r="J769" s="8"/>
      <c r="K769" s="9"/>
    </row>
    <row r="770">
      <c r="A770" s="6"/>
      <c r="B770" s="7"/>
      <c r="C770" s="7"/>
      <c r="D770" s="7"/>
      <c r="E770" s="7"/>
      <c r="F770" s="7"/>
      <c r="G770" s="7"/>
      <c r="H770" s="7"/>
      <c r="I770" s="7"/>
      <c r="J770" s="8"/>
      <c r="K770" s="9"/>
    </row>
    <row r="771">
      <c r="A771" s="6"/>
      <c r="B771" s="7"/>
      <c r="C771" s="7"/>
      <c r="D771" s="7"/>
      <c r="E771" s="7"/>
      <c r="F771" s="7"/>
      <c r="G771" s="7"/>
      <c r="H771" s="7"/>
      <c r="I771" s="7"/>
      <c r="J771" s="8"/>
      <c r="K771" s="9"/>
    </row>
    <row r="772">
      <c r="A772" s="6"/>
      <c r="B772" s="7"/>
      <c r="C772" s="7"/>
      <c r="D772" s="7"/>
      <c r="E772" s="7"/>
      <c r="F772" s="7"/>
      <c r="G772" s="7"/>
      <c r="H772" s="7"/>
      <c r="I772" s="7"/>
      <c r="J772" s="8"/>
      <c r="K772" s="9"/>
    </row>
    <row r="773">
      <c r="A773" s="6"/>
      <c r="B773" s="7"/>
      <c r="C773" s="7"/>
      <c r="D773" s="7"/>
      <c r="E773" s="7"/>
      <c r="F773" s="7"/>
      <c r="G773" s="7"/>
      <c r="H773" s="7"/>
      <c r="I773" s="7"/>
      <c r="J773" s="8"/>
      <c r="K773" s="9"/>
    </row>
    <row r="774">
      <c r="A774" s="6"/>
      <c r="B774" s="7"/>
      <c r="C774" s="7"/>
      <c r="D774" s="7"/>
      <c r="E774" s="7"/>
      <c r="F774" s="7"/>
      <c r="G774" s="7"/>
      <c r="H774" s="7"/>
      <c r="I774" s="7"/>
      <c r="J774" s="8"/>
      <c r="K774" s="9"/>
    </row>
    <row r="775">
      <c r="A775" s="6"/>
      <c r="B775" s="7"/>
      <c r="C775" s="7"/>
      <c r="D775" s="7"/>
      <c r="E775" s="7"/>
      <c r="F775" s="7"/>
      <c r="G775" s="7"/>
      <c r="H775" s="7"/>
      <c r="I775" s="7"/>
      <c r="J775" s="8"/>
      <c r="K775" s="9"/>
    </row>
    <row r="776">
      <c r="A776" s="6"/>
      <c r="B776" s="7"/>
      <c r="C776" s="7"/>
      <c r="D776" s="7"/>
      <c r="E776" s="7"/>
      <c r="F776" s="7"/>
      <c r="G776" s="7"/>
      <c r="H776" s="7"/>
      <c r="I776" s="7"/>
      <c r="J776" s="8"/>
      <c r="K776" s="9"/>
    </row>
    <row r="777">
      <c r="A777" s="6"/>
      <c r="B777" s="7"/>
      <c r="C777" s="7"/>
      <c r="D777" s="7"/>
      <c r="E777" s="7"/>
      <c r="F777" s="7"/>
      <c r="G777" s="7"/>
      <c r="H777" s="7"/>
      <c r="I777" s="7"/>
      <c r="J777" s="8"/>
      <c r="K777" s="9"/>
    </row>
    <row r="778">
      <c r="A778" s="6"/>
      <c r="B778" s="7"/>
      <c r="C778" s="7"/>
      <c r="D778" s="7"/>
      <c r="E778" s="7"/>
      <c r="F778" s="7"/>
      <c r="G778" s="7"/>
      <c r="H778" s="7"/>
      <c r="I778" s="7"/>
      <c r="J778" s="8"/>
      <c r="K778" s="9"/>
    </row>
    <row r="779">
      <c r="A779" s="6"/>
      <c r="B779" s="7"/>
      <c r="C779" s="7"/>
      <c r="D779" s="7"/>
      <c r="E779" s="7"/>
      <c r="F779" s="7"/>
      <c r="G779" s="7"/>
      <c r="H779" s="7"/>
      <c r="I779" s="7"/>
      <c r="J779" s="8"/>
      <c r="K779" s="9"/>
    </row>
    <row r="780">
      <c r="A780" s="6"/>
      <c r="B780" s="7"/>
      <c r="C780" s="7"/>
      <c r="D780" s="7"/>
      <c r="E780" s="7"/>
      <c r="F780" s="7"/>
      <c r="G780" s="7"/>
      <c r="H780" s="7"/>
      <c r="I780" s="7"/>
      <c r="J780" s="8"/>
      <c r="K780" s="9"/>
    </row>
    <row r="781">
      <c r="A781" s="6"/>
      <c r="B781" s="7"/>
      <c r="C781" s="7"/>
      <c r="D781" s="7"/>
      <c r="E781" s="7"/>
      <c r="F781" s="7"/>
      <c r="G781" s="7"/>
      <c r="H781" s="7"/>
      <c r="I781" s="7"/>
      <c r="J781" s="8"/>
      <c r="K781" s="9"/>
    </row>
    <row r="782">
      <c r="A782" s="6"/>
      <c r="B782" s="7"/>
      <c r="C782" s="7"/>
      <c r="D782" s="7"/>
      <c r="E782" s="7"/>
      <c r="F782" s="7"/>
      <c r="G782" s="7"/>
      <c r="H782" s="7"/>
      <c r="I782" s="7"/>
      <c r="J782" s="8"/>
      <c r="K782" s="9"/>
    </row>
    <row r="783">
      <c r="A783" s="6"/>
      <c r="B783" s="7"/>
      <c r="C783" s="7"/>
      <c r="D783" s="7"/>
      <c r="E783" s="7"/>
      <c r="F783" s="7"/>
      <c r="G783" s="7"/>
      <c r="H783" s="7"/>
      <c r="I783" s="7"/>
      <c r="J783" s="8"/>
      <c r="K783" s="9"/>
    </row>
    <row r="784">
      <c r="A784" s="6"/>
      <c r="B784" s="7"/>
      <c r="C784" s="7"/>
      <c r="D784" s="7"/>
      <c r="E784" s="7"/>
      <c r="F784" s="7"/>
      <c r="G784" s="7"/>
      <c r="H784" s="7"/>
      <c r="I784" s="7"/>
      <c r="J784" s="8"/>
      <c r="K784" s="9"/>
    </row>
    <row r="785">
      <c r="A785" s="6"/>
      <c r="B785" s="7"/>
      <c r="C785" s="7"/>
      <c r="D785" s="7"/>
      <c r="E785" s="7"/>
      <c r="F785" s="7"/>
      <c r="G785" s="7"/>
      <c r="H785" s="7"/>
      <c r="I785" s="7"/>
      <c r="J785" s="8"/>
      <c r="K785" s="9"/>
    </row>
    <row r="786">
      <c r="A786" s="6"/>
      <c r="B786" s="7"/>
      <c r="C786" s="7"/>
      <c r="D786" s="7"/>
      <c r="E786" s="7"/>
      <c r="F786" s="7"/>
      <c r="G786" s="7"/>
      <c r="H786" s="7"/>
      <c r="I786" s="7"/>
      <c r="J786" s="8"/>
      <c r="K786" s="9"/>
    </row>
    <row r="787">
      <c r="A787" s="6"/>
      <c r="B787" s="7"/>
      <c r="C787" s="7"/>
      <c r="D787" s="7"/>
      <c r="E787" s="7"/>
      <c r="F787" s="7"/>
      <c r="G787" s="7"/>
      <c r="H787" s="7"/>
      <c r="I787" s="7"/>
      <c r="J787" s="8"/>
      <c r="K787" s="9"/>
    </row>
    <row r="788">
      <c r="A788" s="6"/>
      <c r="B788" s="7"/>
      <c r="C788" s="7"/>
      <c r="D788" s="7"/>
      <c r="E788" s="7"/>
      <c r="F788" s="7"/>
      <c r="G788" s="7"/>
      <c r="H788" s="7"/>
      <c r="I788" s="7"/>
      <c r="J788" s="8"/>
      <c r="K788" s="9"/>
    </row>
    <row r="789">
      <c r="A789" s="6"/>
      <c r="B789" s="7"/>
      <c r="C789" s="7"/>
      <c r="D789" s="7"/>
      <c r="E789" s="7"/>
      <c r="F789" s="7"/>
      <c r="G789" s="7"/>
      <c r="H789" s="7"/>
      <c r="I789" s="7"/>
      <c r="J789" s="8"/>
      <c r="K789" s="9"/>
    </row>
    <row r="790">
      <c r="A790" s="6"/>
      <c r="B790" s="7"/>
      <c r="C790" s="7"/>
      <c r="D790" s="7"/>
      <c r="E790" s="7"/>
      <c r="F790" s="7"/>
      <c r="G790" s="7"/>
      <c r="H790" s="7"/>
      <c r="I790" s="7"/>
      <c r="J790" s="8"/>
      <c r="K790" s="9"/>
    </row>
    <row r="791">
      <c r="A791" s="6"/>
      <c r="B791" s="7"/>
      <c r="C791" s="7"/>
      <c r="D791" s="7"/>
      <c r="E791" s="7"/>
      <c r="F791" s="7"/>
      <c r="G791" s="7"/>
      <c r="H791" s="7"/>
      <c r="I791" s="7"/>
      <c r="J791" s="8"/>
      <c r="K791" s="9"/>
    </row>
    <row r="792">
      <c r="A792" s="6"/>
      <c r="B792" s="7"/>
      <c r="C792" s="7"/>
      <c r="D792" s="7"/>
      <c r="E792" s="7"/>
      <c r="F792" s="7"/>
      <c r="G792" s="7"/>
      <c r="H792" s="7"/>
      <c r="I792" s="7"/>
      <c r="J792" s="8"/>
      <c r="K792" s="9"/>
    </row>
    <row r="793">
      <c r="A793" s="6"/>
      <c r="B793" s="7"/>
      <c r="C793" s="7"/>
      <c r="D793" s="7"/>
      <c r="E793" s="7"/>
      <c r="F793" s="7"/>
      <c r="G793" s="7"/>
      <c r="H793" s="7"/>
      <c r="I793" s="7"/>
      <c r="J793" s="8"/>
      <c r="K793" s="9"/>
    </row>
    <row r="794">
      <c r="A794" s="6"/>
      <c r="B794" s="7"/>
      <c r="C794" s="7"/>
      <c r="D794" s="7"/>
      <c r="E794" s="7"/>
      <c r="F794" s="7"/>
      <c r="G794" s="7"/>
      <c r="H794" s="7"/>
      <c r="I794" s="7"/>
      <c r="J794" s="8"/>
      <c r="K794" s="9"/>
    </row>
    <row r="795">
      <c r="A795" s="6"/>
      <c r="B795" s="7"/>
      <c r="C795" s="7"/>
      <c r="D795" s="7"/>
      <c r="E795" s="7"/>
      <c r="F795" s="7"/>
      <c r="G795" s="7"/>
      <c r="H795" s="7"/>
      <c r="I795" s="7"/>
      <c r="J795" s="8"/>
      <c r="K795" s="9"/>
    </row>
    <row r="796">
      <c r="A796" s="6"/>
      <c r="B796" s="7"/>
      <c r="C796" s="7"/>
      <c r="D796" s="7"/>
      <c r="E796" s="7"/>
      <c r="F796" s="7"/>
      <c r="G796" s="7"/>
      <c r="H796" s="7"/>
      <c r="I796" s="7"/>
      <c r="J796" s="8"/>
      <c r="K796" s="9"/>
    </row>
    <row r="797">
      <c r="A797" s="6"/>
      <c r="B797" s="7"/>
      <c r="C797" s="7"/>
      <c r="D797" s="7"/>
      <c r="E797" s="7"/>
      <c r="F797" s="7"/>
      <c r="G797" s="7"/>
      <c r="H797" s="7"/>
      <c r="I797" s="7"/>
      <c r="J797" s="8"/>
      <c r="K797" s="9"/>
    </row>
    <row r="798">
      <c r="A798" s="6"/>
      <c r="B798" s="7"/>
      <c r="C798" s="7"/>
      <c r="D798" s="7"/>
      <c r="E798" s="7"/>
      <c r="F798" s="7"/>
      <c r="G798" s="7"/>
      <c r="H798" s="7"/>
      <c r="I798" s="7"/>
      <c r="J798" s="8"/>
      <c r="K798" s="9"/>
    </row>
    <row r="799">
      <c r="A799" s="6"/>
      <c r="B799" s="7"/>
      <c r="C799" s="7"/>
      <c r="D799" s="7"/>
      <c r="E799" s="7"/>
      <c r="F799" s="7"/>
      <c r="G799" s="7"/>
      <c r="H799" s="7"/>
      <c r="I799" s="7"/>
      <c r="J799" s="8"/>
      <c r="K799" s="9"/>
    </row>
    <row r="800">
      <c r="A800" s="6"/>
      <c r="B800" s="7"/>
      <c r="C800" s="7"/>
      <c r="D800" s="7"/>
      <c r="E800" s="7"/>
      <c r="F800" s="7"/>
      <c r="G800" s="7"/>
      <c r="H800" s="7"/>
      <c r="I800" s="7"/>
      <c r="J800" s="8"/>
      <c r="K800" s="9"/>
    </row>
    <row r="801">
      <c r="A801" s="6"/>
      <c r="B801" s="7"/>
      <c r="C801" s="7"/>
      <c r="D801" s="7"/>
      <c r="E801" s="7"/>
      <c r="F801" s="7"/>
      <c r="G801" s="7"/>
      <c r="H801" s="7"/>
      <c r="I801" s="7"/>
      <c r="J801" s="8"/>
      <c r="K801" s="9"/>
    </row>
    <row r="802">
      <c r="A802" s="6"/>
      <c r="B802" s="7"/>
      <c r="C802" s="7"/>
      <c r="D802" s="7"/>
      <c r="E802" s="7"/>
      <c r="F802" s="7"/>
      <c r="G802" s="7"/>
      <c r="H802" s="7"/>
      <c r="I802" s="7"/>
      <c r="J802" s="8"/>
      <c r="K802" s="9"/>
    </row>
    <row r="803">
      <c r="A803" s="6"/>
      <c r="B803" s="7"/>
      <c r="C803" s="7"/>
      <c r="D803" s="7"/>
      <c r="E803" s="7"/>
      <c r="F803" s="7"/>
      <c r="G803" s="7"/>
      <c r="H803" s="7"/>
      <c r="I803" s="7"/>
      <c r="J803" s="8"/>
      <c r="K803" s="9"/>
    </row>
    <row r="804">
      <c r="A804" s="6"/>
      <c r="B804" s="7"/>
      <c r="C804" s="7"/>
      <c r="D804" s="7"/>
      <c r="E804" s="7"/>
      <c r="F804" s="7"/>
      <c r="G804" s="7"/>
      <c r="H804" s="7"/>
      <c r="I804" s="7"/>
      <c r="J804" s="8"/>
      <c r="K804" s="9"/>
    </row>
    <row r="805">
      <c r="A805" s="6"/>
      <c r="B805" s="7"/>
      <c r="C805" s="7"/>
      <c r="D805" s="7"/>
      <c r="E805" s="7"/>
      <c r="F805" s="7"/>
      <c r="G805" s="7"/>
      <c r="H805" s="7"/>
      <c r="I805" s="7"/>
      <c r="J805" s="8"/>
      <c r="K805" s="9"/>
    </row>
    <row r="806">
      <c r="A806" s="6"/>
      <c r="B806" s="7"/>
      <c r="C806" s="7"/>
      <c r="D806" s="7"/>
      <c r="E806" s="7"/>
      <c r="F806" s="7"/>
      <c r="G806" s="7"/>
      <c r="H806" s="7"/>
      <c r="I806" s="7"/>
      <c r="J806" s="8"/>
      <c r="K806" s="9"/>
    </row>
    <row r="807">
      <c r="A807" s="6"/>
      <c r="B807" s="7"/>
      <c r="C807" s="7"/>
      <c r="D807" s="7"/>
      <c r="E807" s="7"/>
      <c r="F807" s="7"/>
      <c r="G807" s="7"/>
      <c r="H807" s="7"/>
      <c r="I807" s="7"/>
      <c r="J807" s="8"/>
      <c r="K807" s="9"/>
    </row>
    <row r="808">
      <c r="A808" s="6"/>
      <c r="B808" s="7"/>
      <c r="C808" s="7"/>
      <c r="D808" s="7"/>
      <c r="E808" s="7"/>
      <c r="F808" s="7"/>
      <c r="G808" s="7"/>
      <c r="H808" s="7"/>
      <c r="I808" s="7"/>
      <c r="J808" s="8"/>
      <c r="K808" s="9"/>
    </row>
    <row r="809">
      <c r="A809" s="6"/>
      <c r="B809" s="7"/>
      <c r="C809" s="7"/>
      <c r="D809" s="7"/>
      <c r="E809" s="7"/>
      <c r="F809" s="7"/>
      <c r="G809" s="7"/>
      <c r="H809" s="7"/>
      <c r="I809" s="7"/>
      <c r="J809" s="8"/>
      <c r="K809" s="9"/>
    </row>
    <row r="810">
      <c r="A810" s="6"/>
      <c r="B810" s="7"/>
      <c r="C810" s="7"/>
      <c r="D810" s="7"/>
      <c r="E810" s="7"/>
      <c r="F810" s="7"/>
      <c r="G810" s="7"/>
      <c r="H810" s="7"/>
      <c r="I810" s="7"/>
      <c r="J810" s="8"/>
      <c r="K810" s="9"/>
    </row>
    <row r="811">
      <c r="A811" s="6"/>
      <c r="B811" s="7"/>
      <c r="C811" s="7"/>
      <c r="D811" s="7"/>
      <c r="E811" s="7"/>
      <c r="F811" s="7"/>
      <c r="G811" s="7"/>
      <c r="H811" s="7"/>
      <c r="I811" s="7"/>
      <c r="J811" s="8"/>
      <c r="K811" s="9"/>
    </row>
    <row r="812">
      <c r="A812" s="6"/>
      <c r="B812" s="7"/>
      <c r="C812" s="7"/>
      <c r="D812" s="7"/>
      <c r="E812" s="7"/>
      <c r="F812" s="7"/>
      <c r="G812" s="7"/>
      <c r="H812" s="7"/>
      <c r="I812" s="7"/>
      <c r="J812" s="8"/>
      <c r="K812" s="9"/>
    </row>
    <row r="813">
      <c r="A813" s="6"/>
      <c r="B813" s="7"/>
      <c r="C813" s="7"/>
      <c r="D813" s="7"/>
      <c r="E813" s="7"/>
      <c r="F813" s="7"/>
      <c r="G813" s="7"/>
      <c r="H813" s="7"/>
      <c r="I813" s="7"/>
      <c r="J813" s="8"/>
      <c r="K813" s="9"/>
    </row>
    <row r="814">
      <c r="A814" s="6"/>
      <c r="B814" s="7"/>
      <c r="C814" s="7"/>
      <c r="D814" s="7"/>
      <c r="E814" s="7"/>
      <c r="F814" s="7"/>
      <c r="G814" s="7"/>
      <c r="H814" s="7"/>
      <c r="I814" s="7"/>
      <c r="J814" s="8"/>
      <c r="K814" s="9"/>
    </row>
    <row r="815">
      <c r="A815" s="6"/>
      <c r="B815" s="7"/>
      <c r="C815" s="7"/>
      <c r="D815" s="7"/>
      <c r="E815" s="7"/>
      <c r="F815" s="7"/>
      <c r="G815" s="7"/>
      <c r="H815" s="7"/>
      <c r="I815" s="7"/>
      <c r="J815" s="8"/>
      <c r="K815" s="9"/>
    </row>
    <row r="816">
      <c r="A816" s="6"/>
      <c r="B816" s="7"/>
      <c r="C816" s="7"/>
      <c r="D816" s="7"/>
      <c r="E816" s="7"/>
      <c r="F816" s="7"/>
      <c r="G816" s="7"/>
      <c r="H816" s="7"/>
      <c r="I816" s="7"/>
      <c r="J816" s="8"/>
      <c r="K816" s="9"/>
    </row>
    <row r="817">
      <c r="A817" s="6"/>
      <c r="B817" s="7"/>
      <c r="C817" s="7"/>
      <c r="D817" s="7"/>
      <c r="E817" s="7"/>
      <c r="F817" s="7"/>
      <c r="G817" s="7"/>
      <c r="H817" s="7"/>
      <c r="I817" s="7"/>
      <c r="J817" s="8"/>
      <c r="K817" s="9"/>
    </row>
    <row r="818">
      <c r="A818" s="6"/>
      <c r="B818" s="7"/>
      <c r="C818" s="7"/>
      <c r="D818" s="7"/>
      <c r="E818" s="7"/>
      <c r="F818" s="7"/>
      <c r="G818" s="7"/>
      <c r="H818" s="7"/>
      <c r="I818" s="7"/>
      <c r="J818" s="8"/>
      <c r="K818" s="9"/>
    </row>
    <row r="819">
      <c r="A819" s="6"/>
      <c r="B819" s="7"/>
      <c r="C819" s="7"/>
      <c r="D819" s="7"/>
      <c r="E819" s="7"/>
      <c r="F819" s="7"/>
      <c r="G819" s="7"/>
      <c r="H819" s="7"/>
      <c r="I819" s="7"/>
      <c r="J819" s="8"/>
      <c r="K819" s="9"/>
    </row>
    <row r="820">
      <c r="A820" s="6"/>
      <c r="B820" s="7"/>
      <c r="C820" s="7"/>
      <c r="D820" s="7"/>
      <c r="E820" s="7"/>
      <c r="F820" s="7"/>
      <c r="G820" s="7"/>
      <c r="H820" s="7"/>
      <c r="I820" s="7"/>
      <c r="J820" s="8"/>
      <c r="K820" s="9"/>
    </row>
    <row r="821">
      <c r="A821" s="6"/>
      <c r="B821" s="7"/>
      <c r="C821" s="7"/>
      <c r="D821" s="7"/>
      <c r="E821" s="7"/>
      <c r="F821" s="7"/>
      <c r="G821" s="7"/>
      <c r="H821" s="7"/>
      <c r="I821" s="7"/>
      <c r="J821" s="8"/>
      <c r="K821" s="9"/>
    </row>
    <row r="822">
      <c r="A822" s="6"/>
      <c r="B822" s="7"/>
      <c r="C822" s="7"/>
      <c r="D822" s="7"/>
      <c r="E822" s="7"/>
      <c r="F822" s="7"/>
      <c r="G822" s="7"/>
      <c r="H822" s="7"/>
      <c r="I822" s="7"/>
      <c r="J822" s="8"/>
      <c r="K822" s="9"/>
    </row>
    <row r="823">
      <c r="A823" s="6"/>
      <c r="B823" s="7"/>
      <c r="C823" s="7"/>
      <c r="D823" s="7"/>
      <c r="E823" s="7"/>
      <c r="F823" s="7"/>
      <c r="G823" s="7"/>
      <c r="H823" s="7"/>
      <c r="I823" s="7"/>
      <c r="J823" s="8"/>
      <c r="K823" s="9"/>
    </row>
    <row r="824">
      <c r="A824" s="6"/>
      <c r="B824" s="7"/>
      <c r="C824" s="7"/>
      <c r="D824" s="7"/>
      <c r="E824" s="7"/>
      <c r="F824" s="7"/>
      <c r="G824" s="7"/>
      <c r="H824" s="7"/>
      <c r="I824" s="7"/>
      <c r="J824" s="8"/>
      <c r="K824" s="9"/>
    </row>
    <row r="825">
      <c r="A825" s="6"/>
      <c r="B825" s="7"/>
      <c r="C825" s="7"/>
      <c r="D825" s="7"/>
      <c r="E825" s="7"/>
      <c r="F825" s="7"/>
      <c r="G825" s="7"/>
      <c r="H825" s="7"/>
      <c r="I825" s="7"/>
      <c r="J825" s="8"/>
      <c r="K825" s="9"/>
    </row>
    <row r="826">
      <c r="A826" s="6"/>
      <c r="B826" s="7"/>
      <c r="C826" s="7"/>
      <c r="D826" s="7"/>
      <c r="E826" s="7"/>
      <c r="F826" s="7"/>
      <c r="G826" s="7"/>
      <c r="H826" s="7"/>
      <c r="I826" s="7"/>
      <c r="J826" s="8"/>
      <c r="K826" s="9"/>
    </row>
    <row r="827">
      <c r="A827" s="6"/>
      <c r="B827" s="7"/>
      <c r="C827" s="7"/>
      <c r="D827" s="7"/>
      <c r="E827" s="7"/>
      <c r="F827" s="7"/>
      <c r="G827" s="7"/>
      <c r="H827" s="7"/>
      <c r="I827" s="7"/>
      <c r="J827" s="8"/>
      <c r="K827" s="9"/>
    </row>
    <row r="828">
      <c r="A828" s="6"/>
      <c r="B828" s="7"/>
      <c r="C828" s="7"/>
      <c r="D828" s="7"/>
      <c r="E828" s="7"/>
      <c r="F828" s="7"/>
      <c r="G828" s="7"/>
      <c r="H828" s="7"/>
      <c r="I828" s="7"/>
      <c r="J828" s="8"/>
      <c r="K828" s="9"/>
    </row>
    <row r="829">
      <c r="A829" s="6"/>
      <c r="B829" s="7"/>
      <c r="C829" s="7"/>
      <c r="D829" s="7"/>
      <c r="E829" s="7"/>
      <c r="F829" s="7"/>
      <c r="G829" s="7"/>
      <c r="H829" s="7"/>
      <c r="I829" s="7"/>
      <c r="J829" s="8"/>
      <c r="K829" s="9"/>
    </row>
    <row r="830">
      <c r="A830" s="6"/>
      <c r="B830" s="7"/>
      <c r="C830" s="7"/>
      <c r="D830" s="7"/>
      <c r="E830" s="7"/>
      <c r="F830" s="7"/>
      <c r="G830" s="7"/>
      <c r="H830" s="7"/>
      <c r="I830" s="7"/>
      <c r="J830" s="8"/>
      <c r="K830" s="9"/>
    </row>
    <row r="831">
      <c r="A831" s="6"/>
      <c r="B831" s="7"/>
      <c r="C831" s="7"/>
      <c r="D831" s="7"/>
      <c r="E831" s="7"/>
      <c r="F831" s="7"/>
      <c r="G831" s="7"/>
      <c r="H831" s="7"/>
      <c r="I831" s="7"/>
      <c r="J831" s="8"/>
      <c r="K831" s="9"/>
    </row>
    <row r="832">
      <c r="A832" s="6"/>
      <c r="B832" s="7"/>
      <c r="C832" s="7"/>
      <c r="D832" s="7"/>
      <c r="E832" s="7"/>
      <c r="F832" s="7"/>
      <c r="G832" s="7"/>
      <c r="H832" s="7"/>
      <c r="I832" s="7"/>
      <c r="J832" s="8"/>
      <c r="K832" s="9"/>
    </row>
    <row r="833">
      <c r="A833" s="6"/>
      <c r="B833" s="7"/>
      <c r="C833" s="7"/>
      <c r="D833" s="7"/>
      <c r="E833" s="7"/>
      <c r="F833" s="7"/>
      <c r="G833" s="7"/>
      <c r="H833" s="7"/>
      <c r="I833" s="7"/>
      <c r="J833" s="8"/>
      <c r="K833" s="9"/>
    </row>
    <row r="834">
      <c r="A834" s="6"/>
      <c r="B834" s="7"/>
      <c r="C834" s="7"/>
      <c r="D834" s="7"/>
      <c r="E834" s="7"/>
      <c r="F834" s="7"/>
      <c r="G834" s="7"/>
      <c r="H834" s="7"/>
      <c r="I834" s="7"/>
      <c r="J834" s="8"/>
      <c r="K834" s="9"/>
    </row>
    <row r="835">
      <c r="A835" s="6"/>
      <c r="B835" s="7"/>
      <c r="C835" s="7"/>
      <c r="D835" s="7"/>
      <c r="E835" s="7"/>
      <c r="F835" s="7"/>
      <c r="G835" s="7"/>
      <c r="H835" s="7"/>
      <c r="I835" s="7"/>
      <c r="J835" s="8"/>
      <c r="K835" s="9"/>
    </row>
    <row r="836">
      <c r="A836" s="6"/>
      <c r="B836" s="7"/>
      <c r="C836" s="7"/>
      <c r="D836" s="7"/>
      <c r="E836" s="7"/>
      <c r="F836" s="7"/>
      <c r="G836" s="7"/>
      <c r="H836" s="7"/>
      <c r="I836" s="7"/>
      <c r="J836" s="8"/>
      <c r="K836" s="9"/>
    </row>
    <row r="837">
      <c r="A837" s="6"/>
      <c r="B837" s="7"/>
      <c r="C837" s="7"/>
      <c r="D837" s="7"/>
      <c r="E837" s="7"/>
      <c r="F837" s="7"/>
      <c r="G837" s="7"/>
      <c r="H837" s="7"/>
      <c r="I837" s="7"/>
      <c r="J837" s="8"/>
      <c r="K837" s="9"/>
    </row>
  </sheetData>
  <autoFilter ref="$A$1:$Z$33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2.0"/>
    <col customWidth="1" min="3" max="3" width="18.25"/>
    <col customWidth="1" min="4" max="4" width="29.75"/>
    <col customWidth="1" min="5" max="5" width="22.13"/>
    <col customWidth="1" min="6" max="6" width="51.38"/>
    <col customWidth="1" min="7" max="7" width="9.5"/>
    <col customWidth="1" min="8" max="8" width="29.25"/>
    <col customWidth="1" min="10" max="10" width="19.75"/>
    <col customWidth="1" min="11" max="11" width="27.88"/>
  </cols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1" t="s">
        <v>7</v>
      </c>
      <c r="I1" s="11" t="s">
        <v>8</v>
      </c>
      <c r="J1" s="12" t="s">
        <v>9</v>
      </c>
      <c r="K1" s="1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7"/>
      <c r="B2" s="17"/>
      <c r="C2" s="17" t="s">
        <v>11</v>
      </c>
      <c r="D2" s="13" t="s">
        <v>16</v>
      </c>
      <c r="E2" s="17"/>
      <c r="F2" s="17" t="s">
        <v>161</v>
      </c>
      <c r="G2" s="17" t="s">
        <v>14</v>
      </c>
      <c r="H2" s="17" t="s">
        <v>15</v>
      </c>
      <c r="I2" s="17">
        <v>20.0</v>
      </c>
      <c r="J2" s="17"/>
      <c r="K2" s="17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17"/>
      <c r="B3" s="17"/>
      <c r="C3" s="17" t="s">
        <v>11</v>
      </c>
      <c r="D3" s="17" t="s">
        <v>162</v>
      </c>
      <c r="E3" s="17"/>
      <c r="F3" s="17" t="s">
        <v>163</v>
      </c>
      <c r="G3" s="17" t="s">
        <v>22</v>
      </c>
      <c r="H3" s="17" t="s">
        <v>164</v>
      </c>
      <c r="I3" s="17">
        <v>3.0</v>
      </c>
      <c r="J3" s="17"/>
      <c r="K3" s="17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17"/>
      <c r="B4" s="17"/>
      <c r="C4" s="17" t="s">
        <v>11</v>
      </c>
      <c r="D4" s="14" t="s">
        <v>12</v>
      </c>
      <c r="E4" s="17"/>
      <c r="F4" s="17" t="s">
        <v>165</v>
      </c>
      <c r="G4" s="17" t="s">
        <v>14</v>
      </c>
      <c r="H4" s="17" t="s">
        <v>15</v>
      </c>
      <c r="I4" s="17">
        <v>5.0</v>
      </c>
      <c r="J4" s="17"/>
      <c r="K4" s="1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17"/>
      <c r="B5" s="17"/>
      <c r="C5" s="17" t="s">
        <v>11</v>
      </c>
      <c r="D5" s="17" t="s">
        <v>20</v>
      </c>
      <c r="E5" s="17"/>
      <c r="F5" s="17" t="s">
        <v>166</v>
      </c>
      <c r="G5" s="17" t="s">
        <v>14</v>
      </c>
      <c r="H5" s="17" t="s">
        <v>15</v>
      </c>
      <c r="I5" s="17">
        <v>9.0</v>
      </c>
      <c r="J5" s="17"/>
      <c r="K5" s="17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17"/>
      <c r="B6" s="17"/>
      <c r="C6" s="17" t="s">
        <v>11</v>
      </c>
      <c r="D6" s="17" t="s">
        <v>167</v>
      </c>
      <c r="E6" s="17"/>
      <c r="F6" s="17" t="s">
        <v>168</v>
      </c>
      <c r="G6" s="17" t="s">
        <v>14</v>
      </c>
      <c r="H6" s="17" t="s">
        <v>15</v>
      </c>
      <c r="I6" s="17">
        <v>2.0</v>
      </c>
      <c r="J6" s="17"/>
      <c r="K6" s="17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17"/>
      <c r="B7" s="17"/>
      <c r="C7" s="17" t="s">
        <v>169</v>
      </c>
      <c r="D7" s="17" t="s">
        <v>170</v>
      </c>
      <c r="E7" s="17" t="s">
        <v>171</v>
      </c>
      <c r="F7" s="17" t="s">
        <v>172</v>
      </c>
      <c r="G7" s="17" t="s">
        <v>22</v>
      </c>
      <c r="H7" s="17" t="s">
        <v>173</v>
      </c>
      <c r="I7" s="17">
        <v>1.0</v>
      </c>
      <c r="J7" s="17" t="s">
        <v>174</v>
      </c>
      <c r="K7" s="17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7"/>
      <c r="B8" s="17"/>
      <c r="C8" s="17" t="s">
        <v>53</v>
      </c>
      <c r="D8" s="17" t="s">
        <v>175</v>
      </c>
      <c r="E8" s="17" t="s">
        <v>176</v>
      </c>
      <c r="F8" s="17" t="s">
        <v>177</v>
      </c>
      <c r="G8" s="17" t="s">
        <v>22</v>
      </c>
      <c r="H8" s="17" t="s">
        <v>178</v>
      </c>
      <c r="I8" s="17">
        <v>4.0</v>
      </c>
      <c r="J8" s="17" t="s">
        <v>174</v>
      </c>
      <c r="K8" s="17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17"/>
      <c r="B9" s="17"/>
      <c r="C9" s="17" t="s">
        <v>53</v>
      </c>
      <c r="D9" s="17" t="s">
        <v>179</v>
      </c>
      <c r="E9" s="17">
        <v>6.1901011121E10</v>
      </c>
      <c r="F9" s="17" t="s">
        <v>180</v>
      </c>
      <c r="G9" s="17" t="s">
        <v>22</v>
      </c>
      <c r="H9" s="17" t="s">
        <v>181</v>
      </c>
      <c r="I9" s="17">
        <v>1.0</v>
      </c>
      <c r="J9" s="17" t="s">
        <v>56</v>
      </c>
      <c r="K9" s="17" t="s">
        <v>56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17"/>
      <c r="B10" s="17"/>
      <c r="C10" s="17" t="s">
        <v>53</v>
      </c>
      <c r="D10" s="17" t="s">
        <v>182</v>
      </c>
      <c r="E10" s="17" t="s">
        <v>183</v>
      </c>
      <c r="F10" s="17" t="s">
        <v>184</v>
      </c>
      <c r="G10" s="17" t="s">
        <v>22</v>
      </c>
      <c r="H10" s="13" t="s">
        <v>185</v>
      </c>
      <c r="I10" s="17">
        <v>1.0</v>
      </c>
      <c r="J10" s="17" t="s">
        <v>61</v>
      </c>
      <c r="K10" s="17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7"/>
      <c r="B11" s="17"/>
      <c r="C11" s="17" t="s">
        <v>53</v>
      </c>
      <c r="D11" s="19" t="s">
        <v>80</v>
      </c>
      <c r="E11" s="17" t="s">
        <v>81</v>
      </c>
      <c r="F11" s="17" t="s">
        <v>186</v>
      </c>
      <c r="G11" s="17" t="s">
        <v>22</v>
      </c>
      <c r="H11" s="13" t="s">
        <v>83</v>
      </c>
      <c r="I11" s="17">
        <v>1.0</v>
      </c>
      <c r="J11" s="17"/>
      <c r="K11" s="17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17"/>
      <c r="B12" s="17"/>
      <c r="C12" s="17" t="s">
        <v>53</v>
      </c>
      <c r="D12" s="17" t="s">
        <v>75</v>
      </c>
      <c r="E12" s="24" t="s">
        <v>76</v>
      </c>
      <c r="F12" s="17" t="s">
        <v>187</v>
      </c>
      <c r="G12" s="17" t="s">
        <v>22</v>
      </c>
      <c r="H12" s="17" t="s">
        <v>78</v>
      </c>
      <c r="I12" s="17">
        <v>1.0</v>
      </c>
      <c r="J12" s="13" t="s">
        <v>79</v>
      </c>
      <c r="K12" s="17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17"/>
      <c r="B13" s="17"/>
      <c r="C13" s="17" t="s">
        <v>53</v>
      </c>
      <c r="D13" s="17" t="s">
        <v>188</v>
      </c>
      <c r="E13" s="13" t="s">
        <v>189</v>
      </c>
      <c r="F13" s="17" t="s">
        <v>190</v>
      </c>
      <c r="G13" s="17" t="s">
        <v>22</v>
      </c>
      <c r="H13" s="17" t="s">
        <v>191</v>
      </c>
      <c r="I13" s="17">
        <v>1.0</v>
      </c>
      <c r="J13" s="17" t="s">
        <v>61</v>
      </c>
      <c r="K13" s="17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17"/>
      <c r="B14" s="17"/>
      <c r="C14" s="17" t="s">
        <v>53</v>
      </c>
      <c r="D14" s="17" t="s">
        <v>65</v>
      </c>
      <c r="E14" s="13" t="s">
        <v>192</v>
      </c>
      <c r="F14" s="17" t="s">
        <v>193</v>
      </c>
      <c r="G14" s="17" t="s">
        <v>22</v>
      </c>
      <c r="H14" s="17" t="s">
        <v>194</v>
      </c>
      <c r="I14" s="17">
        <v>1.0</v>
      </c>
      <c r="J14" s="17" t="s">
        <v>61</v>
      </c>
      <c r="K14" s="17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17"/>
      <c r="B15" s="17"/>
      <c r="C15" s="17" t="s">
        <v>53</v>
      </c>
      <c r="D15" s="17" t="s">
        <v>65</v>
      </c>
      <c r="E15" s="13" t="s">
        <v>66</v>
      </c>
      <c r="F15" s="17" t="s">
        <v>195</v>
      </c>
      <c r="G15" s="17" t="s">
        <v>22</v>
      </c>
      <c r="H15" s="17" t="s">
        <v>68</v>
      </c>
      <c r="I15" s="17">
        <v>3.0</v>
      </c>
      <c r="J15" s="13" t="s">
        <v>61</v>
      </c>
      <c r="K15" s="17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7"/>
      <c r="B16" s="17"/>
      <c r="C16" s="17" t="s">
        <v>98</v>
      </c>
      <c r="D16" s="17" t="s">
        <v>196</v>
      </c>
      <c r="E16" s="17" t="s">
        <v>197</v>
      </c>
      <c r="F16" s="17" t="s">
        <v>104</v>
      </c>
      <c r="G16" s="17" t="s">
        <v>14</v>
      </c>
      <c r="H16" s="17" t="s">
        <v>198</v>
      </c>
      <c r="I16" s="17">
        <v>1.0</v>
      </c>
      <c r="J16" s="17" t="s">
        <v>199</v>
      </c>
      <c r="K16" s="1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17"/>
      <c r="B17" s="17"/>
      <c r="C17" s="17" t="s">
        <v>98</v>
      </c>
      <c r="D17" s="17" t="s">
        <v>200</v>
      </c>
      <c r="E17" s="13" t="s">
        <v>201</v>
      </c>
      <c r="F17" s="17" t="s">
        <v>202</v>
      </c>
      <c r="G17" s="17" t="s">
        <v>14</v>
      </c>
      <c r="H17" s="17" t="s">
        <v>203</v>
      </c>
      <c r="I17" s="17">
        <v>2.0</v>
      </c>
      <c r="J17" s="17" t="s">
        <v>123</v>
      </c>
      <c r="K17" s="17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7"/>
      <c r="B18" s="17"/>
      <c r="C18" s="17" t="s">
        <v>106</v>
      </c>
      <c r="D18" s="17" t="s">
        <v>204</v>
      </c>
      <c r="E18" s="17" t="s">
        <v>205</v>
      </c>
      <c r="F18" s="17" t="s">
        <v>206</v>
      </c>
      <c r="G18" s="17" t="s">
        <v>14</v>
      </c>
      <c r="H18" s="17" t="s">
        <v>109</v>
      </c>
      <c r="I18" s="17">
        <v>2.0</v>
      </c>
      <c r="J18" s="17" t="s">
        <v>207</v>
      </c>
      <c r="K18" s="17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7"/>
      <c r="B19" s="17"/>
      <c r="C19" s="17" t="s">
        <v>106</v>
      </c>
      <c r="D19" s="17" t="s">
        <v>107</v>
      </c>
      <c r="E19" s="17">
        <v>7.42792023E8</v>
      </c>
      <c r="F19" s="17" t="s">
        <v>208</v>
      </c>
      <c r="G19" s="17" t="s">
        <v>14</v>
      </c>
      <c r="H19" s="17" t="s">
        <v>109</v>
      </c>
      <c r="I19" s="17">
        <v>3.0</v>
      </c>
      <c r="J19" s="17" t="s">
        <v>56</v>
      </c>
      <c r="K19" s="17" t="s">
        <v>56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7"/>
      <c r="B20" s="17"/>
      <c r="C20" s="17" t="s">
        <v>110</v>
      </c>
      <c r="D20" s="17" t="s">
        <v>119</v>
      </c>
      <c r="E20" s="17" t="s">
        <v>120</v>
      </c>
      <c r="F20" s="17" t="s">
        <v>209</v>
      </c>
      <c r="G20" s="17" t="s">
        <v>14</v>
      </c>
      <c r="H20" s="13" t="s">
        <v>122</v>
      </c>
      <c r="I20" s="17">
        <v>1.0</v>
      </c>
      <c r="J20" s="17" t="s">
        <v>123</v>
      </c>
      <c r="K20" s="17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7"/>
      <c r="B21" s="17"/>
      <c r="C21" s="17" t="s">
        <v>110</v>
      </c>
      <c r="D21" s="17" t="s">
        <v>119</v>
      </c>
      <c r="E21" s="17" t="s">
        <v>210</v>
      </c>
      <c r="F21" s="17" t="s">
        <v>211</v>
      </c>
      <c r="G21" s="17" t="s">
        <v>14</v>
      </c>
      <c r="H21" s="17" t="s">
        <v>212</v>
      </c>
      <c r="I21" s="17">
        <v>2.0</v>
      </c>
      <c r="J21" s="17" t="s">
        <v>123</v>
      </c>
      <c r="K21" s="17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17"/>
      <c r="B22" s="17"/>
      <c r="C22" s="17" t="s">
        <v>110</v>
      </c>
      <c r="D22" s="17" t="s">
        <v>213</v>
      </c>
      <c r="E22" s="17" t="s">
        <v>214</v>
      </c>
      <c r="F22" s="17" t="s">
        <v>215</v>
      </c>
      <c r="G22" s="17" t="s">
        <v>14</v>
      </c>
      <c r="H22" s="17" t="s">
        <v>216</v>
      </c>
      <c r="I22" s="17">
        <v>1.0</v>
      </c>
      <c r="J22" s="17" t="s">
        <v>123</v>
      </c>
      <c r="K22" s="17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17"/>
      <c r="B23" s="17"/>
      <c r="C23" s="17" t="s">
        <v>110</v>
      </c>
      <c r="D23" s="17" t="s">
        <v>217</v>
      </c>
      <c r="E23" s="17" t="s">
        <v>218</v>
      </c>
      <c r="F23" s="17" t="s">
        <v>121</v>
      </c>
      <c r="G23" s="17" t="s">
        <v>14</v>
      </c>
      <c r="H23" s="17" t="s">
        <v>219</v>
      </c>
      <c r="I23" s="17">
        <v>1.0</v>
      </c>
      <c r="J23" s="17"/>
      <c r="K23" s="17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17"/>
      <c r="B24" s="17"/>
      <c r="C24" s="17" t="s">
        <v>110</v>
      </c>
      <c r="D24" s="17" t="s">
        <v>220</v>
      </c>
      <c r="E24" s="17" t="s">
        <v>221</v>
      </c>
      <c r="F24" s="17" t="s">
        <v>222</v>
      </c>
      <c r="G24" s="17" t="s">
        <v>14</v>
      </c>
      <c r="H24" s="17" t="s">
        <v>223</v>
      </c>
      <c r="I24" s="17">
        <v>1.0</v>
      </c>
      <c r="J24" s="29" t="s">
        <v>224</v>
      </c>
      <c r="K24" s="17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17"/>
      <c r="B25" s="17"/>
      <c r="C25" s="17" t="s">
        <v>110</v>
      </c>
      <c r="D25" s="17" t="s">
        <v>225</v>
      </c>
      <c r="E25" s="13" t="s">
        <v>226</v>
      </c>
      <c r="F25" s="17" t="s">
        <v>227</v>
      </c>
      <c r="G25" s="17" t="s">
        <v>14</v>
      </c>
      <c r="H25" s="13" t="s">
        <v>228</v>
      </c>
      <c r="I25" s="17">
        <v>1.0</v>
      </c>
      <c r="J25" s="17" t="s">
        <v>229</v>
      </c>
      <c r="K25" s="17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17"/>
      <c r="B26" s="17"/>
      <c r="C26" s="17" t="s">
        <v>110</v>
      </c>
      <c r="D26" s="17" t="s">
        <v>230</v>
      </c>
      <c r="E26" s="17" t="s">
        <v>231</v>
      </c>
      <c r="F26" s="17" t="s">
        <v>232</v>
      </c>
      <c r="G26" s="17" t="s">
        <v>14</v>
      </c>
      <c r="H26" s="17" t="s">
        <v>233</v>
      </c>
      <c r="I26" s="17">
        <v>5.0</v>
      </c>
      <c r="J26" s="17" t="s">
        <v>234</v>
      </c>
      <c r="K26" s="17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17"/>
      <c r="B27" s="17"/>
      <c r="C27" s="17" t="s">
        <v>150</v>
      </c>
      <c r="D27" s="17" t="s">
        <v>235</v>
      </c>
      <c r="E27" s="17"/>
      <c r="F27" s="17" t="s">
        <v>236</v>
      </c>
      <c r="G27" s="17" t="s">
        <v>22</v>
      </c>
      <c r="H27" s="17" t="s">
        <v>237</v>
      </c>
      <c r="I27" s="17">
        <v>4.0</v>
      </c>
      <c r="J27" s="17"/>
      <c r="K27" s="17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17"/>
      <c r="B28" s="17"/>
      <c r="C28" s="17" t="s">
        <v>150</v>
      </c>
      <c r="D28" s="13" t="s">
        <v>151</v>
      </c>
      <c r="E28" s="17" t="s">
        <v>152</v>
      </c>
      <c r="F28" s="17" t="s">
        <v>238</v>
      </c>
      <c r="G28" s="17" t="s">
        <v>14</v>
      </c>
      <c r="H28" s="17" t="s">
        <v>36</v>
      </c>
      <c r="I28" s="17">
        <v>3.0</v>
      </c>
      <c r="J28" s="13" t="s">
        <v>56</v>
      </c>
      <c r="K28" s="13" t="s">
        <v>56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17"/>
      <c r="B29" s="17"/>
      <c r="C29" s="17" t="s">
        <v>32</v>
      </c>
      <c r="D29" s="17" t="s">
        <v>33</v>
      </c>
      <c r="E29" s="17" t="s">
        <v>34</v>
      </c>
      <c r="F29" s="17" t="s">
        <v>239</v>
      </c>
      <c r="G29" s="17" t="s">
        <v>14</v>
      </c>
      <c r="H29" s="17" t="s">
        <v>36</v>
      </c>
      <c r="I29" s="17">
        <v>41.0</v>
      </c>
      <c r="J29" s="17"/>
      <c r="K29" s="17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17"/>
      <c r="B30" s="17"/>
      <c r="C30" s="17" t="s">
        <v>32</v>
      </c>
      <c r="D30" s="17" t="s">
        <v>240</v>
      </c>
      <c r="E30" s="17"/>
      <c r="F30" s="17" t="s">
        <v>241</v>
      </c>
      <c r="G30" s="17" t="s">
        <v>14</v>
      </c>
      <c r="H30" s="17" t="s">
        <v>36</v>
      </c>
      <c r="I30" s="17">
        <v>1.0</v>
      </c>
      <c r="J30" s="17"/>
      <c r="K30" s="17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17"/>
      <c r="B31" s="17"/>
      <c r="C31" s="17" t="s">
        <v>32</v>
      </c>
      <c r="D31" s="17" t="s">
        <v>242</v>
      </c>
      <c r="E31" s="17"/>
      <c r="F31" s="17" t="s">
        <v>243</v>
      </c>
      <c r="G31" s="17" t="s">
        <v>14</v>
      </c>
      <c r="H31" s="17" t="s">
        <v>36</v>
      </c>
      <c r="I31" s="17">
        <v>1.0</v>
      </c>
      <c r="J31" s="17"/>
      <c r="K31" s="17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17"/>
      <c r="B32" s="17"/>
      <c r="C32" s="17" t="s">
        <v>32</v>
      </c>
      <c r="D32" s="17" t="s">
        <v>37</v>
      </c>
      <c r="E32" s="17"/>
      <c r="F32" s="17" t="s">
        <v>244</v>
      </c>
      <c r="G32" s="17" t="s">
        <v>14</v>
      </c>
      <c r="H32" s="17" t="s">
        <v>36</v>
      </c>
      <c r="I32" s="17">
        <v>4.0</v>
      </c>
      <c r="J32" s="17"/>
      <c r="K32" s="17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17"/>
      <c r="B33" s="17"/>
      <c r="C33" s="17" t="s">
        <v>32</v>
      </c>
      <c r="D33" s="17" t="s">
        <v>41</v>
      </c>
      <c r="E33" s="16" t="s">
        <v>34</v>
      </c>
      <c r="F33" s="17" t="s">
        <v>245</v>
      </c>
      <c r="G33" s="17" t="s">
        <v>14</v>
      </c>
      <c r="H33" s="17" t="s">
        <v>36</v>
      </c>
      <c r="I33" s="17">
        <v>15.0</v>
      </c>
      <c r="J33" s="17"/>
      <c r="K33" s="17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17"/>
      <c r="B34" s="17"/>
      <c r="C34" s="17" t="s">
        <v>32</v>
      </c>
      <c r="D34" s="17" t="s">
        <v>246</v>
      </c>
      <c r="E34" s="17"/>
      <c r="F34" s="17" t="s">
        <v>247</v>
      </c>
      <c r="G34" s="17" t="s">
        <v>14</v>
      </c>
      <c r="H34" s="17" t="s">
        <v>36</v>
      </c>
      <c r="I34" s="17">
        <v>5.0</v>
      </c>
      <c r="J34" s="17"/>
      <c r="K34" s="17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17"/>
      <c r="B35" s="17"/>
      <c r="C35" s="17" t="s">
        <v>32</v>
      </c>
      <c r="D35" s="17" t="s">
        <v>248</v>
      </c>
      <c r="E35" s="17"/>
      <c r="F35" s="17" t="s">
        <v>249</v>
      </c>
      <c r="G35" s="17" t="s">
        <v>14</v>
      </c>
      <c r="H35" s="17" t="s">
        <v>36</v>
      </c>
      <c r="I35" s="17">
        <v>2.0</v>
      </c>
      <c r="J35" s="17"/>
      <c r="K35" s="17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17"/>
      <c r="B36" s="17"/>
      <c r="C36" s="17" t="s">
        <v>32</v>
      </c>
      <c r="D36" s="17" t="s">
        <v>250</v>
      </c>
      <c r="E36" s="17"/>
      <c r="F36" s="17" t="s">
        <v>251</v>
      </c>
      <c r="G36" s="17" t="s">
        <v>14</v>
      </c>
      <c r="H36" s="17" t="s">
        <v>36</v>
      </c>
      <c r="I36" s="17">
        <v>1.0</v>
      </c>
      <c r="J36" s="17"/>
      <c r="K36" s="17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17"/>
      <c r="B37" s="17"/>
      <c r="C37" s="17" t="s">
        <v>32</v>
      </c>
      <c r="D37" s="17" t="s">
        <v>47</v>
      </c>
      <c r="E37" s="17" t="s">
        <v>34</v>
      </c>
      <c r="F37" s="17" t="s">
        <v>252</v>
      </c>
      <c r="G37" s="17" t="s">
        <v>14</v>
      </c>
      <c r="H37" s="17" t="s">
        <v>36</v>
      </c>
      <c r="I37" s="17">
        <v>2.0</v>
      </c>
      <c r="J37" s="17"/>
      <c r="K37" s="17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17"/>
      <c r="B38" s="17"/>
      <c r="C38" s="17" t="s">
        <v>32</v>
      </c>
      <c r="D38" s="17" t="s">
        <v>253</v>
      </c>
      <c r="E38" s="17"/>
      <c r="F38" s="17" t="s">
        <v>254</v>
      </c>
      <c r="G38" s="17" t="s">
        <v>14</v>
      </c>
      <c r="H38" s="17" t="s">
        <v>36</v>
      </c>
      <c r="I38" s="17">
        <v>1.0</v>
      </c>
      <c r="J38" s="17"/>
      <c r="K38" s="17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17"/>
      <c r="B39" s="17"/>
      <c r="C39" s="17" t="s">
        <v>32</v>
      </c>
      <c r="D39" s="17" t="s">
        <v>255</v>
      </c>
      <c r="E39" s="17"/>
      <c r="F39" s="17" t="s">
        <v>256</v>
      </c>
      <c r="G39" s="17" t="s">
        <v>14</v>
      </c>
      <c r="H39" s="17" t="s">
        <v>36</v>
      </c>
      <c r="I39" s="17">
        <v>1.0</v>
      </c>
      <c r="J39" s="17"/>
      <c r="K39" s="17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30"/>
      <c r="B40" s="16"/>
      <c r="C40" s="13" t="s">
        <v>110</v>
      </c>
      <c r="D40" s="13" t="s">
        <v>257</v>
      </c>
      <c r="E40" s="13" t="s">
        <v>258</v>
      </c>
      <c r="F40" s="13" t="s">
        <v>131</v>
      </c>
      <c r="G40" s="17" t="s">
        <v>14</v>
      </c>
      <c r="H40" s="13" t="s">
        <v>259</v>
      </c>
      <c r="I40" s="13">
        <v>1.0</v>
      </c>
      <c r="J40" s="13" t="s">
        <v>260</v>
      </c>
      <c r="K40" s="16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0"/>
      <c r="B41" s="16"/>
      <c r="C41" s="13" t="s">
        <v>110</v>
      </c>
      <c r="D41" s="13" t="s">
        <v>261</v>
      </c>
      <c r="E41" s="13" t="s">
        <v>262</v>
      </c>
      <c r="F41" s="13" t="s">
        <v>263</v>
      </c>
      <c r="G41" s="17" t="s">
        <v>14</v>
      </c>
      <c r="H41" s="13" t="s">
        <v>264</v>
      </c>
      <c r="I41" s="13">
        <v>1.0</v>
      </c>
      <c r="J41" s="13" t="s">
        <v>224</v>
      </c>
      <c r="K41" s="16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2"/>
      <c r="B42" s="16"/>
      <c r="C42" s="13" t="s">
        <v>110</v>
      </c>
      <c r="D42" s="13" t="s">
        <v>265</v>
      </c>
      <c r="E42" s="13" t="s">
        <v>266</v>
      </c>
      <c r="F42" s="13" t="s">
        <v>267</v>
      </c>
      <c r="G42" s="17" t="s">
        <v>14</v>
      </c>
      <c r="H42" s="13" t="s">
        <v>268</v>
      </c>
      <c r="I42" s="13">
        <v>1.0</v>
      </c>
      <c r="J42" s="33" t="s">
        <v>224</v>
      </c>
      <c r="K42" s="34"/>
    </row>
    <row r="43">
      <c r="A43" s="32"/>
      <c r="B43" s="16"/>
      <c r="C43" s="17" t="s">
        <v>269</v>
      </c>
      <c r="D43" s="17" t="s">
        <v>270</v>
      </c>
      <c r="E43" s="17" t="s">
        <v>271</v>
      </c>
      <c r="F43" s="17" t="s">
        <v>272</v>
      </c>
      <c r="G43" s="17" t="s">
        <v>14</v>
      </c>
      <c r="H43" s="17" t="s">
        <v>233</v>
      </c>
      <c r="I43" s="17">
        <v>1.0</v>
      </c>
      <c r="J43" s="29" t="s">
        <v>273</v>
      </c>
      <c r="K43" s="34"/>
    </row>
    <row r="44">
      <c r="A44" s="32"/>
      <c r="B44" s="16"/>
      <c r="C44" s="13" t="s">
        <v>53</v>
      </c>
      <c r="D44" s="13" t="s">
        <v>274</v>
      </c>
      <c r="E44" s="35">
        <v>6.0312002114503E13</v>
      </c>
      <c r="F44" s="13" t="s">
        <v>63</v>
      </c>
      <c r="G44" s="13" t="s">
        <v>22</v>
      </c>
      <c r="H44" s="35" t="s">
        <v>275</v>
      </c>
      <c r="I44" s="13">
        <v>1.0</v>
      </c>
      <c r="J44" s="33" t="s">
        <v>56</v>
      </c>
      <c r="K44" s="36" t="s">
        <v>56</v>
      </c>
    </row>
    <row r="45">
      <c r="A45" s="32"/>
      <c r="B45" s="16"/>
      <c r="C45" s="13" t="s">
        <v>110</v>
      </c>
      <c r="D45" s="13" t="s">
        <v>276</v>
      </c>
      <c r="E45" s="13" t="s">
        <v>277</v>
      </c>
      <c r="F45" s="13" t="s">
        <v>278</v>
      </c>
      <c r="G45" s="17" t="s">
        <v>14</v>
      </c>
      <c r="H45" s="13" t="s">
        <v>279</v>
      </c>
      <c r="I45" s="13">
        <v>1.0</v>
      </c>
      <c r="J45" s="33" t="s">
        <v>280</v>
      </c>
      <c r="K45" s="34"/>
    </row>
    <row r="46">
      <c r="A46" s="32"/>
      <c r="B46" s="16"/>
      <c r="C46" s="17" t="s">
        <v>32</v>
      </c>
      <c r="D46" s="13" t="s">
        <v>281</v>
      </c>
      <c r="E46" s="17" t="s">
        <v>34</v>
      </c>
      <c r="F46" s="13" t="s">
        <v>282</v>
      </c>
      <c r="G46" s="13" t="s">
        <v>14</v>
      </c>
      <c r="H46" s="17" t="s">
        <v>36</v>
      </c>
      <c r="I46" s="13">
        <v>1.0</v>
      </c>
      <c r="J46" s="37"/>
      <c r="K46" s="34"/>
    </row>
    <row r="47">
      <c r="A47" s="32"/>
      <c r="B47" s="16"/>
      <c r="C47" s="17" t="s">
        <v>32</v>
      </c>
      <c r="D47" s="13" t="s">
        <v>283</v>
      </c>
      <c r="E47" s="17" t="s">
        <v>34</v>
      </c>
      <c r="F47" s="13" t="s">
        <v>284</v>
      </c>
      <c r="G47" s="13" t="s">
        <v>14</v>
      </c>
      <c r="H47" s="17" t="s">
        <v>36</v>
      </c>
      <c r="I47" s="13">
        <v>1.0</v>
      </c>
      <c r="J47" s="37"/>
      <c r="K47" s="34"/>
    </row>
    <row r="48">
      <c r="A48" s="32"/>
      <c r="B48" s="16"/>
      <c r="C48" s="17" t="s">
        <v>106</v>
      </c>
      <c r="D48" s="13" t="s">
        <v>285</v>
      </c>
      <c r="E48" s="13" t="s">
        <v>286</v>
      </c>
      <c r="F48" s="13" t="s">
        <v>287</v>
      </c>
      <c r="G48" s="13" t="s">
        <v>14</v>
      </c>
      <c r="H48" s="17" t="s">
        <v>36</v>
      </c>
      <c r="I48" s="13">
        <v>1.0</v>
      </c>
      <c r="J48" s="33" t="s">
        <v>288</v>
      </c>
      <c r="K48" s="34"/>
    </row>
    <row r="49">
      <c r="A49" s="32"/>
      <c r="B49" s="16"/>
      <c r="C49" s="13" t="s">
        <v>289</v>
      </c>
      <c r="D49" s="13" t="s">
        <v>290</v>
      </c>
      <c r="E49" s="13">
        <v>7.44914135E8</v>
      </c>
      <c r="F49" s="13" t="s">
        <v>291</v>
      </c>
      <c r="G49" s="13" t="s">
        <v>14</v>
      </c>
      <c r="H49" s="13" t="s">
        <v>292</v>
      </c>
      <c r="I49" s="13">
        <v>1.0</v>
      </c>
      <c r="J49" s="33" t="s">
        <v>56</v>
      </c>
      <c r="K49" s="36" t="s">
        <v>56</v>
      </c>
    </row>
    <row r="50">
      <c r="A50" s="32"/>
      <c r="B50" s="16"/>
      <c r="C50" s="13" t="s">
        <v>11</v>
      </c>
      <c r="D50" s="15" t="s">
        <v>27</v>
      </c>
      <c r="E50" s="17"/>
      <c r="F50" s="13" t="s">
        <v>293</v>
      </c>
      <c r="G50" s="13" t="s">
        <v>14</v>
      </c>
      <c r="H50" s="14" t="s">
        <v>15</v>
      </c>
      <c r="I50" s="13">
        <v>3.0</v>
      </c>
      <c r="J50" s="37"/>
      <c r="K50" s="34"/>
    </row>
    <row r="51">
      <c r="A51" s="32"/>
      <c r="B51" s="16"/>
      <c r="C51" s="13" t="s">
        <v>32</v>
      </c>
      <c r="D51" s="17" t="s">
        <v>294</v>
      </c>
      <c r="E51" s="17"/>
      <c r="F51" s="13" t="s">
        <v>295</v>
      </c>
      <c r="G51" s="13" t="s">
        <v>14</v>
      </c>
      <c r="H51" s="17" t="s">
        <v>36</v>
      </c>
      <c r="I51" s="13">
        <v>2.0</v>
      </c>
      <c r="J51" s="38"/>
      <c r="K51" s="33"/>
    </row>
    <row r="52">
      <c r="A52" s="6"/>
      <c r="B52" s="7"/>
      <c r="C52" s="7"/>
      <c r="D52" s="7"/>
      <c r="E52" s="7"/>
      <c r="F52" s="7"/>
      <c r="G52" s="7"/>
      <c r="H52" s="7"/>
      <c r="I52" s="7"/>
      <c r="J52" s="8"/>
      <c r="K52" s="9"/>
    </row>
    <row r="53">
      <c r="A53" s="6"/>
      <c r="B53" s="7"/>
      <c r="C53" s="7"/>
      <c r="D53" s="7"/>
      <c r="E53" s="7"/>
      <c r="F53" s="7"/>
      <c r="G53" s="7"/>
      <c r="H53" s="7"/>
      <c r="I53" s="7"/>
      <c r="J53" s="8"/>
      <c r="K53" s="9"/>
    </row>
    <row r="54">
      <c r="A54" s="6"/>
      <c r="B54" s="7"/>
      <c r="C54" s="7"/>
      <c r="D54" s="7"/>
      <c r="E54" s="7"/>
      <c r="F54" s="7"/>
      <c r="G54" s="7"/>
      <c r="H54" s="7"/>
      <c r="I54" s="7"/>
      <c r="J54" s="8"/>
      <c r="K54" s="9"/>
    </row>
    <row r="55">
      <c r="A55" s="6"/>
      <c r="B55" s="7"/>
      <c r="C55" s="7"/>
      <c r="D55" s="7"/>
      <c r="E55" s="7"/>
      <c r="F55" s="7"/>
      <c r="G55" s="7"/>
      <c r="H55" s="7"/>
      <c r="I55" s="7"/>
      <c r="J55" s="8"/>
      <c r="K55" s="9"/>
    </row>
    <row r="56">
      <c r="A56" s="6"/>
      <c r="B56" s="7"/>
      <c r="C56" s="7"/>
      <c r="D56" s="7"/>
      <c r="E56" s="7"/>
      <c r="F56" s="7"/>
      <c r="G56" s="7"/>
      <c r="H56" s="7"/>
      <c r="I56" s="7"/>
      <c r="J56" s="8"/>
      <c r="K56" s="9"/>
    </row>
    <row r="57">
      <c r="A57" s="6"/>
      <c r="B57" s="7"/>
      <c r="C57" s="7"/>
      <c r="D57" s="7"/>
      <c r="E57" s="7"/>
      <c r="F57" s="7"/>
      <c r="G57" s="7"/>
      <c r="H57" s="7"/>
      <c r="I57" s="7"/>
      <c r="J57" s="8"/>
      <c r="K57" s="9"/>
    </row>
    <row r="58">
      <c r="A58" s="6"/>
      <c r="B58" s="7"/>
      <c r="C58" s="7"/>
      <c r="D58" s="7"/>
      <c r="E58" s="7"/>
      <c r="F58" s="7"/>
      <c r="G58" s="7"/>
      <c r="H58" s="7"/>
      <c r="I58" s="7"/>
      <c r="J58" s="8"/>
      <c r="K58" s="9"/>
    </row>
    <row r="59">
      <c r="A59" s="6"/>
      <c r="B59" s="7"/>
      <c r="C59" s="7"/>
      <c r="D59" s="7"/>
      <c r="E59" s="7"/>
      <c r="F59" s="7"/>
      <c r="G59" s="7"/>
      <c r="H59" s="7"/>
      <c r="I59" s="7"/>
      <c r="J59" s="8"/>
      <c r="K59" s="9"/>
    </row>
    <row r="60">
      <c r="A60" s="6"/>
      <c r="B60" s="7"/>
      <c r="C60" s="7"/>
      <c r="D60" s="7"/>
      <c r="E60" s="7"/>
      <c r="F60" s="7"/>
      <c r="G60" s="7"/>
      <c r="H60" s="7"/>
      <c r="I60" s="7"/>
      <c r="J60" s="8"/>
      <c r="K60" s="9"/>
    </row>
    <row r="61">
      <c r="A61" s="6"/>
      <c r="B61" s="7"/>
      <c r="C61" s="7"/>
      <c r="D61" s="7"/>
      <c r="E61" s="7"/>
      <c r="F61" s="7"/>
      <c r="G61" s="7"/>
      <c r="H61" s="7"/>
      <c r="I61" s="7"/>
      <c r="J61" s="8"/>
      <c r="K61" s="9"/>
    </row>
    <row r="62">
      <c r="A62" s="6"/>
      <c r="B62" s="7"/>
      <c r="C62" s="7"/>
      <c r="D62" s="7"/>
      <c r="E62" s="7"/>
      <c r="F62" s="7"/>
      <c r="G62" s="7"/>
      <c r="H62" s="7"/>
      <c r="I62" s="7"/>
      <c r="J62" s="8"/>
      <c r="K62" s="9"/>
    </row>
    <row r="63">
      <c r="A63" s="6"/>
      <c r="B63" s="7"/>
      <c r="C63" s="7"/>
      <c r="D63" s="7"/>
      <c r="E63" s="7"/>
      <c r="F63" s="7"/>
      <c r="G63" s="7"/>
      <c r="H63" s="7"/>
      <c r="I63" s="7"/>
      <c r="J63" s="8"/>
      <c r="K63" s="9"/>
    </row>
    <row r="64">
      <c r="A64" s="6"/>
      <c r="B64" s="7"/>
      <c r="C64" s="7"/>
      <c r="D64" s="7"/>
      <c r="E64" s="7"/>
      <c r="F64" s="7"/>
      <c r="G64" s="7"/>
      <c r="H64" s="7"/>
      <c r="I64" s="7"/>
      <c r="J64" s="8"/>
      <c r="K64" s="9"/>
    </row>
    <row r="65">
      <c r="A65" s="6"/>
      <c r="B65" s="7"/>
      <c r="C65" s="7"/>
      <c r="D65" s="7"/>
      <c r="E65" s="7"/>
      <c r="F65" s="7"/>
      <c r="G65" s="7"/>
      <c r="H65" s="7"/>
      <c r="I65" s="7"/>
      <c r="J65" s="8"/>
      <c r="K65" s="9"/>
    </row>
    <row r="66">
      <c r="A66" s="6"/>
      <c r="B66" s="7"/>
      <c r="C66" s="7"/>
      <c r="D66" s="7"/>
      <c r="E66" s="7"/>
      <c r="F66" s="7"/>
      <c r="G66" s="7"/>
      <c r="H66" s="7"/>
      <c r="I66" s="7"/>
      <c r="J66" s="8"/>
      <c r="K66" s="9"/>
    </row>
    <row r="67">
      <c r="A67" s="6"/>
      <c r="B67" s="7"/>
      <c r="C67" s="7"/>
      <c r="D67" s="7"/>
      <c r="E67" s="7"/>
      <c r="F67" s="7"/>
      <c r="G67" s="7"/>
      <c r="H67" s="7"/>
      <c r="I67" s="7"/>
      <c r="J67" s="8"/>
      <c r="K67" s="9"/>
    </row>
    <row r="68">
      <c r="A68" s="6"/>
      <c r="B68" s="7"/>
      <c r="C68" s="7"/>
      <c r="D68" s="7"/>
      <c r="E68" s="7"/>
      <c r="F68" s="7"/>
      <c r="G68" s="7"/>
      <c r="H68" s="7"/>
      <c r="I68" s="7"/>
      <c r="J68" s="8"/>
      <c r="K68" s="9"/>
    </row>
    <row r="69">
      <c r="A69" s="6"/>
      <c r="B69" s="7"/>
      <c r="C69" s="7"/>
      <c r="D69" s="7"/>
      <c r="E69" s="7"/>
      <c r="F69" s="7"/>
      <c r="G69" s="7"/>
      <c r="H69" s="7"/>
      <c r="I69" s="7"/>
      <c r="J69" s="8"/>
      <c r="K69" s="9"/>
    </row>
    <row r="70">
      <c r="A70" s="6"/>
      <c r="B70" s="7"/>
      <c r="C70" s="7"/>
      <c r="D70" s="7"/>
      <c r="E70" s="7"/>
      <c r="F70" s="7"/>
      <c r="G70" s="7"/>
      <c r="H70" s="7"/>
      <c r="I70" s="7"/>
      <c r="J70" s="8"/>
      <c r="K70" s="9"/>
    </row>
    <row r="71">
      <c r="A71" s="6"/>
      <c r="B71" s="7"/>
      <c r="C71" s="7"/>
      <c r="D71" s="7"/>
      <c r="E71" s="7"/>
      <c r="F71" s="7"/>
      <c r="G71" s="7"/>
      <c r="H71" s="7"/>
      <c r="I71" s="7"/>
      <c r="J71" s="8"/>
      <c r="K71" s="9"/>
    </row>
    <row r="72">
      <c r="A72" s="6"/>
      <c r="B72" s="7"/>
      <c r="C72" s="7"/>
      <c r="D72" s="7"/>
      <c r="E72" s="7"/>
      <c r="F72" s="7"/>
      <c r="G72" s="7"/>
      <c r="H72" s="7"/>
      <c r="I72" s="7"/>
      <c r="J72" s="8"/>
      <c r="K72" s="9"/>
    </row>
    <row r="73">
      <c r="A73" s="6"/>
      <c r="B73" s="7"/>
      <c r="C73" s="7"/>
      <c r="D73" s="7"/>
      <c r="E73" s="7"/>
      <c r="F73" s="7"/>
      <c r="G73" s="7"/>
      <c r="H73" s="7"/>
      <c r="I73" s="7"/>
      <c r="J73" s="8"/>
      <c r="K73" s="9"/>
    </row>
    <row r="74">
      <c r="A74" s="6"/>
      <c r="B74" s="7"/>
      <c r="C74" s="7"/>
      <c r="D74" s="7"/>
      <c r="E74" s="7"/>
      <c r="F74" s="7"/>
      <c r="G74" s="7"/>
      <c r="H74" s="7"/>
      <c r="I74" s="7"/>
      <c r="J74" s="8"/>
      <c r="K74" s="9"/>
    </row>
    <row r="75">
      <c r="A75" s="6"/>
      <c r="B75" s="7"/>
      <c r="C75" s="7"/>
      <c r="D75" s="7"/>
      <c r="E75" s="7"/>
      <c r="F75" s="7"/>
      <c r="G75" s="7"/>
      <c r="H75" s="7"/>
      <c r="I75" s="7"/>
      <c r="J75" s="8"/>
      <c r="K75" s="9"/>
    </row>
    <row r="76">
      <c r="A76" s="6"/>
      <c r="B76" s="7"/>
      <c r="C76" s="7"/>
      <c r="D76" s="7"/>
      <c r="E76" s="7"/>
      <c r="F76" s="7"/>
      <c r="G76" s="7"/>
      <c r="H76" s="7"/>
      <c r="I76" s="7"/>
      <c r="J76" s="8"/>
      <c r="K76" s="9"/>
    </row>
    <row r="77">
      <c r="A77" s="6"/>
      <c r="B77" s="7"/>
      <c r="C77" s="7"/>
      <c r="D77" s="7"/>
      <c r="E77" s="7"/>
      <c r="F77" s="7"/>
      <c r="G77" s="7"/>
      <c r="H77" s="7"/>
      <c r="I77" s="7"/>
      <c r="J77" s="8"/>
      <c r="K77" s="9"/>
    </row>
    <row r="78">
      <c r="A78" s="6"/>
      <c r="B78" s="7"/>
      <c r="C78" s="7"/>
      <c r="D78" s="7"/>
      <c r="E78" s="7"/>
      <c r="F78" s="7"/>
      <c r="G78" s="7"/>
      <c r="H78" s="7"/>
      <c r="I78" s="7"/>
      <c r="J78" s="8"/>
      <c r="K78" s="9"/>
    </row>
    <row r="79">
      <c r="A79" s="6"/>
      <c r="B79" s="7"/>
      <c r="C79" s="7"/>
      <c r="D79" s="7"/>
      <c r="E79" s="7"/>
      <c r="F79" s="7"/>
      <c r="G79" s="7"/>
      <c r="H79" s="7"/>
      <c r="I79" s="7"/>
      <c r="J79" s="8"/>
      <c r="K79" s="9"/>
    </row>
    <row r="80">
      <c r="A80" s="6"/>
      <c r="B80" s="7"/>
      <c r="C80" s="7"/>
      <c r="D80" s="7"/>
      <c r="E80" s="7"/>
      <c r="F80" s="7"/>
      <c r="G80" s="7"/>
      <c r="H80" s="7"/>
      <c r="I80" s="7"/>
      <c r="J80" s="8"/>
      <c r="K80" s="9"/>
    </row>
    <row r="81">
      <c r="A81" s="6"/>
      <c r="B81" s="7"/>
      <c r="C81" s="7"/>
      <c r="D81" s="7"/>
      <c r="E81" s="7"/>
      <c r="F81" s="7"/>
      <c r="G81" s="7"/>
      <c r="H81" s="7"/>
      <c r="I81" s="7"/>
      <c r="J81" s="8"/>
      <c r="K81" s="9"/>
    </row>
    <row r="82">
      <c r="A82" s="6"/>
      <c r="B82" s="7"/>
      <c r="C82" s="7"/>
      <c r="D82" s="7"/>
      <c r="E82" s="7"/>
      <c r="F82" s="7"/>
      <c r="G82" s="7"/>
      <c r="H82" s="7"/>
      <c r="I82" s="7"/>
      <c r="J82" s="8"/>
      <c r="K82" s="9"/>
    </row>
    <row r="83">
      <c r="A83" s="6"/>
      <c r="B83" s="7"/>
      <c r="C83" s="7"/>
      <c r="D83" s="7"/>
      <c r="E83" s="7"/>
      <c r="F83" s="7"/>
      <c r="G83" s="7"/>
      <c r="H83" s="7"/>
      <c r="I83" s="7"/>
      <c r="J83" s="8"/>
      <c r="K83" s="9"/>
    </row>
    <row r="84">
      <c r="A84" s="6"/>
      <c r="B84" s="7"/>
      <c r="C84" s="7"/>
      <c r="D84" s="7"/>
      <c r="E84" s="7"/>
      <c r="F84" s="7"/>
      <c r="G84" s="7"/>
      <c r="H84" s="7"/>
      <c r="I84" s="7"/>
      <c r="J84" s="8"/>
      <c r="K84" s="9"/>
    </row>
    <row r="85">
      <c r="A85" s="6"/>
      <c r="B85" s="7"/>
      <c r="C85" s="7"/>
      <c r="D85" s="7"/>
      <c r="E85" s="7"/>
      <c r="F85" s="7"/>
      <c r="G85" s="7"/>
      <c r="H85" s="7"/>
      <c r="I85" s="7"/>
      <c r="J85" s="8"/>
      <c r="K85" s="9"/>
    </row>
    <row r="86">
      <c r="A86" s="6"/>
      <c r="B86" s="7"/>
      <c r="C86" s="7"/>
      <c r="D86" s="7"/>
      <c r="E86" s="7"/>
      <c r="F86" s="7"/>
      <c r="G86" s="7"/>
      <c r="H86" s="7"/>
      <c r="I86" s="7"/>
      <c r="J86" s="8"/>
      <c r="K86" s="9"/>
    </row>
    <row r="87">
      <c r="A87" s="6"/>
      <c r="B87" s="7"/>
      <c r="C87" s="7"/>
      <c r="D87" s="7"/>
      <c r="E87" s="7"/>
      <c r="F87" s="7"/>
      <c r="G87" s="7"/>
      <c r="H87" s="7"/>
      <c r="I87" s="7"/>
      <c r="J87" s="8"/>
      <c r="K87" s="9"/>
    </row>
    <row r="88">
      <c r="A88" s="6"/>
      <c r="B88" s="7"/>
      <c r="C88" s="7"/>
      <c r="D88" s="7"/>
      <c r="E88" s="7"/>
      <c r="F88" s="7"/>
      <c r="G88" s="7"/>
      <c r="H88" s="7"/>
      <c r="I88" s="7"/>
      <c r="J88" s="8"/>
      <c r="K88" s="9"/>
    </row>
    <row r="89">
      <c r="A89" s="6"/>
      <c r="B89" s="7"/>
      <c r="C89" s="7"/>
      <c r="D89" s="7"/>
      <c r="E89" s="7"/>
      <c r="F89" s="7"/>
      <c r="G89" s="7"/>
      <c r="H89" s="7"/>
      <c r="I89" s="7"/>
      <c r="J89" s="8"/>
      <c r="K89" s="9"/>
    </row>
    <row r="90">
      <c r="A90" s="6"/>
      <c r="B90" s="7"/>
      <c r="C90" s="7"/>
      <c r="D90" s="7"/>
      <c r="E90" s="7"/>
      <c r="F90" s="7"/>
      <c r="G90" s="7"/>
      <c r="H90" s="7"/>
      <c r="I90" s="7"/>
      <c r="J90" s="8"/>
      <c r="K90" s="9"/>
    </row>
    <row r="91">
      <c r="A91" s="6"/>
      <c r="B91" s="7"/>
      <c r="C91" s="7"/>
      <c r="D91" s="7"/>
      <c r="E91" s="7"/>
      <c r="F91" s="7"/>
      <c r="G91" s="7"/>
      <c r="H91" s="7"/>
      <c r="I91" s="7"/>
      <c r="J91" s="8"/>
      <c r="K91" s="9"/>
    </row>
    <row r="92">
      <c r="A92" s="6"/>
      <c r="B92" s="7"/>
      <c r="C92" s="7"/>
      <c r="D92" s="7"/>
      <c r="E92" s="7"/>
      <c r="F92" s="7"/>
      <c r="G92" s="7"/>
      <c r="H92" s="7"/>
      <c r="I92" s="7"/>
      <c r="J92" s="8"/>
      <c r="K92" s="9"/>
    </row>
    <row r="93">
      <c r="A93" s="6"/>
      <c r="B93" s="7"/>
      <c r="C93" s="7"/>
      <c r="D93" s="7"/>
      <c r="E93" s="7"/>
      <c r="F93" s="7"/>
      <c r="G93" s="7"/>
      <c r="H93" s="7"/>
      <c r="I93" s="7"/>
      <c r="J93" s="8"/>
      <c r="K93" s="9"/>
    </row>
    <row r="94">
      <c r="A94" s="6"/>
      <c r="B94" s="7"/>
      <c r="C94" s="7"/>
      <c r="D94" s="7"/>
      <c r="E94" s="7"/>
      <c r="F94" s="7"/>
      <c r="G94" s="7"/>
      <c r="H94" s="7"/>
      <c r="I94" s="7"/>
      <c r="J94" s="8"/>
      <c r="K94" s="9"/>
    </row>
    <row r="95">
      <c r="A95" s="6"/>
      <c r="B95" s="7"/>
      <c r="C95" s="7"/>
      <c r="D95" s="7"/>
      <c r="E95" s="7"/>
      <c r="F95" s="7"/>
      <c r="G95" s="7"/>
      <c r="H95" s="7"/>
      <c r="I95" s="7"/>
      <c r="J95" s="8"/>
      <c r="K95" s="9"/>
    </row>
    <row r="96">
      <c r="A96" s="6"/>
      <c r="B96" s="7"/>
      <c r="C96" s="7"/>
      <c r="D96" s="7"/>
      <c r="E96" s="7"/>
      <c r="F96" s="7"/>
      <c r="G96" s="7"/>
      <c r="H96" s="7"/>
      <c r="I96" s="7"/>
      <c r="J96" s="8"/>
      <c r="K96" s="9"/>
    </row>
    <row r="97">
      <c r="A97" s="6"/>
      <c r="B97" s="7"/>
      <c r="C97" s="7"/>
      <c r="D97" s="7"/>
      <c r="E97" s="7"/>
      <c r="F97" s="7"/>
      <c r="G97" s="7"/>
      <c r="H97" s="7"/>
      <c r="I97" s="7"/>
      <c r="J97" s="8"/>
      <c r="K97" s="9"/>
    </row>
    <row r="98">
      <c r="A98" s="6"/>
      <c r="B98" s="7"/>
      <c r="C98" s="7"/>
      <c r="D98" s="7"/>
      <c r="E98" s="7"/>
      <c r="F98" s="7"/>
      <c r="G98" s="7"/>
      <c r="H98" s="7"/>
      <c r="I98" s="7"/>
      <c r="J98" s="8"/>
      <c r="K98" s="9"/>
    </row>
    <row r="99">
      <c r="A99" s="6"/>
      <c r="B99" s="7"/>
      <c r="C99" s="7"/>
      <c r="D99" s="7"/>
      <c r="E99" s="7"/>
      <c r="F99" s="7"/>
      <c r="G99" s="7"/>
      <c r="H99" s="7"/>
      <c r="I99" s="7"/>
      <c r="J99" s="8"/>
      <c r="K99" s="9"/>
    </row>
    <row r="100">
      <c r="A100" s="6"/>
      <c r="B100" s="7"/>
      <c r="C100" s="7"/>
      <c r="D100" s="7"/>
      <c r="E100" s="7"/>
      <c r="F100" s="7"/>
      <c r="G100" s="7"/>
      <c r="H100" s="7"/>
      <c r="I100" s="7"/>
      <c r="J100" s="8"/>
      <c r="K100" s="9"/>
    </row>
    <row r="101">
      <c r="A101" s="6"/>
      <c r="B101" s="7"/>
      <c r="C101" s="7"/>
      <c r="D101" s="7"/>
      <c r="E101" s="7"/>
      <c r="F101" s="7"/>
      <c r="G101" s="7"/>
      <c r="H101" s="7"/>
      <c r="I101" s="7"/>
      <c r="J101" s="8"/>
      <c r="K101" s="9"/>
    </row>
    <row r="102">
      <c r="A102" s="6"/>
      <c r="B102" s="7"/>
      <c r="C102" s="7"/>
      <c r="D102" s="7"/>
      <c r="E102" s="7"/>
      <c r="F102" s="7"/>
      <c r="G102" s="7"/>
      <c r="H102" s="7"/>
      <c r="I102" s="7"/>
      <c r="J102" s="8"/>
      <c r="K102" s="9"/>
    </row>
    <row r="103">
      <c r="A103" s="6"/>
      <c r="B103" s="7"/>
      <c r="C103" s="7"/>
      <c r="D103" s="7"/>
      <c r="E103" s="7"/>
      <c r="F103" s="7"/>
      <c r="G103" s="7"/>
      <c r="H103" s="7"/>
      <c r="I103" s="7"/>
      <c r="J103" s="8"/>
      <c r="K103" s="9"/>
    </row>
    <row r="104">
      <c r="A104" s="6"/>
      <c r="B104" s="7"/>
      <c r="C104" s="7"/>
      <c r="D104" s="7"/>
      <c r="E104" s="7"/>
      <c r="F104" s="7"/>
      <c r="G104" s="7"/>
      <c r="H104" s="7"/>
      <c r="I104" s="7"/>
      <c r="J104" s="8"/>
      <c r="K104" s="9"/>
    </row>
    <row r="105">
      <c r="A105" s="6"/>
      <c r="B105" s="7"/>
      <c r="C105" s="7"/>
      <c r="D105" s="7"/>
      <c r="E105" s="7"/>
      <c r="F105" s="7"/>
      <c r="G105" s="7"/>
      <c r="H105" s="7"/>
      <c r="I105" s="7"/>
      <c r="J105" s="8"/>
      <c r="K105" s="9"/>
    </row>
    <row r="106">
      <c r="A106" s="6"/>
      <c r="B106" s="7"/>
      <c r="C106" s="7"/>
      <c r="D106" s="7"/>
      <c r="E106" s="7"/>
      <c r="F106" s="7"/>
      <c r="G106" s="7"/>
      <c r="H106" s="7"/>
      <c r="I106" s="7"/>
      <c r="J106" s="8"/>
      <c r="K106" s="9"/>
    </row>
    <row r="107">
      <c r="A107" s="6"/>
      <c r="B107" s="7"/>
      <c r="C107" s="7"/>
      <c r="D107" s="7"/>
      <c r="E107" s="7"/>
      <c r="F107" s="7"/>
      <c r="G107" s="7"/>
      <c r="H107" s="7"/>
      <c r="I107" s="7"/>
      <c r="J107" s="8"/>
      <c r="K107" s="9"/>
    </row>
    <row r="108">
      <c r="A108" s="6"/>
      <c r="B108" s="7"/>
      <c r="C108" s="7"/>
      <c r="D108" s="7"/>
      <c r="E108" s="7"/>
      <c r="F108" s="7"/>
      <c r="G108" s="7"/>
      <c r="H108" s="7"/>
      <c r="I108" s="7"/>
      <c r="J108" s="8"/>
      <c r="K108" s="9"/>
    </row>
    <row r="109">
      <c r="A109" s="6"/>
      <c r="B109" s="7"/>
      <c r="C109" s="7"/>
      <c r="D109" s="7"/>
      <c r="E109" s="7"/>
      <c r="F109" s="7"/>
      <c r="G109" s="7"/>
      <c r="H109" s="7"/>
      <c r="I109" s="7"/>
      <c r="J109" s="8"/>
      <c r="K109" s="9"/>
    </row>
    <row r="110">
      <c r="A110" s="6"/>
      <c r="B110" s="7"/>
      <c r="C110" s="7"/>
      <c r="D110" s="7"/>
      <c r="E110" s="7"/>
      <c r="F110" s="7"/>
      <c r="G110" s="7"/>
      <c r="H110" s="7"/>
      <c r="I110" s="7"/>
      <c r="J110" s="8"/>
      <c r="K110" s="9"/>
    </row>
    <row r="111">
      <c r="A111" s="6"/>
      <c r="B111" s="7"/>
      <c r="C111" s="7"/>
      <c r="D111" s="7"/>
      <c r="E111" s="7"/>
      <c r="F111" s="7"/>
      <c r="G111" s="7"/>
      <c r="H111" s="7"/>
      <c r="I111" s="7"/>
      <c r="J111" s="8"/>
      <c r="K111" s="9"/>
    </row>
    <row r="112">
      <c r="A112" s="6"/>
      <c r="B112" s="7"/>
      <c r="C112" s="7"/>
      <c r="D112" s="7"/>
      <c r="E112" s="7"/>
      <c r="F112" s="7"/>
      <c r="G112" s="7"/>
      <c r="H112" s="7"/>
      <c r="I112" s="7"/>
      <c r="J112" s="8"/>
      <c r="K112" s="9"/>
    </row>
    <row r="113">
      <c r="A113" s="6"/>
      <c r="B113" s="7"/>
      <c r="C113" s="7"/>
      <c r="D113" s="7"/>
      <c r="E113" s="7"/>
      <c r="F113" s="7"/>
      <c r="G113" s="7"/>
      <c r="H113" s="7"/>
      <c r="I113" s="7"/>
      <c r="J113" s="8"/>
      <c r="K113" s="9"/>
    </row>
    <row r="114">
      <c r="A114" s="6"/>
      <c r="B114" s="7"/>
      <c r="C114" s="7"/>
      <c r="D114" s="7"/>
      <c r="E114" s="7"/>
      <c r="F114" s="7"/>
      <c r="G114" s="7"/>
      <c r="H114" s="7"/>
      <c r="I114" s="7"/>
      <c r="J114" s="8"/>
      <c r="K114" s="9"/>
    </row>
    <row r="115">
      <c r="A115" s="6"/>
      <c r="B115" s="7"/>
      <c r="C115" s="7"/>
      <c r="D115" s="7"/>
      <c r="E115" s="7"/>
      <c r="F115" s="7"/>
      <c r="G115" s="7"/>
      <c r="H115" s="7"/>
      <c r="I115" s="7"/>
      <c r="J115" s="8"/>
      <c r="K115" s="9"/>
    </row>
    <row r="116">
      <c r="A116" s="6"/>
      <c r="B116" s="7"/>
      <c r="C116" s="7"/>
      <c r="D116" s="7"/>
      <c r="E116" s="7"/>
      <c r="F116" s="7"/>
      <c r="G116" s="7"/>
      <c r="H116" s="7"/>
      <c r="I116" s="7"/>
      <c r="J116" s="8"/>
      <c r="K116" s="9"/>
    </row>
    <row r="117">
      <c r="A117" s="6"/>
      <c r="B117" s="7"/>
      <c r="C117" s="7"/>
      <c r="D117" s="7"/>
      <c r="E117" s="7"/>
      <c r="F117" s="7"/>
      <c r="G117" s="7"/>
      <c r="H117" s="7"/>
      <c r="I117" s="7"/>
      <c r="J117" s="8"/>
      <c r="K117" s="9"/>
    </row>
    <row r="118">
      <c r="A118" s="6"/>
      <c r="B118" s="7"/>
      <c r="C118" s="7"/>
      <c r="D118" s="7"/>
      <c r="E118" s="7"/>
      <c r="F118" s="7"/>
      <c r="G118" s="7"/>
      <c r="H118" s="7"/>
      <c r="I118" s="7"/>
      <c r="J118" s="8"/>
      <c r="K118" s="9"/>
    </row>
    <row r="119">
      <c r="A119" s="6"/>
      <c r="B119" s="7"/>
      <c r="C119" s="7"/>
      <c r="D119" s="7"/>
      <c r="E119" s="7"/>
      <c r="F119" s="7"/>
      <c r="G119" s="7"/>
      <c r="H119" s="7"/>
      <c r="I119" s="7"/>
      <c r="J119" s="8"/>
      <c r="K119" s="9"/>
    </row>
    <row r="120">
      <c r="A120" s="6"/>
      <c r="B120" s="7"/>
      <c r="C120" s="7"/>
      <c r="D120" s="7"/>
      <c r="E120" s="7"/>
      <c r="F120" s="7"/>
      <c r="G120" s="7"/>
      <c r="H120" s="7"/>
      <c r="I120" s="7"/>
      <c r="J120" s="8"/>
      <c r="K120" s="9"/>
    </row>
    <row r="121">
      <c r="A121" s="6"/>
      <c r="B121" s="7"/>
      <c r="C121" s="7"/>
      <c r="D121" s="7"/>
      <c r="E121" s="7"/>
      <c r="F121" s="7"/>
      <c r="G121" s="7"/>
      <c r="H121" s="7"/>
      <c r="I121" s="7"/>
      <c r="J121" s="8"/>
      <c r="K121" s="9"/>
    </row>
    <row r="122">
      <c r="A122" s="6"/>
      <c r="B122" s="7"/>
      <c r="C122" s="7"/>
      <c r="D122" s="7"/>
      <c r="E122" s="7"/>
      <c r="F122" s="7"/>
      <c r="G122" s="7"/>
      <c r="H122" s="7"/>
      <c r="I122" s="7"/>
      <c r="J122" s="8"/>
      <c r="K122" s="9"/>
    </row>
    <row r="123">
      <c r="A123" s="6"/>
      <c r="B123" s="7"/>
      <c r="C123" s="7"/>
      <c r="D123" s="7"/>
      <c r="E123" s="7"/>
      <c r="F123" s="7"/>
      <c r="G123" s="7"/>
      <c r="H123" s="7"/>
      <c r="I123" s="7"/>
      <c r="J123" s="8"/>
      <c r="K123" s="9"/>
    </row>
    <row r="124">
      <c r="A124" s="6"/>
      <c r="B124" s="7"/>
      <c r="C124" s="7"/>
      <c r="D124" s="7"/>
      <c r="E124" s="7"/>
      <c r="F124" s="7"/>
      <c r="G124" s="7"/>
      <c r="H124" s="7"/>
      <c r="I124" s="7"/>
      <c r="J124" s="8"/>
      <c r="K124" s="9"/>
    </row>
    <row r="125">
      <c r="A125" s="6"/>
      <c r="B125" s="7"/>
      <c r="C125" s="7"/>
      <c r="D125" s="7"/>
      <c r="E125" s="7"/>
      <c r="F125" s="7"/>
      <c r="G125" s="7"/>
      <c r="H125" s="7"/>
      <c r="I125" s="7"/>
      <c r="J125" s="8"/>
      <c r="K125" s="9"/>
    </row>
    <row r="126">
      <c r="A126" s="6"/>
      <c r="B126" s="7"/>
      <c r="C126" s="7"/>
      <c r="D126" s="7"/>
      <c r="E126" s="7"/>
      <c r="F126" s="7"/>
      <c r="G126" s="7"/>
      <c r="H126" s="7"/>
      <c r="I126" s="7"/>
      <c r="J126" s="8"/>
      <c r="K126" s="9"/>
    </row>
    <row r="127">
      <c r="A127" s="6"/>
      <c r="B127" s="7"/>
      <c r="C127" s="7"/>
      <c r="D127" s="7"/>
      <c r="E127" s="7"/>
      <c r="F127" s="7"/>
      <c r="G127" s="7"/>
      <c r="H127" s="7"/>
      <c r="I127" s="7"/>
      <c r="J127" s="8"/>
      <c r="K127" s="9"/>
    </row>
    <row r="128">
      <c r="A128" s="6"/>
      <c r="B128" s="7"/>
      <c r="C128" s="7"/>
      <c r="D128" s="7"/>
      <c r="E128" s="7"/>
      <c r="F128" s="7"/>
      <c r="G128" s="7"/>
      <c r="H128" s="7"/>
      <c r="I128" s="7"/>
      <c r="J128" s="8"/>
      <c r="K128" s="9"/>
    </row>
    <row r="129">
      <c r="A129" s="6"/>
      <c r="B129" s="7"/>
      <c r="C129" s="7"/>
      <c r="D129" s="7"/>
      <c r="E129" s="7"/>
      <c r="F129" s="7"/>
      <c r="G129" s="7"/>
      <c r="H129" s="7"/>
      <c r="I129" s="7"/>
      <c r="J129" s="8"/>
      <c r="K129" s="9"/>
    </row>
    <row r="130">
      <c r="A130" s="6"/>
      <c r="B130" s="7"/>
      <c r="C130" s="7"/>
      <c r="D130" s="7"/>
      <c r="E130" s="7"/>
      <c r="F130" s="7"/>
      <c r="G130" s="7"/>
      <c r="H130" s="7"/>
      <c r="I130" s="7"/>
      <c r="J130" s="8"/>
      <c r="K130" s="9"/>
    </row>
    <row r="131">
      <c r="A131" s="6"/>
      <c r="B131" s="7"/>
      <c r="C131" s="7"/>
      <c r="D131" s="7"/>
      <c r="E131" s="7"/>
      <c r="F131" s="7"/>
      <c r="G131" s="7"/>
      <c r="H131" s="7"/>
      <c r="I131" s="7"/>
      <c r="J131" s="8"/>
      <c r="K131" s="9"/>
    </row>
    <row r="132">
      <c r="A132" s="6"/>
      <c r="B132" s="7"/>
      <c r="C132" s="7"/>
      <c r="D132" s="7"/>
      <c r="E132" s="7"/>
      <c r="F132" s="7"/>
      <c r="G132" s="7"/>
      <c r="H132" s="7"/>
      <c r="I132" s="7"/>
      <c r="J132" s="8"/>
      <c r="K132" s="9"/>
    </row>
    <row r="133">
      <c r="A133" s="6"/>
      <c r="B133" s="7"/>
      <c r="C133" s="7"/>
      <c r="D133" s="7"/>
      <c r="E133" s="7"/>
      <c r="F133" s="7"/>
      <c r="G133" s="7"/>
      <c r="H133" s="7"/>
      <c r="I133" s="7"/>
      <c r="J133" s="8"/>
      <c r="K133" s="9"/>
    </row>
    <row r="134">
      <c r="A134" s="6"/>
      <c r="B134" s="7"/>
      <c r="C134" s="7"/>
      <c r="D134" s="7"/>
      <c r="E134" s="7"/>
      <c r="F134" s="7"/>
      <c r="G134" s="7"/>
      <c r="H134" s="7"/>
      <c r="I134" s="7"/>
      <c r="J134" s="8"/>
      <c r="K134" s="9"/>
    </row>
    <row r="135">
      <c r="A135" s="6"/>
      <c r="B135" s="7"/>
      <c r="C135" s="7"/>
      <c r="D135" s="7"/>
      <c r="E135" s="7"/>
      <c r="F135" s="7"/>
      <c r="G135" s="7"/>
      <c r="H135" s="7"/>
      <c r="I135" s="7"/>
      <c r="J135" s="8"/>
      <c r="K135" s="9"/>
    </row>
    <row r="136">
      <c r="A136" s="6"/>
      <c r="B136" s="7"/>
      <c r="C136" s="7"/>
      <c r="D136" s="7"/>
      <c r="E136" s="7"/>
      <c r="F136" s="7"/>
      <c r="G136" s="7"/>
      <c r="H136" s="7"/>
      <c r="I136" s="7"/>
      <c r="J136" s="8"/>
      <c r="K136" s="9"/>
    </row>
    <row r="137">
      <c r="A137" s="6"/>
      <c r="B137" s="7"/>
      <c r="C137" s="7"/>
      <c r="D137" s="7"/>
      <c r="E137" s="7"/>
      <c r="F137" s="7"/>
      <c r="G137" s="7"/>
      <c r="H137" s="7"/>
      <c r="I137" s="7"/>
      <c r="J137" s="8"/>
      <c r="K137" s="9"/>
    </row>
    <row r="138">
      <c r="A138" s="6"/>
      <c r="B138" s="7"/>
      <c r="C138" s="7"/>
      <c r="D138" s="7"/>
      <c r="E138" s="7"/>
      <c r="F138" s="7"/>
      <c r="G138" s="7"/>
      <c r="H138" s="7"/>
      <c r="I138" s="7"/>
      <c r="J138" s="8"/>
      <c r="K138" s="9"/>
    </row>
    <row r="139">
      <c r="A139" s="6"/>
      <c r="B139" s="7"/>
      <c r="C139" s="7"/>
      <c r="D139" s="7"/>
      <c r="E139" s="7"/>
      <c r="F139" s="7"/>
      <c r="G139" s="7"/>
      <c r="H139" s="7"/>
      <c r="I139" s="7"/>
      <c r="J139" s="8"/>
      <c r="K139" s="9"/>
    </row>
    <row r="140">
      <c r="A140" s="6"/>
      <c r="B140" s="7"/>
      <c r="C140" s="7"/>
      <c r="D140" s="7"/>
      <c r="E140" s="7"/>
      <c r="F140" s="7"/>
      <c r="G140" s="7"/>
      <c r="H140" s="7"/>
      <c r="I140" s="7"/>
      <c r="J140" s="8"/>
      <c r="K140" s="9"/>
    </row>
    <row r="141">
      <c r="A141" s="6"/>
      <c r="B141" s="7"/>
      <c r="C141" s="7"/>
      <c r="D141" s="7"/>
      <c r="E141" s="7"/>
      <c r="F141" s="7"/>
      <c r="G141" s="7"/>
      <c r="H141" s="7"/>
      <c r="I141" s="7"/>
      <c r="J141" s="8"/>
      <c r="K141" s="9"/>
    </row>
    <row r="142">
      <c r="A142" s="6"/>
      <c r="B142" s="7"/>
      <c r="C142" s="7"/>
      <c r="D142" s="7"/>
      <c r="E142" s="7"/>
      <c r="F142" s="7"/>
      <c r="G142" s="7"/>
      <c r="H142" s="7"/>
      <c r="I142" s="7"/>
      <c r="J142" s="8"/>
      <c r="K142" s="9"/>
    </row>
    <row r="143">
      <c r="A143" s="6"/>
      <c r="B143" s="7"/>
      <c r="C143" s="7"/>
      <c r="D143" s="7"/>
      <c r="E143" s="7"/>
      <c r="F143" s="7"/>
      <c r="G143" s="7"/>
      <c r="H143" s="7"/>
      <c r="I143" s="7"/>
      <c r="J143" s="8"/>
      <c r="K143" s="9"/>
    </row>
    <row r="144">
      <c r="A144" s="6"/>
      <c r="B144" s="7"/>
      <c r="C144" s="7"/>
      <c r="D144" s="7"/>
      <c r="E144" s="7"/>
      <c r="F144" s="7"/>
      <c r="G144" s="7"/>
      <c r="H144" s="7"/>
      <c r="I144" s="7"/>
      <c r="J144" s="8"/>
      <c r="K144" s="9"/>
    </row>
    <row r="145">
      <c r="A145" s="6"/>
      <c r="B145" s="7"/>
      <c r="C145" s="7"/>
      <c r="D145" s="7"/>
      <c r="E145" s="7"/>
      <c r="F145" s="7"/>
      <c r="G145" s="7"/>
      <c r="H145" s="7"/>
      <c r="I145" s="7"/>
      <c r="J145" s="8"/>
      <c r="K145" s="9"/>
    </row>
    <row r="146">
      <c r="A146" s="6"/>
      <c r="B146" s="7"/>
      <c r="C146" s="7"/>
      <c r="D146" s="7"/>
      <c r="E146" s="7"/>
      <c r="F146" s="7"/>
      <c r="G146" s="7"/>
      <c r="H146" s="7"/>
      <c r="I146" s="7"/>
      <c r="J146" s="8"/>
      <c r="K146" s="9"/>
    </row>
    <row r="147">
      <c r="A147" s="6"/>
      <c r="B147" s="7"/>
      <c r="C147" s="7"/>
      <c r="D147" s="7"/>
      <c r="E147" s="7"/>
      <c r="F147" s="7"/>
      <c r="G147" s="7"/>
      <c r="H147" s="7"/>
      <c r="I147" s="7"/>
      <c r="J147" s="8"/>
      <c r="K147" s="9"/>
    </row>
    <row r="148">
      <c r="A148" s="6"/>
      <c r="B148" s="7"/>
      <c r="C148" s="7"/>
      <c r="D148" s="7"/>
      <c r="E148" s="7"/>
      <c r="F148" s="7"/>
      <c r="G148" s="7"/>
      <c r="H148" s="7"/>
      <c r="I148" s="7"/>
      <c r="J148" s="8"/>
      <c r="K148" s="9"/>
    </row>
    <row r="149">
      <c r="A149" s="6"/>
      <c r="B149" s="7"/>
      <c r="C149" s="7"/>
      <c r="D149" s="7"/>
      <c r="E149" s="7"/>
      <c r="F149" s="7"/>
      <c r="G149" s="7"/>
      <c r="H149" s="7"/>
      <c r="I149" s="7"/>
      <c r="J149" s="8"/>
      <c r="K149" s="9"/>
    </row>
    <row r="150">
      <c r="A150" s="6"/>
      <c r="B150" s="7"/>
      <c r="C150" s="7"/>
      <c r="D150" s="7"/>
      <c r="E150" s="7"/>
      <c r="F150" s="7"/>
      <c r="G150" s="7"/>
      <c r="H150" s="7"/>
      <c r="I150" s="7"/>
      <c r="J150" s="8"/>
      <c r="K150" s="9"/>
    </row>
    <row r="151">
      <c r="A151" s="6"/>
      <c r="B151" s="7"/>
      <c r="C151" s="7"/>
      <c r="D151" s="7"/>
      <c r="E151" s="7"/>
      <c r="F151" s="7"/>
      <c r="G151" s="7"/>
      <c r="H151" s="7"/>
      <c r="I151" s="7"/>
      <c r="J151" s="8"/>
      <c r="K151" s="9"/>
    </row>
    <row r="152">
      <c r="A152" s="6"/>
      <c r="B152" s="7"/>
      <c r="C152" s="7"/>
      <c r="D152" s="7"/>
      <c r="E152" s="7"/>
      <c r="F152" s="7"/>
      <c r="G152" s="7"/>
      <c r="H152" s="7"/>
      <c r="I152" s="7"/>
      <c r="J152" s="8"/>
      <c r="K152" s="9"/>
    </row>
    <row r="153">
      <c r="A153" s="6"/>
      <c r="B153" s="7"/>
      <c r="C153" s="7"/>
      <c r="D153" s="7"/>
      <c r="E153" s="7"/>
      <c r="F153" s="7"/>
      <c r="G153" s="7"/>
      <c r="H153" s="7"/>
      <c r="I153" s="7"/>
      <c r="J153" s="8"/>
      <c r="K153" s="9"/>
    </row>
    <row r="154">
      <c r="A154" s="6"/>
      <c r="B154" s="7"/>
      <c r="C154" s="7"/>
      <c r="D154" s="7"/>
      <c r="E154" s="7"/>
      <c r="F154" s="7"/>
      <c r="G154" s="7"/>
      <c r="H154" s="7"/>
      <c r="I154" s="7"/>
      <c r="J154" s="8"/>
      <c r="K154" s="9"/>
    </row>
    <row r="155">
      <c r="A155" s="6"/>
      <c r="B155" s="7"/>
      <c r="C155" s="7"/>
      <c r="D155" s="7"/>
      <c r="E155" s="7"/>
      <c r="F155" s="7"/>
      <c r="G155" s="7"/>
      <c r="H155" s="7"/>
      <c r="I155" s="7"/>
      <c r="J155" s="8"/>
      <c r="K155" s="9"/>
    </row>
    <row r="156">
      <c r="A156" s="6"/>
      <c r="B156" s="7"/>
      <c r="C156" s="7"/>
      <c r="D156" s="7"/>
      <c r="E156" s="7"/>
      <c r="F156" s="7"/>
      <c r="G156" s="7"/>
      <c r="H156" s="7"/>
      <c r="I156" s="7"/>
      <c r="J156" s="8"/>
      <c r="K156" s="9"/>
    </row>
    <row r="157">
      <c r="A157" s="6"/>
      <c r="B157" s="7"/>
      <c r="C157" s="7"/>
      <c r="D157" s="7"/>
      <c r="E157" s="7"/>
      <c r="F157" s="7"/>
      <c r="G157" s="7"/>
      <c r="H157" s="7"/>
      <c r="I157" s="7"/>
      <c r="J157" s="8"/>
      <c r="K157" s="9"/>
    </row>
    <row r="158">
      <c r="A158" s="6"/>
      <c r="B158" s="7"/>
      <c r="C158" s="7"/>
      <c r="D158" s="7"/>
      <c r="E158" s="7"/>
      <c r="F158" s="7"/>
      <c r="G158" s="7"/>
      <c r="H158" s="7"/>
      <c r="I158" s="7"/>
      <c r="J158" s="8"/>
      <c r="K158" s="9"/>
    </row>
    <row r="159">
      <c r="A159" s="6"/>
      <c r="B159" s="7"/>
      <c r="C159" s="7"/>
      <c r="D159" s="7"/>
      <c r="E159" s="7"/>
      <c r="F159" s="7"/>
      <c r="G159" s="7"/>
      <c r="H159" s="7"/>
      <c r="I159" s="7"/>
      <c r="J159" s="8"/>
      <c r="K159" s="9"/>
    </row>
    <row r="160">
      <c r="A160" s="6"/>
      <c r="B160" s="7"/>
      <c r="C160" s="7"/>
      <c r="D160" s="7"/>
      <c r="E160" s="7"/>
      <c r="F160" s="7"/>
      <c r="G160" s="7"/>
      <c r="H160" s="7"/>
      <c r="I160" s="7"/>
      <c r="J160" s="8"/>
      <c r="K160" s="9"/>
    </row>
    <row r="161">
      <c r="A161" s="6"/>
      <c r="B161" s="7"/>
      <c r="C161" s="7"/>
      <c r="D161" s="7"/>
      <c r="E161" s="7"/>
      <c r="F161" s="7"/>
      <c r="G161" s="7"/>
      <c r="H161" s="7"/>
      <c r="I161" s="7"/>
      <c r="J161" s="8"/>
      <c r="K161" s="9"/>
    </row>
    <row r="162">
      <c r="A162" s="6"/>
      <c r="B162" s="7"/>
      <c r="C162" s="7"/>
      <c r="D162" s="7"/>
      <c r="E162" s="7"/>
      <c r="F162" s="7"/>
      <c r="G162" s="7"/>
      <c r="H162" s="7"/>
      <c r="I162" s="7"/>
      <c r="J162" s="8"/>
      <c r="K162" s="9"/>
    </row>
    <row r="163">
      <c r="A163" s="6"/>
      <c r="B163" s="7"/>
      <c r="C163" s="7"/>
      <c r="D163" s="7"/>
      <c r="E163" s="7"/>
      <c r="F163" s="7"/>
      <c r="G163" s="7"/>
      <c r="H163" s="7"/>
      <c r="I163" s="7"/>
      <c r="J163" s="8"/>
      <c r="K163" s="9"/>
    </row>
    <row r="164">
      <c r="A164" s="6"/>
      <c r="B164" s="7"/>
      <c r="C164" s="7"/>
      <c r="D164" s="7"/>
      <c r="E164" s="7"/>
      <c r="F164" s="7"/>
      <c r="G164" s="7"/>
      <c r="H164" s="7"/>
      <c r="I164" s="7"/>
      <c r="J164" s="8"/>
      <c r="K164" s="9"/>
    </row>
    <row r="165">
      <c r="A165" s="6"/>
      <c r="B165" s="7"/>
      <c r="C165" s="7"/>
      <c r="D165" s="7"/>
      <c r="E165" s="7"/>
      <c r="F165" s="7"/>
      <c r="G165" s="7"/>
      <c r="H165" s="7"/>
      <c r="I165" s="7"/>
      <c r="J165" s="8"/>
      <c r="K165" s="9"/>
    </row>
    <row r="166">
      <c r="A166" s="6"/>
      <c r="B166" s="7"/>
      <c r="C166" s="7"/>
      <c r="D166" s="7"/>
      <c r="E166" s="7"/>
      <c r="F166" s="7"/>
      <c r="G166" s="7"/>
      <c r="H166" s="7"/>
      <c r="I166" s="7"/>
      <c r="J166" s="8"/>
      <c r="K166" s="9"/>
    </row>
    <row r="167">
      <c r="A167" s="6"/>
      <c r="B167" s="7"/>
      <c r="C167" s="7"/>
      <c r="D167" s="7"/>
      <c r="E167" s="7"/>
      <c r="F167" s="7"/>
      <c r="G167" s="7"/>
      <c r="H167" s="7"/>
      <c r="I167" s="7"/>
      <c r="J167" s="8"/>
      <c r="K167" s="9"/>
    </row>
    <row r="168">
      <c r="A168" s="6"/>
      <c r="B168" s="7"/>
      <c r="C168" s="7"/>
      <c r="D168" s="7"/>
      <c r="E168" s="7"/>
      <c r="F168" s="7"/>
      <c r="G168" s="7"/>
      <c r="H168" s="7"/>
      <c r="I168" s="7"/>
      <c r="J168" s="8"/>
      <c r="K168" s="9"/>
    </row>
    <row r="169">
      <c r="A169" s="6"/>
      <c r="B169" s="7"/>
      <c r="C169" s="7"/>
      <c r="D169" s="7"/>
      <c r="E169" s="7"/>
      <c r="F169" s="7"/>
      <c r="G169" s="7"/>
      <c r="H169" s="7"/>
      <c r="I169" s="7"/>
      <c r="J169" s="8"/>
      <c r="K169" s="9"/>
    </row>
    <row r="170">
      <c r="A170" s="6"/>
      <c r="B170" s="7"/>
      <c r="C170" s="7"/>
      <c r="D170" s="7"/>
      <c r="E170" s="7"/>
      <c r="F170" s="7"/>
      <c r="G170" s="7"/>
      <c r="H170" s="7"/>
      <c r="I170" s="7"/>
      <c r="J170" s="8"/>
      <c r="K170" s="9"/>
    </row>
    <row r="171">
      <c r="A171" s="6"/>
      <c r="B171" s="7"/>
      <c r="C171" s="7"/>
      <c r="D171" s="7"/>
      <c r="E171" s="7"/>
      <c r="F171" s="7"/>
      <c r="G171" s="7"/>
      <c r="H171" s="7"/>
      <c r="I171" s="7"/>
      <c r="J171" s="8"/>
      <c r="K171" s="9"/>
    </row>
    <row r="172">
      <c r="A172" s="6"/>
      <c r="B172" s="7"/>
      <c r="C172" s="7"/>
      <c r="D172" s="7"/>
      <c r="E172" s="7"/>
      <c r="F172" s="7"/>
      <c r="G172" s="7"/>
      <c r="H172" s="7"/>
      <c r="I172" s="7"/>
      <c r="J172" s="8"/>
      <c r="K172" s="9"/>
    </row>
    <row r="173">
      <c r="A173" s="6"/>
      <c r="B173" s="7"/>
      <c r="C173" s="7"/>
      <c r="D173" s="7"/>
      <c r="E173" s="7"/>
      <c r="F173" s="7"/>
      <c r="G173" s="7"/>
      <c r="H173" s="7"/>
      <c r="I173" s="7"/>
      <c r="J173" s="8"/>
      <c r="K173" s="9"/>
    </row>
    <row r="174">
      <c r="A174" s="6"/>
      <c r="B174" s="7"/>
      <c r="C174" s="7"/>
      <c r="D174" s="7"/>
      <c r="E174" s="7"/>
      <c r="F174" s="7"/>
      <c r="G174" s="7"/>
      <c r="H174" s="7"/>
      <c r="I174" s="7"/>
      <c r="J174" s="8"/>
      <c r="K174" s="9"/>
    </row>
    <row r="175">
      <c r="A175" s="6"/>
      <c r="B175" s="7"/>
      <c r="C175" s="7"/>
      <c r="D175" s="7"/>
      <c r="E175" s="7"/>
      <c r="F175" s="7"/>
      <c r="G175" s="7"/>
      <c r="H175" s="7"/>
      <c r="I175" s="7"/>
      <c r="J175" s="8"/>
      <c r="K175" s="9"/>
    </row>
    <row r="176">
      <c r="A176" s="6"/>
      <c r="B176" s="7"/>
      <c r="C176" s="7"/>
      <c r="D176" s="7"/>
      <c r="E176" s="7"/>
      <c r="F176" s="7"/>
      <c r="G176" s="7"/>
      <c r="H176" s="7"/>
      <c r="I176" s="7"/>
      <c r="J176" s="8"/>
      <c r="K176" s="9"/>
    </row>
    <row r="177">
      <c r="A177" s="6"/>
      <c r="B177" s="7"/>
      <c r="C177" s="7"/>
      <c r="D177" s="7"/>
      <c r="E177" s="7"/>
      <c r="F177" s="7"/>
      <c r="G177" s="7"/>
      <c r="H177" s="7"/>
      <c r="I177" s="7"/>
      <c r="J177" s="8"/>
      <c r="K177" s="9"/>
    </row>
    <row r="178">
      <c r="A178" s="6"/>
      <c r="B178" s="7"/>
      <c r="C178" s="7"/>
      <c r="D178" s="7"/>
      <c r="E178" s="7"/>
      <c r="F178" s="7"/>
      <c r="G178" s="7"/>
      <c r="H178" s="7"/>
      <c r="I178" s="7"/>
      <c r="J178" s="8"/>
      <c r="K178" s="9"/>
    </row>
    <row r="179">
      <c r="A179" s="6"/>
      <c r="B179" s="7"/>
      <c r="C179" s="7"/>
      <c r="D179" s="7"/>
      <c r="E179" s="7"/>
      <c r="F179" s="7"/>
      <c r="G179" s="7"/>
      <c r="H179" s="7"/>
      <c r="I179" s="7"/>
      <c r="J179" s="8"/>
      <c r="K179" s="9"/>
    </row>
    <row r="180">
      <c r="A180" s="6"/>
      <c r="B180" s="7"/>
      <c r="C180" s="7"/>
      <c r="D180" s="7"/>
      <c r="E180" s="7"/>
      <c r="F180" s="7"/>
      <c r="G180" s="7"/>
      <c r="H180" s="7"/>
      <c r="I180" s="7"/>
      <c r="J180" s="8"/>
      <c r="K180" s="9"/>
    </row>
    <row r="181">
      <c r="A181" s="6"/>
      <c r="B181" s="7"/>
      <c r="C181" s="7"/>
      <c r="D181" s="7"/>
      <c r="E181" s="7"/>
      <c r="F181" s="7"/>
      <c r="G181" s="7"/>
      <c r="H181" s="7"/>
      <c r="I181" s="7"/>
      <c r="J181" s="8"/>
      <c r="K181" s="9"/>
    </row>
    <row r="182">
      <c r="A182" s="6"/>
      <c r="B182" s="7"/>
      <c r="C182" s="7"/>
      <c r="D182" s="7"/>
      <c r="E182" s="7"/>
      <c r="F182" s="7"/>
      <c r="G182" s="7"/>
      <c r="H182" s="7"/>
      <c r="I182" s="7"/>
      <c r="J182" s="8"/>
      <c r="K182" s="9"/>
    </row>
    <row r="183">
      <c r="A183" s="6"/>
      <c r="B183" s="7"/>
      <c r="C183" s="7"/>
      <c r="D183" s="7"/>
      <c r="E183" s="7"/>
      <c r="F183" s="7"/>
      <c r="G183" s="7"/>
      <c r="H183" s="7"/>
      <c r="I183" s="7"/>
      <c r="J183" s="8"/>
      <c r="K183" s="9"/>
    </row>
    <row r="184">
      <c r="A184" s="6"/>
      <c r="B184" s="7"/>
      <c r="C184" s="7"/>
      <c r="D184" s="7"/>
      <c r="E184" s="7"/>
      <c r="F184" s="7"/>
      <c r="G184" s="7"/>
      <c r="H184" s="7"/>
      <c r="I184" s="7"/>
      <c r="J184" s="8"/>
      <c r="K184" s="9"/>
    </row>
    <row r="185">
      <c r="A185" s="6"/>
      <c r="B185" s="7"/>
      <c r="C185" s="7"/>
      <c r="D185" s="7"/>
      <c r="E185" s="7"/>
      <c r="F185" s="7"/>
      <c r="G185" s="7"/>
      <c r="H185" s="7"/>
      <c r="I185" s="7"/>
      <c r="J185" s="8"/>
      <c r="K185" s="9"/>
    </row>
    <row r="186">
      <c r="A186" s="6"/>
      <c r="B186" s="7"/>
      <c r="C186" s="7"/>
      <c r="D186" s="7"/>
      <c r="E186" s="7"/>
      <c r="F186" s="7"/>
      <c r="G186" s="7"/>
      <c r="H186" s="7"/>
      <c r="I186" s="7"/>
      <c r="J186" s="8"/>
      <c r="K186" s="9"/>
    </row>
    <row r="187">
      <c r="A187" s="6"/>
      <c r="B187" s="7"/>
      <c r="C187" s="7"/>
      <c r="D187" s="7"/>
      <c r="E187" s="7"/>
      <c r="F187" s="7"/>
      <c r="G187" s="7"/>
      <c r="H187" s="7"/>
      <c r="I187" s="7"/>
      <c r="J187" s="8"/>
      <c r="K187" s="9"/>
    </row>
    <row r="188">
      <c r="A188" s="6"/>
      <c r="B188" s="7"/>
      <c r="C188" s="7"/>
      <c r="D188" s="7"/>
      <c r="E188" s="7"/>
      <c r="F188" s="7"/>
      <c r="G188" s="7"/>
      <c r="H188" s="7"/>
      <c r="I188" s="7"/>
      <c r="J188" s="8"/>
      <c r="K188" s="9"/>
    </row>
    <row r="189">
      <c r="A189" s="6"/>
      <c r="B189" s="7"/>
      <c r="C189" s="7"/>
      <c r="D189" s="7"/>
      <c r="E189" s="7"/>
      <c r="F189" s="7"/>
      <c r="G189" s="7"/>
      <c r="H189" s="7"/>
      <c r="I189" s="7"/>
      <c r="J189" s="8"/>
      <c r="K189" s="9"/>
    </row>
    <row r="190">
      <c r="A190" s="6"/>
      <c r="B190" s="7"/>
      <c r="C190" s="7"/>
      <c r="D190" s="7"/>
      <c r="E190" s="7"/>
      <c r="F190" s="7"/>
      <c r="G190" s="7"/>
      <c r="H190" s="7"/>
      <c r="I190" s="7"/>
      <c r="J190" s="8"/>
      <c r="K190" s="9"/>
    </row>
    <row r="191">
      <c r="A191" s="6"/>
      <c r="B191" s="7"/>
      <c r="C191" s="7"/>
      <c r="D191" s="7"/>
      <c r="E191" s="7"/>
      <c r="F191" s="7"/>
      <c r="G191" s="7"/>
      <c r="H191" s="7"/>
      <c r="I191" s="7"/>
      <c r="J191" s="8"/>
      <c r="K191" s="9"/>
    </row>
    <row r="192">
      <c r="A192" s="6"/>
      <c r="B192" s="7"/>
      <c r="C192" s="7"/>
      <c r="D192" s="7"/>
      <c r="E192" s="7"/>
      <c r="F192" s="7"/>
      <c r="G192" s="7"/>
      <c r="H192" s="7"/>
      <c r="I192" s="7"/>
      <c r="J192" s="8"/>
      <c r="K192" s="9"/>
    </row>
    <row r="193">
      <c r="A193" s="6"/>
      <c r="B193" s="7"/>
      <c r="C193" s="7"/>
      <c r="D193" s="7"/>
      <c r="E193" s="7"/>
      <c r="F193" s="7"/>
      <c r="G193" s="7"/>
      <c r="H193" s="7"/>
      <c r="I193" s="7"/>
      <c r="J193" s="8"/>
      <c r="K193" s="9"/>
    </row>
    <row r="194">
      <c r="A194" s="6"/>
      <c r="B194" s="7"/>
      <c r="C194" s="7"/>
      <c r="D194" s="7"/>
      <c r="E194" s="7"/>
      <c r="F194" s="7"/>
      <c r="G194" s="7"/>
      <c r="H194" s="7"/>
      <c r="I194" s="7"/>
      <c r="J194" s="8"/>
      <c r="K194" s="9"/>
    </row>
    <row r="195">
      <c r="A195" s="6"/>
      <c r="B195" s="7"/>
      <c r="C195" s="7"/>
      <c r="D195" s="7"/>
      <c r="E195" s="7"/>
      <c r="F195" s="7"/>
      <c r="G195" s="7"/>
      <c r="H195" s="7"/>
      <c r="I195" s="7"/>
      <c r="J195" s="8"/>
      <c r="K195" s="9"/>
    </row>
    <row r="196">
      <c r="A196" s="6"/>
      <c r="B196" s="7"/>
      <c r="C196" s="7"/>
      <c r="D196" s="7"/>
      <c r="E196" s="7"/>
      <c r="F196" s="7"/>
      <c r="G196" s="7"/>
      <c r="H196" s="7"/>
      <c r="I196" s="7"/>
      <c r="J196" s="8"/>
      <c r="K196" s="9"/>
    </row>
    <row r="197">
      <c r="A197" s="6"/>
      <c r="B197" s="7"/>
      <c r="C197" s="7"/>
      <c r="D197" s="7"/>
      <c r="E197" s="7"/>
      <c r="F197" s="7"/>
      <c r="G197" s="7"/>
      <c r="H197" s="7"/>
      <c r="I197" s="7"/>
      <c r="J197" s="8"/>
      <c r="K197" s="9"/>
    </row>
    <row r="198">
      <c r="A198" s="6"/>
      <c r="B198" s="7"/>
      <c r="C198" s="7"/>
      <c r="D198" s="7"/>
      <c r="E198" s="7"/>
      <c r="F198" s="7"/>
      <c r="G198" s="7"/>
      <c r="H198" s="7"/>
      <c r="I198" s="7"/>
      <c r="J198" s="8"/>
      <c r="K198" s="9"/>
    </row>
    <row r="199">
      <c r="A199" s="6"/>
      <c r="B199" s="7"/>
      <c r="C199" s="7"/>
      <c r="D199" s="7"/>
      <c r="E199" s="7"/>
      <c r="F199" s="7"/>
      <c r="G199" s="7"/>
      <c r="H199" s="7"/>
      <c r="I199" s="7"/>
      <c r="J199" s="8"/>
      <c r="K199" s="9"/>
    </row>
    <row r="200">
      <c r="A200" s="6"/>
      <c r="B200" s="7"/>
      <c r="C200" s="7"/>
      <c r="D200" s="7"/>
      <c r="E200" s="7"/>
      <c r="F200" s="7"/>
      <c r="G200" s="7"/>
      <c r="H200" s="7"/>
      <c r="I200" s="7"/>
      <c r="J200" s="8"/>
      <c r="K200" s="9"/>
    </row>
    <row r="201">
      <c r="A201" s="6"/>
      <c r="B201" s="7"/>
      <c r="C201" s="7"/>
      <c r="D201" s="7"/>
      <c r="E201" s="7"/>
      <c r="F201" s="7"/>
      <c r="G201" s="7"/>
      <c r="H201" s="7"/>
      <c r="I201" s="7"/>
      <c r="J201" s="8"/>
      <c r="K201" s="9"/>
    </row>
    <row r="202">
      <c r="A202" s="6"/>
      <c r="B202" s="7"/>
      <c r="C202" s="7"/>
      <c r="D202" s="7"/>
      <c r="E202" s="7"/>
      <c r="F202" s="7"/>
      <c r="G202" s="7"/>
      <c r="H202" s="7"/>
      <c r="I202" s="7"/>
      <c r="J202" s="8"/>
      <c r="K202" s="9"/>
    </row>
    <row r="203">
      <c r="A203" s="6"/>
      <c r="B203" s="7"/>
      <c r="C203" s="7"/>
      <c r="D203" s="7"/>
      <c r="E203" s="7"/>
      <c r="F203" s="7"/>
      <c r="G203" s="7"/>
      <c r="H203" s="7"/>
      <c r="I203" s="7"/>
      <c r="J203" s="8"/>
      <c r="K203" s="9"/>
    </row>
    <row r="204">
      <c r="A204" s="6"/>
      <c r="B204" s="7"/>
      <c r="C204" s="7"/>
      <c r="D204" s="7"/>
      <c r="E204" s="7"/>
      <c r="F204" s="7"/>
      <c r="G204" s="7"/>
      <c r="H204" s="7"/>
      <c r="I204" s="7"/>
      <c r="J204" s="8"/>
      <c r="K204" s="9"/>
    </row>
    <row r="205">
      <c r="A205" s="6"/>
      <c r="B205" s="7"/>
      <c r="C205" s="7"/>
      <c r="D205" s="7"/>
      <c r="E205" s="7"/>
      <c r="F205" s="7"/>
      <c r="G205" s="7"/>
      <c r="H205" s="7"/>
      <c r="I205" s="7"/>
      <c r="J205" s="8"/>
      <c r="K205" s="9"/>
    </row>
    <row r="206">
      <c r="A206" s="6"/>
      <c r="B206" s="7"/>
      <c r="C206" s="7"/>
      <c r="D206" s="7"/>
      <c r="E206" s="7"/>
      <c r="F206" s="7"/>
      <c r="G206" s="7"/>
      <c r="H206" s="7"/>
      <c r="I206" s="7"/>
      <c r="J206" s="8"/>
      <c r="K206" s="9"/>
    </row>
    <row r="207">
      <c r="A207" s="6"/>
      <c r="B207" s="7"/>
      <c r="C207" s="7"/>
      <c r="D207" s="7"/>
      <c r="E207" s="7"/>
      <c r="F207" s="7"/>
      <c r="G207" s="7"/>
      <c r="H207" s="7"/>
      <c r="I207" s="7"/>
      <c r="J207" s="8"/>
      <c r="K207" s="9"/>
    </row>
    <row r="208">
      <c r="A208" s="6"/>
      <c r="B208" s="7"/>
      <c r="C208" s="7"/>
      <c r="D208" s="7"/>
      <c r="E208" s="7"/>
      <c r="F208" s="7"/>
      <c r="G208" s="7"/>
      <c r="H208" s="7"/>
      <c r="I208" s="7"/>
      <c r="J208" s="8"/>
      <c r="K208" s="9"/>
    </row>
    <row r="209">
      <c r="A209" s="6"/>
      <c r="B209" s="7"/>
      <c r="C209" s="7"/>
      <c r="D209" s="7"/>
      <c r="E209" s="7"/>
      <c r="F209" s="7"/>
      <c r="G209" s="7"/>
      <c r="H209" s="7"/>
      <c r="I209" s="7"/>
      <c r="J209" s="8"/>
      <c r="K209" s="9"/>
    </row>
    <row r="210">
      <c r="A210" s="6"/>
      <c r="B210" s="7"/>
      <c r="C210" s="7"/>
      <c r="D210" s="7"/>
      <c r="E210" s="7"/>
      <c r="F210" s="7"/>
      <c r="G210" s="7"/>
      <c r="H210" s="7"/>
      <c r="I210" s="7"/>
      <c r="J210" s="8"/>
      <c r="K210" s="9"/>
    </row>
    <row r="211">
      <c r="A211" s="6"/>
      <c r="B211" s="7"/>
      <c r="C211" s="7"/>
      <c r="D211" s="7"/>
      <c r="E211" s="7"/>
      <c r="F211" s="7"/>
      <c r="G211" s="7"/>
      <c r="H211" s="7"/>
      <c r="I211" s="7"/>
      <c r="J211" s="8"/>
      <c r="K211" s="9"/>
    </row>
    <row r="212">
      <c r="A212" s="6"/>
      <c r="B212" s="7"/>
      <c r="C212" s="7"/>
      <c r="D212" s="7"/>
      <c r="E212" s="7"/>
      <c r="F212" s="7"/>
      <c r="G212" s="7"/>
      <c r="H212" s="7"/>
      <c r="I212" s="7"/>
      <c r="J212" s="8"/>
      <c r="K212" s="9"/>
    </row>
    <row r="213">
      <c r="A213" s="6"/>
      <c r="B213" s="7"/>
      <c r="C213" s="7"/>
      <c r="D213" s="7"/>
      <c r="E213" s="7"/>
      <c r="F213" s="7"/>
      <c r="G213" s="7"/>
      <c r="H213" s="7"/>
      <c r="I213" s="7"/>
      <c r="J213" s="8"/>
      <c r="K213" s="9"/>
    </row>
    <row r="214">
      <c r="A214" s="6"/>
      <c r="B214" s="7"/>
      <c r="C214" s="7"/>
      <c r="D214" s="7"/>
      <c r="E214" s="7"/>
      <c r="F214" s="7"/>
      <c r="G214" s="7"/>
      <c r="H214" s="7"/>
      <c r="I214" s="7"/>
      <c r="J214" s="8"/>
      <c r="K214" s="9"/>
    </row>
    <row r="215">
      <c r="A215" s="6"/>
      <c r="B215" s="7"/>
      <c r="C215" s="7"/>
      <c r="D215" s="7"/>
      <c r="E215" s="7"/>
      <c r="F215" s="7"/>
      <c r="G215" s="7"/>
      <c r="H215" s="7"/>
      <c r="I215" s="7"/>
      <c r="J215" s="8"/>
      <c r="K215" s="9"/>
    </row>
    <row r="216">
      <c r="A216" s="6"/>
      <c r="B216" s="7"/>
      <c r="C216" s="7"/>
      <c r="D216" s="7"/>
      <c r="E216" s="7"/>
      <c r="F216" s="7"/>
      <c r="G216" s="7"/>
      <c r="H216" s="7"/>
      <c r="I216" s="7"/>
      <c r="J216" s="8"/>
      <c r="K216" s="9"/>
    </row>
    <row r="217">
      <c r="A217" s="6"/>
      <c r="B217" s="7"/>
      <c r="C217" s="7"/>
      <c r="D217" s="7"/>
      <c r="E217" s="7"/>
      <c r="F217" s="7"/>
      <c r="G217" s="7"/>
      <c r="H217" s="7"/>
      <c r="I217" s="7"/>
      <c r="J217" s="8"/>
      <c r="K217" s="9"/>
    </row>
    <row r="218">
      <c r="A218" s="6"/>
      <c r="B218" s="7"/>
      <c r="C218" s="7"/>
      <c r="D218" s="7"/>
      <c r="E218" s="7"/>
      <c r="F218" s="7"/>
      <c r="G218" s="7"/>
      <c r="H218" s="7"/>
      <c r="I218" s="7"/>
      <c r="J218" s="8"/>
      <c r="K218" s="9"/>
    </row>
    <row r="219">
      <c r="A219" s="6"/>
      <c r="B219" s="7"/>
      <c r="C219" s="7"/>
      <c r="D219" s="7"/>
      <c r="E219" s="7"/>
      <c r="F219" s="7"/>
      <c r="G219" s="7"/>
      <c r="H219" s="7"/>
      <c r="I219" s="7"/>
      <c r="J219" s="8"/>
      <c r="K219" s="9"/>
    </row>
    <row r="220">
      <c r="A220" s="6"/>
      <c r="B220" s="7"/>
      <c r="C220" s="7"/>
      <c r="D220" s="7"/>
      <c r="E220" s="7"/>
      <c r="F220" s="7"/>
      <c r="G220" s="7"/>
      <c r="H220" s="7"/>
      <c r="I220" s="7"/>
      <c r="J220" s="8"/>
      <c r="K220" s="9"/>
    </row>
    <row r="221">
      <c r="A221" s="6"/>
      <c r="B221" s="7"/>
      <c r="C221" s="7"/>
      <c r="D221" s="7"/>
      <c r="E221" s="7"/>
      <c r="F221" s="7"/>
      <c r="G221" s="7"/>
      <c r="H221" s="7"/>
      <c r="I221" s="7"/>
      <c r="J221" s="8"/>
      <c r="K221" s="9"/>
    </row>
    <row r="222">
      <c r="A222" s="6"/>
      <c r="B222" s="7"/>
      <c r="C222" s="7"/>
      <c r="D222" s="7"/>
      <c r="E222" s="7"/>
      <c r="F222" s="7"/>
      <c r="G222" s="7"/>
      <c r="H222" s="7"/>
      <c r="I222" s="7"/>
      <c r="J222" s="8"/>
      <c r="K222" s="9"/>
    </row>
    <row r="223">
      <c r="A223" s="6"/>
      <c r="B223" s="7"/>
      <c r="C223" s="7"/>
      <c r="D223" s="7"/>
      <c r="E223" s="7"/>
      <c r="F223" s="7"/>
      <c r="G223" s="7"/>
      <c r="H223" s="7"/>
      <c r="I223" s="7"/>
      <c r="J223" s="8"/>
      <c r="K223" s="9"/>
    </row>
    <row r="224">
      <c r="A224" s="6"/>
      <c r="B224" s="7"/>
      <c r="C224" s="7"/>
      <c r="D224" s="7"/>
      <c r="E224" s="7"/>
      <c r="F224" s="7"/>
      <c r="G224" s="7"/>
      <c r="H224" s="7"/>
      <c r="I224" s="7"/>
      <c r="J224" s="8"/>
      <c r="K224" s="9"/>
    </row>
    <row r="225">
      <c r="A225" s="6"/>
      <c r="B225" s="7"/>
      <c r="C225" s="7"/>
      <c r="D225" s="7"/>
      <c r="E225" s="7"/>
      <c r="F225" s="7"/>
      <c r="G225" s="7"/>
      <c r="H225" s="7"/>
      <c r="I225" s="7"/>
      <c r="J225" s="8"/>
      <c r="K225" s="9"/>
    </row>
    <row r="226">
      <c r="A226" s="6"/>
      <c r="B226" s="7"/>
      <c r="C226" s="7"/>
      <c r="D226" s="7"/>
      <c r="E226" s="7"/>
      <c r="F226" s="7"/>
      <c r="G226" s="7"/>
      <c r="H226" s="7"/>
      <c r="I226" s="7"/>
      <c r="J226" s="8"/>
      <c r="K226" s="9"/>
    </row>
    <row r="227">
      <c r="A227" s="6"/>
      <c r="B227" s="7"/>
      <c r="C227" s="7"/>
      <c r="D227" s="7"/>
      <c r="E227" s="7"/>
      <c r="F227" s="7"/>
      <c r="G227" s="7"/>
      <c r="H227" s="7"/>
      <c r="I227" s="7"/>
      <c r="J227" s="8"/>
      <c r="K227" s="9"/>
    </row>
    <row r="228">
      <c r="A228" s="6"/>
      <c r="B228" s="7"/>
      <c r="C228" s="7"/>
      <c r="D228" s="7"/>
      <c r="E228" s="7"/>
      <c r="F228" s="7"/>
      <c r="G228" s="7"/>
      <c r="H228" s="7"/>
      <c r="I228" s="7"/>
      <c r="J228" s="8"/>
      <c r="K228" s="9"/>
    </row>
    <row r="229">
      <c r="A229" s="6"/>
      <c r="B229" s="7"/>
      <c r="C229" s="7"/>
      <c r="D229" s="7"/>
      <c r="E229" s="7"/>
      <c r="F229" s="7"/>
      <c r="G229" s="7"/>
      <c r="H229" s="7"/>
      <c r="I229" s="7"/>
      <c r="J229" s="8"/>
      <c r="K229" s="9"/>
    </row>
    <row r="230">
      <c r="A230" s="6"/>
      <c r="B230" s="7"/>
      <c r="C230" s="7"/>
      <c r="D230" s="7"/>
      <c r="E230" s="7"/>
      <c r="F230" s="7"/>
      <c r="G230" s="7"/>
      <c r="H230" s="7"/>
      <c r="I230" s="7"/>
      <c r="J230" s="8"/>
      <c r="K230" s="9"/>
    </row>
    <row r="231">
      <c r="A231" s="6"/>
      <c r="B231" s="7"/>
      <c r="C231" s="7"/>
      <c r="D231" s="7"/>
      <c r="E231" s="7"/>
      <c r="F231" s="7"/>
      <c r="G231" s="7"/>
      <c r="H231" s="7"/>
      <c r="I231" s="7"/>
      <c r="J231" s="8"/>
      <c r="K231" s="9"/>
    </row>
    <row r="232">
      <c r="A232" s="6"/>
      <c r="B232" s="7"/>
      <c r="C232" s="7"/>
      <c r="D232" s="7"/>
      <c r="E232" s="7"/>
      <c r="F232" s="7"/>
      <c r="G232" s="7"/>
      <c r="H232" s="7"/>
      <c r="I232" s="7"/>
      <c r="J232" s="8"/>
      <c r="K232" s="9"/>
    </row>
    <row r="233">
      <c r="A233" s="6"/>
      <c r="B233" s="7"/>
      <c r="C233" s="7"/>
      <c r="D233" s="7"/>
      <c r="E233" s="7"/>
      <c r="F233" s="7"/>
      <c r="G233" s="7"/>
      <c r="H233" s="7"/>
      <c r="I233" s="7"/>
      <c r="J233" s="8"/>
      <c r="K233" s="9"/>
    </row>
    <row r="234">
      <c r="A234" s="6"/>
      <c r="B234" s="7"/>
      <c r="C234" s="7"/>
      <c r="D234" s="7"/>
      <c r="E234" s="7"/>
      <c r="F234" s="7"/>
      <c r="G234" s="7"/>
      <c r="H234" s="7"/>
      <c r="I234" s="7"/>
      <c r="J234" s="8"/>
      <c r="K234" s="9"/>
    </row>
    <row r="235">
      <c r="A235" s="6"/>
      <c r="B235" s="7"/>
      <c r="C235" s="7"/>
      <c r="D235" s="7"/>
      <c r="E235" s="7"/>
      <c r="F235" s="7"/>
      <c r="G235" s="7"/>
      <c r="H235" s="7"/>
      <c r="I235" s="7"/>
      <c r="J235" s="8"/>
      <c r="K235" s="9"/>
    </row>
    <row r="236">
      <c r="A236" s="6"/>
      <c r="B236" s="7"/>
      <c r="C236" s="7"/>
      <c r="D236" s="7"/>
      <c r="E236" s="7"/>
      <c r="F236" s="7"/>
      <c r="G236" s="7"/>
      <c r="H236" s="7"/>
      <c r="I236" s="7"/>
      <c r="J236" s="8"/>
      <c r="K236" s="9"/>
    </row>
    <row r="237">
      <c r="A237" s="6"/>
      <c r="B237" s="7"/>
      <c r="C237" s="7"/>
      <c r="D237" s="7"/>
      <c r="E237" s="7"/>
      <c r="F237" s="7"/>
      <c r="G237" s="7"/>
      <c r="H237" s="7"/>
      <c r="I237" s="7"/>
      <c r="J237" s="8"/>
      <c r="K237" s="9"/>
    </row>
    <row r="238">
      <c r="A238" s="6"/>
      <c r="B238" s="7"/>
      <c r="C238" s="7"/>
      <c r="D238" s="7"/>
      <c r="E238" s="7"/>
      <c r="F238" s="7"/>
      <c r="G238" s="7"/>
      <c r="H238" s="7"/>
      <c r="I238" s="7"/>
      <c r="J238" s="8"/>
      <c r="K238" s="9"/>
    </row>
    <row r="239">
      <c r="A239" s="6"/>
      <c r="B239" s="7"/>
      <c r="C239" s="7"/>
      <c r="D239" s="7"/>
      <c r="E239" s="7"/>
      <c r="F239" s="7"/>
      <c r="G239" s="7"/>
      <c r="H239" s="7"/>
      <c r="I239" s="7"/>
      <c r="J239" s="8"/>
      <c r="K239" s="9"/>
    </row>
    <row r="240">
      <c r="A240" s="6"/>
      <c r="B240" s="7"/>
      <c r="C240" s="7"/>
      <c r="D240" s="7"/>
      <c r="E240" s="7"/>
      <c r="F240" s="7"/>
      <c r="G240" s="7"/>
      <c r="H240" s="7"/>
      <c r="I240" s="7"/>
      <c r="J240" s="8"/>
      <c r="K240" s="9"/>
    </row>
    <row r="241">
      <c r="A241" s="6"/>
      <c r="B241" s="7"/>
      <c r="C241" s="7"/>
      <c r="D241" s="7"/>
      <c r="E241" s="7"/>
      <c r="F241" s="7"/>
      <c r="G241" s="7"/>
      <c r="H241" s="7"/>
      <c r="I241" s="7"/>
      <c r="J241" s="8"/>
      <c r="K241" s="9"/>
    </row>
    <row r="242">
      <c r="A242" s="6"/>
      <c r="B242" s="7"/>
      <c r="C242" s="7"/>
      <c r="D242" s="7"/>
      <c r="E242" s="7"/>
      <c r="F242" s="7"/>
      <c r="G242" s="7"/>
      <c r="H242" s="7"/>
      <c r="I242" s="7"/>
      <c r="J242" s="8"/>
      <c r="K242" s="9"/>
    </row>
    <row r="243">
      <c r="A243" s="6"/>
      <c r="B243" s="7"/>
      <c r="C243" s="7"/>
      <c r="D243" s="7"/>
      <c r="E243" s="7"/>
      <c r="F243" s="7"/>
      <c r="G243" s="7"/>
      <c r="H243" s="7"/>
      <c r="I243" s="7"/>
      <c r="J243" s="8"/>
      <c r="K243" s="9"/>
    </row>
    <row r="244">
      <c r="A244" s="6"/>
      <c r="B244" s="7"/>
      <c r="C244" s="7"/>
      <c r="D244" s="7"/>
      <c r="E244" s="7"/>
      <c r="F244" s="7"/>
      <c r="G244" s="7"/>
      <c r="H244" s="7"/>
      <c r="I244" s="7"/>
      <c r="J244" s="8"/>
      <c r="K244" s="9"/>
    </row>
    <row r="245">
      <c r="A245" s="6"/>
      <c r="B245" s="7"/>
      <c r="C245" s="7"/>
      <c r="D245" s="7"/>
      <c r="E245" s="7"/>
      <c r="F245" s="7"/>
      <c r="G245" s="7"/>
      <c r="H245" s="7"/>
      <c r="I245" s="7"/>
      <c r="J245" s="8"/>
      <c r="K245" s="9"/>
    </row>
    <row r="246">
      <c r="A246" s="6"/>
      <c r="B246" s="7"/>
      <c r="C246" s="7"/>
      <c r="D246" s="7"/>
      <c r="E246" s="7"/>
      <c r="F246" s="7"/>
      <c r="G246" s="7"/>
      <c r="H246" s="7"/>
      <c r="I246" s="7"/>
      <c r="J246" s="8"/>
      <c r="K246" s="9"/>
    </row>
    <row r="247">
      <c r="A247" s="6"/>
      <c r="B247" s="7"/>
      <c r="C247" s="7"/>
      <c r="D247" s="7"/>
      <c r="E247" s="7"/>
      <c r="F247" s="7"/>
      <c r="G247" s="7"/>
      <c r="H247" s="7"/>
      <c r="I247" s="7"/>
      <c r="J247" s="8"/>
      <c r="K247" s="9"/>
    </row>
    <row r="248">
      <c r="A248" s="6"/>
      <c r="B248" s="7"/>
      <c r="C248" s="7"/>
      <c r="D248" s="7"/>
      <c r="E248" s="7"/>
      <c r="F248" s="7"/>
      <c r="G248" s="7"/>
      <c r="H248" s="7"/>
      <c r="I248" s="7"/>
      <c r="J248" s="8"/>
      <c r="K248" s="9"/>
    </row>
    <row r="249">
      <c r="A249" s="6"/>
      <c r="B249" s="7"/>
      <c r="C249" s="7"/>
      <c r="D249" s="7"/>
      <c r="E249" s="7"/>
      <c r="F249" s="7"/>
      <c r="G249" s="7"/>
      <c r="H249" s="7"/>
      <c r="I249" s="7"/>
      <c r="J249" s="8"/>
      <c r="K249" s="9"/>
    </row>
    <row r="250">
      <c r="A250" s="6"/>
      <c r="B250" s="7"/>
      <c r="C250" s="7"/>
      <c r="D250" s="7"/>
      <c r="E250" s="7"/>
      <c r="F250" s="7"/>
      <c r="G250" s="7"/>
      <c r="H250" s="7"/>
      <c r="I250" s="7"/>
      <c r="J250" s="8"/>
      <c r="K250" s="9"/>
    </row>
    <row r="251">
      <c r="A251" s="6"/>
      <c r="B251" s="7"/>
      <c r="C251" s="7"/>
      <c r="D251" s="7"/>
      <c r="E251" s="7"/>
      <c r="F251" s="7"/>
      <c r="G251" s="7"/>
      <c r="H251" s="7"/>
      <c r="I251" s="7"/>
      <c r="J251" s="8"/>
      <c r="K251" s="9"/>
    </row>
    <row r="252">
      <c r="A252" s="6"/>
      <c r="B252" s="7"/>
      <c r="C252" s="7"/>
      <c r="D252" s="7"/>
      <c r="E252" s="7"/>
      <c r="F252" s="7"/>
      <c r="G252" s="7"/>
      <c r="H252" s="7"/>
      <c r="I252" s="7"/>
      <c r="J252" s="8"/>
      <c r="K252" s="9"/>
    </row>
    <row r="253">
      <c r="A253" s="6"/>
      <c r="B253" s="7"/>
      <c r="C253" s="7"/>
      <c r="D253" s="7"/>
      <c r="E253" s="7"/>
      <c r="F253" s="7"/>
      <c r="G253" s="7"/>
      <c r="H253" s="7"/>
      <c r="I253" s="7"/>
      <c r="J253" s="8"/>
      <c r="K253" s="9"/>
    </row>
    <row r="254">
      <c r="A254" s="6"/>
      <c r="B254" s="7"/>
      <c r="C254" s="7"/>
      <c r="D254" s="7"/>
      <c r="E254" s="7"/>
      <c r="F254" s="7"/>
      <c r="G254" s="7"/>
      <c r="H254" s="7"/>
      <c r="I254" s="7"/>
      <c r="J254" s="8"/>
      <c r="K254" s="9"/>
    </row>
    <row r="255">
      <c r="A255" s="6"/>
      <c r="B255" s="7"/>
      <c r="C255" s="7"/>
      <c r="D255" s="7"/>
      <c r="E255" s="7"/>
      <c r="F255" s="7"/>
      <c r="G255" s="7"/>
      <c r="H255" s="7"/>
      <c r="I255" s="7"/>
      <c r="J255" s="8"/>
      <c r="K255" s="9"/>
    </row>
    <row r="256">
      <c r="A256" s="6"/>
      <c r="B256" s="7"/>
      <c r="C256" s="7"/>
      <c r="D256" s="7"/>
      <c r="E256" s="7"/>
      <c r="F256" s="7"/>
      <c r="G256" s="7"/>
      <c r="H256" s="7"/>
      <c r="I256" s="7"/>
      <c r="J256" s="8"/>
      <c r="K256" s="9"/>
    </row>
    <row r="257">
      <c r="A257" s="6"/>
      <c r="B257" s="7"/>
      <c r="C257" s="7"/>
      <c r="D257" s="7"/>
      <c r="E257" s="7"/>
      <c r="F257" s="7"/>
      <c r="G257" s="7"/>
      <c r="H257" s="7"/>
      <c r="I257" s="7"/>
      <c r="J257" s="8"/>
      <c r="K257" s="9"/>
    </row>
    <row r="258">
      <c r="A258" s="6"/>
      <c r="B258" s="7"/>
      <c r="C258" s="7"/>
      <c r="D258" s="7"/>
      <c r="E258" s="7"/>
      <c r="F258" s="7"/>
      <c r="G258" s="7"/>
      <c r="H258" s="7"/>
      <c r="I258" s="7"/>
      <c r="J258" s="8"/>
      <c r="K258" s="9"/>
    </row>
    <row r="259">
      <c r="A259" s="6"/>
      <c r="B259" s="7"/>
      <c r="C259" s="7"/>
      <c r="D259" s="7"/>
      <c r="E259" s="7"/>
      <c r="F259" s="7"/>
      <c r="G259" s="7"/>
      <c r="H259" s="7"/>
      <c r="I259" s="7"/>
      <c r="J259" s="8"/>
      <c r="K259" s="9"/>
    </row>
    <row r="260">
      <c r="A260" s="6"/>
      <c r="B260" s="7"/>
      <c r="C260" s="7"/>
      <c r="D260" s="7"/>
      <c r="E260" s="7"/>
      <c r="F260" s="7"/>
      <c r="G260" s="7"/>
      <c r="H260" s="7"/>
      <c r="I260" s="7"/>
      <c r="J260" s="8"/>
      <c r="K260" s="9"/>
    </row>
    <row r="261">
      <c r="A261" s="6"/>
      <c r="B261" s="7"/>
      <c r="C261" s="7"/>
      <c r="D261" s="7"/>
      <c r="E261" s="7"/>
      <c r="F261" s="7"/>
      <c r="G261" s="7"/>
      <c r="H261" s="7"/>
      <c r="I261" s="7"/>
      <c r="J261" s="8"/>
      <c r="K261" s="9"/>
    </row>
    <row r="262">
      <c r="A262" s="6"/>
      <c r="B262" s="7"/>
      <c r="C262" s="7"/>
      <c r="D262" s="7"/>
      <c r="E262" s="7"/>
      <c r="F262" s="7"/>
      <c r="G262" s="7"/>
      <c r="H262" s="7"/>
      <c r="I262" s="7"/>
      <c r="J262" s="8"/>
      <c r="K262" s="9"/>
    </row>
    <row r="263">
      <c r="A263" s="6"/>
      <c r="B263" s="7"/>
      <c r="C263" s="7"/>
      <c r="D263" s="7"/>
      <c r="E263" s="7"/>
      <c r="F263" s="7"/>
      <c r="G263" s="7"/>
      <c r="H263" s="7"/>
      <c r="I263" s="7"/>
      <c r="J263" s="8"/>
      <c r="K263" s="9"/>
    </row>
    <row r="264">
      <c r="A264" s="6"/>
      <c r="B264" s="7"/>
      <c r="C264" s="7"/>
      <c r="D264" s="7"/>
      <c r="E264" s="7"/>
      <c r="F264" s="7"/>
      <c r="G264" s="7"/>
      <c r="H264" s="7"/>
      <c r="I264" s="7"/>
      <c r="J264" s="8"/>
      <c r="K264" s="9"/>
    </row>
    <row r="265">
      <c r="A265" s="6"/>
      <c r="B265" s="7"/>
      <c r="C265" s="7"/>
      <c r="D265" s="7"/>
      <c r="E265" s="7"/>
      <c r="F265" s="7"/>
      <c r="G265" s="7"/>
      <c r="H265" s="7"/>
      <c r="I265" s="7"/>
      <c r="J265" s="8"/>
      <c r="K265" s="9"/>
    </row>
    <row r="266">
      <c r="A266" s="6"/>
      <c r="B266" s="7"/>
      <c r="C266" s="7"/>
      <c r="D266" s="7"/>
      <c r="E266" s="7"/>
      <c r="F266" s="7"/>
      <c r="G266" s="7"/>
      <c r="H266" s="7"/>
      <c r="I266" s="7"/>
      <c r="J266" s="8"/>
      <c r="K266" s="9"/>
    </row>
    <row r="267">
      <c r="A267" s="6"/>
      <c r="B267" s="7"/>
      <c r="C267" s="7"/>
      <c r="D267" s="7"/>
      <c r="E267" s="7"/>
      <c r="F267" s="7"/>
      <c r="G267" s="7"/>
      <c r="H267" s="7"/>
      <c r="I267" s="7"/>
      <c r="J267" s="8"/>
      <c r="K267" s="9"/>
    </row>
    <row r="268">
      <c r="A268" s="6"/>
      <c r="B268" s="7"/>
      <c r="C268" s="7"/>
      <c r="D268" s="7"/>
      <c r="E268" s="7"/>
      <c r="F268" s="7"/>
      <c r="G268" s="7"/>
      <c r="H268" s="7"/>
      <c r="I268" s="7"/>
      <c r="J268" s="8"/>
      <c r="K268" s="9"/>
    </row>
    <row r="269">
      <c r="A269" s="6"/>
      <c r="B269" s="7"/>
      <c r="C269" s="7"/>
      <c r="D269" s="7"/>
      <c r="E269" s="7"/>
      <c r="F269" s="7"/>
      <c r="G269" s="7"/>
      <c r="H269" s="7"/>
      <c r="I269" s="7"/>
      <c r="J269" s="8"/>
      <c r="K269" s="9"/>
    </row>
    <row r="270">
      <c r="A270" s="6"/>
      <c r="B270" s="7"/>
      <c r="C270" s="7"/>
      <c r="D270" s="7"/>
      <c r="E270" s="7"/>
      <c r="F270" s="7"/>
      <c r="G270" s="7"/>
      <c r="H270" s="7"/>
      <c r="I270" s="7"/>
      <c r="J270" s="8"/>
      <c r="K270" s="9"/>
    </row>
    <row r="271">
      <c r="A271" s="6"/>
      <c r="B271" s="7"/>
      <c r="C271" s="7"/>
      <c r="D271" s="7"/>
      <c r="E271" s="7"/>
      <c r="F271" s="7"/>
      <c r="G271" s="7"/>
      <c r="H271" s="7"/>
      <c r="I271" s="7"/>
      <c r="J271" s="8"/>
      <c r="K271" s="9"/>
    </row>
    <row r="272">
      <c r="A272" s="6"/>
      <c r="B272" s="7"/>
      <c r="C272" s="7"/>
      <c r="D272" s="7"/>
      <c r="E272" s="7"/>
      <c r="F272" s="7"/>
      <c r="G272" s="7"/>
      <c r="H272" s="7"/>
      <c r="I272" s="7"/>
      <c r="J272" s="8"/>
      <c r="K272" s="9"/>
    </row>
    <row r="273">
      <c r="A273" s="6"/>
      <c r="B273" s="7"/>
      <c r="C273" s="7"/>
      <c r="D273" s="7"/>
      <c r="E273" s="7"/>
      <c r="F273" s="7"/>
      <c r="G273" s="7"/>
      <c r="H273" s="7"/>
      <c r="I273" s="7"/>
      <c r="J273" s="8"/>
      <c r="K273" s="9"/>
    </row>
    <row r="274">
      <c r="A274" s="6"/>
      <c r="B274" s="7"/>
      <c r="C274" s="7"/>
      <c r="D274" s="7"/>
      <c r="E274" s="7"/>
      <c r="F274" s="7"/>
      <c r="G274" s="7"/>
      <c r="H274" s="7"/>
      <c r="I274" s="7"/>
      <c r="J274" s="8"/>
      <c r="K274" s="9"/>
    </row>
    <row r="275">
      <c r="A275" s="6"/>
      <c r="B275" s="7"/>
      <c r="C275" s="7"/>
      <c r="D275" s="7"/>
      <c r="E275" s="7"/>
      <c r="F275" s="7"/>
      <c r="G275" s="7"/>
      <c r="H275" s="7"/>
      <c r="I275" s="7"/>
      <c r="J275" s="8"/>
      <c r="K275" s="9"/>
    </row>
    <row r="276">
      <c r="A276" s="6"/>
      <c r="B276" s="7"/>
      <c r="C276" s="7"/>
      <c r="D276" s="7"/>
      <c r="E276" s="7"/>
      <c r="F276" s="7"/>
      <c r="G276" s="7"/>
      <c r="H276" s="7"/>
      <c r="I276" s="7"/>
      <c r="J276" s="8"/>
      <c r="K276" s="9"/>
    </row>
    <row r="277">
      <c r="A277" s="6"/>
      <c r="B277" s="7"/>
      <c r="C277" s="7"/>
      <c r="D277" s="7"/>
      <c r="E277" s="7"/>
      <c r="F277" s="7"/>
      <c r="G277" s="7"/>
      <c r="H277" s="7"/>
      <c r="I277" s="7"/>
      <c r="J277" s="8"/>
      <c r="K277" s="9"/>
    </row>
    <row r="278">
      <c r="A278" s="6"/>
      <c r="B278" s="7"/>
      <c r="C278" s="7"/>
      <c r="D278" s="7"/>
      <c r="E278" s="7"/>
      <c r="F278" s="7"/>
      <c r="G278" s="7"/>
      <c r="H278" s="7"/>
      <c r="I278" s="7"/>
      <c r="J278" s="8"/>
      <c r="K278" s="9"/>
    </row>
    <row r="279">
      <c r="A279" s="6"/>
      <c r="B279" s="7"/>
      <c r="C279" s="7"/>
      <c r="D279" s="7"/>
      <c r="E279" s="7"/>
      <c r="F279" s="7"/>
      <c r="G279" s="7"/>
      <c r="H279" s="7"/>
      <c r="I279" s="7"/>
      <c r="J279" s="8"/>
      <c r="K279" s="9"/>
    </row>
    <row r="280">
      <c r="A280" s="6"/>
      <c r="B280" s="7"/>
      <c r="C280" s="7"/>
      <c r="D280" s="7"/>
      <c r="E280" s="7"/>
      <c r="F280" s="7"/>
      <c r="G280" s="7"/>
      <c r="H280" s="7"/>
      <c r="I280" s="7"/>
      <c r="J280" s="8"/>
      <c r="K280" s="9"/>
    </row>
    <row r="281">
      <c r="A281" s="6"/>
      <c r="B281" s="7"/>
      <c r="C281" s="7"/>
      <c r="D281" s="7"/>
      <c r="E281" s="7"/>
      <c r="F281" s="7"/>
      <c r="G281" s="7"/>
      <c r="H281" s="7"/>
      <c r="I281" s="7"/>
      <c r="J281" s="8"/>
      <c r="K281" s="9"/>
    </row>
    <row r="282">
      <c r="A282" s="6"/>
      <c r="B282" s="7"/>
      <c r="C282" s="7"/>
      <c r="D282" s="7"/>
      <c r="E282" s="7"/>
      <c r="F282" s="7"/>
      <c r="G282" s="7"/>
      <c r="H282" s="7"/>
      <c r="I282" s="7"/>
      <c r="J282" s="8"/>
      <c r="K282" s="9"/>
    </row>
    <row r="283">
      <c r="A283" s="6"/>
      <c r="B283" s="7"/>
      <c r="C283" s="7"/>
      <c r="D283" s="7"/>
      <c r="E283" s="7"/>
      <c r="F283" s="7"/>
      <c r="G283" s="7"/>
      <c r="H283" s="7"/>
      <c r="I283" s="7"/>
      <c r="J283" s="8"/>
      <c r="K283" s="9"/>
    </row>
    <row r="284">
      <c r="A284" s="6"/>
      <c r="B284" s="7"/>
      <c r="C284" s="7"/>
      <c r="D284" s="7"/>
      <c r="E284" s="7"/>
      <c r="F284" s="7"/>
      <c r="G284" s="7"/>
      <c r="H284" s="7"/>
      <c r="I284" s="7"/>
      <c r="J284" s="8"/>
      <c r="K284" s="9"/>
    </row>
    <row r="285">
      <c r="A285" s="6"/>
      <c r="B285" s="7"/>
      <c r="C285" s="7"/>
      <c r="D285" s="7"/>
      <c r="E285" s="7"/>
      <c r="F285" s="7"/>
      <c r="G285" s="7"/>
      <c r="H285" s="7"/>
      <c r="I285" s="7"/>
      <c r="J285" s="8"/>
      <c r="K285" s="9"/>
    </row>
    <row r="286">
      <c r="A286" s="6"/>
      <c r="B286" s="7"/>
      <c r="C286" s="7"/>
      <c r="D286" s="7"/>
      <c r="E286" s="7"/>
      <c r="F286" s="7"/>
      <c r="G286" s="7"/>
      <c r="H286" s="7"/>
      <c r="I286" s="7"/>
      <c r="J286" s="8"/>
      <c r="K286" s="9"/>
    </row>
    <row r="287">
      <c r="A287" s="6"/>
      <c r="B287" s="7"/>
      <c r="C287" s="7"/>
      <c r="D287" s="7"/>
      <c r="E287" s="7"/>
      <c r="F287" s="7"/>
      <c r="G287" s="7"/>
      <c r="H287" s="7"/>
      <c r="I287" s="7"/>
      <c r="J287" s="8"/>
      <c r="K287" s="9"/>
    </row>
    <row r="288">
      <c r="A288" s="6"/>
      <c r="B288" s="7"/>
      <c r="C288" s="7"/>
      <c r="D288" s="7"/>
      <c r="E288" s="7"/>
      <c r="F288" s="7"/>
      <c r="G288" s="7"/>
      <c r="H288" s="7"/>
      <c r="I288" s="7"/>
      <c r="J288" s="8"/>
      <c r="K288" s="9"/>
    </row>
    <row r="289">
      <c r="A289" s="6"/>
      <c r="B289" s="7"/>
      <c r="C289" s="7"/>
      <c r="D289" s="7"/>
      <c r="E289" s="7"/>
      <c r="F289" s="7"/>
      <c r="G289" s="7"/>
      <c r="H289" s="7"/>
      <c r="I289" s="7"/>
      <c r="J289" s="8"/>
      <c r="K289" s="9"/>
    </row>
    <row r="290">
      <c r="A290" s="6"/>
      <c r="B290" s="7"/>
      <c r="C290" s="7"/>
      <c r="D290" s="7"/>
      <c r="E290" s="7"/>
      <c r="F290" s="7"/>
      <c r="G290" s="7"/>
      <c r="H290" s="7"/>
      <c r="I290" s="7"/>
      <c r="J290" s="8"/>
      <c r="K290" s="9"/>
    </row>
    <row r="291">
      <c r="A291" s="6"/>
      <c r="B291" s="7"/>
      <c r="C291" s="7"/>
      <c r="D291" s="7"/>
      <c r="E291" s="7"/>
      <c r="F291" s="7"/>
      <c r="G291" s="7"/>
      <c r="H291" s="7"/>
      <c r="I291" s="7"/>
      <c r="J291" s="8"/>
      <c r="K291" s="9"/>
    </row>
    <row r="292">
      <c r="A292" s="6"/>
      <c r="B292" s="7"/>
      <c r="C292" s="7"/>
      <c r="D292" s="7"/>
      <c r="E292" s="7"/>
      <c r="F292" s="7"/>
      <c r="G292" s="7"/>
      <c r="H292" s="7"/>
      <c r="I292" s="7"/>
      <c r="J292" s="8"/>
      <c r="K292" s="9"/>
    </row>
    <row r="293">
      <c r="A293" s="6"/>
      <c r="B293" s="7"/>
      <c r="C293" s="7"/>
      <c r="D293" s="7"/>
      <c r="E293" s="7"/>
      <c r="F293" s="7"/>
      <c r="G293" s="7"/>
      <c r="H293" s="7"/>
      <c r="I293" s="7"/>
      <c r="J293" s="8"/>
      <c r="K293" s="9"/>
    </row>
    <row r="294">
      <c r="A294" s="6"/>
      <c r="B294" s="7"/>
      <c r="C294" s="7"/>
      <c r="D294" s="7"/>
      <c r="E294" s="7"/>
      <c r="F294" s="7"/>
      <c r="G294" s="7"/>
      <c r="H294" s="7"/>
      <c r="I294" s="7"/>
      <c r="J294" s="8"/>
      <c r="K294" s="9"/>
    </row>
    <row r="295">
      <c r="A295" s="6"/>
      <c r="B295" s="7"/>
      <c r="C295" s="7"/>
      <c r="D295" s="7"/>
      <c r="E295" s="7"/>
      <c r="F295" s="7"/>
      <c r="G295" s="7"/>
      <c r="H295" s="7"/>
      <c r="I295" s="7"/>
      <c r="J295" s="8"/>
      <c r="K295" s="9"/>
    </row>
    <row r="296">
      <c r="A296" s="6"/>
      <c r="B296" s="7"/>
      <c r="C296" s="7"/>
      <c r="D296" s="7"/>
      <c r="E296" s="7"/>
      <c r="F296" s="7"/>
      <c r="G296" s="7"/>
      <c r="H296" s="7"/>
      <c r="I296" s="7"/>
      <c r="J296" s="8"/>
      <c r="K296" s="9"/>
    </row>
    <row r="297">
      <c r="A297" s="6"/>
      <c r="B297" s="7"/>
      <c r="C297" s="7"/>
      <c r="D297" s="7"/>
      <c r="E297" s="7"/>
      <c r="F297" s="7"/>
      <c r="G297" s="7"/>
      <c r="H297" s="7"/>
      <c r="I297" s="7"/>
      <c r="J297" s="8"/>
      <c r="K297" s="9"/>
    </row>
    <row r="298">
      <c r="A298" s="6"/>
      <c r="B298" s="7"/>
      <c r="C298" s="7"/>
      <c r="D298" s="7"/>
      <c r="E298" s="7"/>
      <c r="F298" s="7"/>
      <c r="G298" s="7"/>
      <c r="H298" s="7"/>
      <c r="I298" s="7"/>
      <c r="J298" s="8"/>
      <c r="K298" s="9"/>
    </row>
    <row r="299">
      <c r="A299" s="6"/>
      <c r="B299" s="7"/>
      <c r="C299" s="7"/>
      <c r="D299" s="7"/>
      <c r="E299" s="7"/>
      <c r="F299" s="7"/>
      <c r="G299" s="7"/>
      <c r="H299" s="7"/>
      <c r="I299" s="7"/>
      <c r="J299" s="8"/>
      <c r="K299" s="9"/>
    </row>
    <row r="300">
      <c r="A300" s="6"/>
      <c r="B300" s="7"/>
      <c r="C300" s="7"/>
      <c r="D300" s="7"/>
      <c r="E300" s="7"/>
      <c r="F300" s="7"/>
      <c r="G300" s="7"/>
      <c r="H300" s="7"/>
      <c r="I300" s="7"/>
      <c r="J300" s="8"/>
      <c r="K300" s="9"/>
    </row>
    <row r="301">
      <c r="A301" s="6"/>
      <c r="B301" s="7"/>
      <c r="C301" s="7"/>
      <c r="D301" s="7"/>
      <c r="E301" s="7"/>
      <c r="F301" s="7"/>
      <c r="G301" s="7"/>
      <c r="H301" s="7"/>
      <c r="I301" s="7"/>
      <c r="J301" s="8"/>
      <c r="K301" s="9"/>
    </row>
    <row r="302">
      <c r="A302" s="6"/>
      <c r="B302" s="7"/>
      <c r="C302" s="7"/>
      <c r="D302" s="7"/>
      <c r="E302" s="7"/>
      <c r="F302" s="7"/>
      <c r="G302" s="7"/>
      <c r="H302" s="7"/>
      <c r="I302" s="7"/>
      <c r="J302" s="8"/>
      <c r="K302" s="9"/>
    </row>
    <row r="303">
      <c r="A303" s="6"/>
      <c r="B303" s="7"/>
      <c r="C303" s="7"/>
      <c r="D303" s="7"/>
      <c r="E303" s="7"/>
      <c r="F303" s="7"/>
      <c r="G303" s="7"/>
      <c r="H303" s="7"/>
      <c r="I303" s="7"/>
      <c r="J303" s="8"/>
      <c r="K303" s="9"/>
    </row>
    <row r="304">
      <c r="A304" s="6"/>
      <c r="B304" s="7"/>
      <c r="C304" s="7"/>
      <c r="D304" s="7"/>
      <c r="E304" s="7"/>
      <c r="F304" s="7"/>
      <c r="G304" s="7"/>
      <c r="H304" s="7"/>
      <c r="I304" s="7"/>
      <c r="J304" s="8"/>
      <c r="K304" s="9"/>
    </row>
    <row r="305">
      <c r="A305" s="6"/>
      <c r="B305" s="7"/>
      <c r="C305" s="7"/>
      <c r="D305" s="7"/>
      <c r="E305" s="7"/>
      <c r="F305" s="7"/>
      <c r="G305" s="7"/>
      <c r="H305" s="7"/>
      <c r="I305" s="7"/>
      <c r="J305" s="8"/>
      <c r="K305" s="9"/>
    </row>
    <row r="306">
      <c r="A306" s="6"/>
      <c r="B306" s="7"/>
      <c r="C306" s="7"/>
      <c r="D306" s="7"/>
      <c r="E306" s="7"/>
      <c r="F306" s="7"/>
      <c r="G306" s="7"/>
      <c r="H306" s="7"/>
      <c r="I306" s="7"/>
      <c r="J306" s="8"/>
      <c r="K306" s="9"/>
    </row>
    <row r="307">
      <c r="A307" s="6"/>
      <c r="B307" s="7"/>
      <c r="C307" s="7"/>
      <c r="D307" s="7"/>
      <c r="E307" s="7"/>
      <c r="F307" s="7"/>
      <c r="G307" s="7"/>
      <c r="H307" s="7"/>
      <c r="I307" s="7"/>
      <c r="J307" s="8"/>
      <c r="K307" s="9"/>
    </row>
    <row r="308">
      <c r="A308" s="6"/>
      <c r="B308" s="7"/>
      <c r="C308" s="7"/>
      <c r="D308" s="7"/>
      <c r="E308" s="7"/>
      <c r="F308" s="7"/>
      <c r="G308" s="7"/>
      <c r="H308" s="7"/>
      <c r="I308" s="7"/>
      <c r="J308" s="8"/>
      <c r="K308" s="9"/>
    </row>
    <row r="309">
      <c r="A309" s="6"/>
      <c r="B309" s="7"/>
      <c r="C309" s="7"/>
      <c r="D309" s="7"/>
      <c r="E309" s="7"/>
      <c r="F309" s="7"/>
      <c r="G309" s="7"/>
      <c r="H309" s="7"/>
      <c r="I309" s="7"/>
      <c r="J309" s="8"/>
      <c r="K309" s="9"/>
    </row>
    <row r="310">
      <c r="A310" s="6"/>
      <c r="B310" s="7"/>
      <c r="C310" s="7"/>
      <c r="D310" s="7"/>
      <c r="E310" s="7"/>
      <c r="F310" s="7"/>
      <c r="G310" s="7"/>
      <c r="H310" s="7"/>
      <c r="I310" s="7"/>
      <c r="J310" s="8"/>
      <c r="K310" s="9"/>
    </row>
    <row r="311">
      <c r="A311" s="6"/>
      <c r="B311" s="7"/>
      <c r="C311" s="7"/>
      <c r="D311" s="7"/>
      <c r="E311" s="7"/>
      <c r="F311" s="7"/>
      <c r="G311" s="7"/>
      <c r="H311" s="7"/>
      <c r="I311" s="7"/>
      <c r="J311" s="8"/>
      <c r="K311" s="9"/>
    </row>
    <row r="312">
      <c r="A312" s="6"/>
      <c r="B312" s="7"/>
      <c r="C312" s="7"/>
      <c r="D312" s="7"/>
      <c r="E312" s="7"/>
      <c r="F312" s="7"/>
      <c r="G312" s="7"/>
      <c r="H312" s="7"/>
      <c r="I312" s="7"/>
      <c r="J312" s="8"/>
      <c r="K312" s="9"/>
    </row>
    <row r="313">
      <c r="A313" s="6"/>
      <c r="B313" s="7"/>
      <c r="C313" s="7"/>
      <c r="D313" s="7"/>
      <c r="E313" s="7"/>
      <c r="F313" s="7"/>
      <c r="G313" s="7"/>
      <c r="H313" s="7"/>
      <c r="I313" s="7"/>
      <c r="J313" s="8"/>
      <c r="K313" s="9"/>
    </row>
    <row r="314">
      <c r="A314" s="6"/>
      <c r="B314" s="7"/>
      <c r="C314" s="7"/>
      <c r="D314" s="7"/>
      <c r="E314" s="7"/>
      <c r="F314" s="7"/>
      <c r="G314" s="7"/>
      <c r="H314" s="7"/>
      <c r="I314" s="7"/>
      <c r="J314" s="8"/>
      <c r="K314" s="9"/>
    </row>
    <row r="315">
      <c r="A315" s="6"/>
      <c r="B315" s="7"/>
      <c r="C315" s="7"/>
      <c r="D315" s="7"/>
      <c r="E315" s="7"/>
      <c r="F315" s="7"/>
      <c r="G315" s="7"/>
      <c r="H315" s="7"/>
      <c r="I315" s="7"/>
      <c r="J315" s="8"/>
      <c r="K315" s="9"/>
    </row>
    <row r="316">
      <c r="A316" s="6"/>
      <c r="B316" s="7"/>
      <c r="C316" s="7"/>
      <c r="D316" s="7"/>
      <c r="E316" s="7"/>
      <c r="F316" s="7"/>
      <c r="G316" s="7"/>
      <c r="H316" s="7"/>
      <c r="I316" s="7"/>
      <c r="J316" s="8"/>
      <c r="K316" s="9"/>
    </row>
    <row r="317">
      <c r="A317" s="6"/>
      <c r="B317" s="7"/>
      <c r="C317" s="7"/>
      <c r="D317" s="7"/>
      <c r="E317" s="7"/>
      <c r="F317" s="7"/>
      <c r="G317" s="7"/>
      <c r="H317" s="7"/>
      <c r="I317" s="7"/>
      <c r="J317" s="8"/>
      <c r="K317" s="9"/>
    </row>
    <row r="318">
      <c r="A318" s="6"/>
      <c r="B318" s="7"/>
      <c r="C318" s="7"/>
      <c r="D318" s="7"/>
      <c r="E318" s="7"/>
      <c r="F318" s="7"/>
      <c r="G318" s="7"/>
      <c r="H318" s="7"/>
      <c r="I318" s="7"/>
      <c r="J318" s="8"/>
      <c r="K318" s="9"/>
    </row>
    <row r="319">
      <c r="A319" s="6"/>
      <c r="B319" s="7"/>
      <c r="C319" s="7"/>
      <c r="D319" s="7"/>
      <c r="E319" s="7"/>
      <c r="F319" s="7"/>
      <c r="G319" s="7"/>
      <c r="H319" s="7"/>
      <c r="I319" s="7"/>
      <c r="J319" s="8"/>
      <c r="K319" s="9"/>
    </row>
    <row r="320">
      <c r="A320" s="6"/>
      <c r="B320" s="7"/>
      <c r="C320" s="7"/>
      <c r="D320" s="7"/>
      <c r="E320" s="7"/>
      <c r="F320" s="7"/>
      <c r="G320" s="7"/>
      <c r="H320" s="7"/>
      <c r="I320" s="7"/>
      <c r="J320" s="8"/>
      <c r="K320" s="9"/>
    </row>
    <row r="321">
      <c r="A321" s="6"/>
      <c r="B321" s="7"/>
      <c r="C321" s="7"/>
      <c r="D321" s="7"/>
      <c r="E321" s="7"/>
      <c r="F321" s="7"/>
      <c r="G321" s="7"/>
      <c r="H321" s="7"/>
      <c r="I321" s="7"/>
      <c r="J321" s="8"/>
      <c r="K321" s="9"/>
    </row>
    <row r="322">
      <c r="A322" s="6"/>
      <c r="B322" s="7"/>
      <c r="C322" s="7"/>
      <c r="D322" s="7"/>
      <c r="E322" s="7"/>
      <c r="F322" s="7"/>
      <c r="G322" s="7"/>
      <c r="H322" s="7"/>
      <c r="I322" s="7"/>
      <c r="J322" s="8"/>
      <c r="K322" s="9"/>
    </row>
    <row r="323">
      <c r="A323" s="6"/>
      <c r="B323" s="7"/>
      <c r="C323" s="7"/>
      <c r="D323" s="7"/>
      <c r="E323" s="7"/>
      <c r="F323" s="7"/>
      <c r="G323" s="7"/>
      <c r="H323" s="7"/>
      <c r="I323" s="7"/>
      <c r="J323" s="8"/>
      <c r="K323" s="9"/>
    </row>
    <row r="324">
      <c r="A324" s="6"/>
      <c r="B324" s="7"/>
      <c r="C324" s="7"/>
      <c r="D324" s="7"/>
      <c r="E324" s="7"/>
      <c r="F324" s="7"/>
      <c r="G324" s="7"/>
      <c r="H324" s="7"/>
      <c r="I324" s="7"/>
      <c r="J324" s="8"/>
      <c r="K324" s="9"/>
    </row>
    <row r="325">
      <c r="A325" s="6"/>
      <c r="B325" s="7"/>
      <c r="C325" s="7"/>
      <c r="D325" s="7"/>
      <c r="E325" s="7"/>
      <c r="F325" s="7"/>
      <c r="G325" s="7"/>
      <c r="H325" s="7"/>
      <c r="I325" s="7"/>
      <c r="J325" s="8"/>
      <c r="K325" s="9"/>
    </row>
    <row r="326">
      <c r="A326" s="6"/>
      <c r="B326" s="7"/>
      <c r="C326" s="7"/>
      <c r="D326" s="7"/>
      <c r="E326" s="7"/>
      <c r="F326" s="7"/>
      <c r="G326" s="7"/>
      <c r="H326" s="7"/>
      <c r="I326" s="7"/>
      <c r="J326" s="8"/>
      <c r="K326" s="9"/>
    </row>
    <row r="327">
      <c r="A327" s="6"/>
      <c r="B327" s="7"/>
      <c r="C327" s="7"/>
      <c r="D327" s="7"/>
      <c r="E327" s="7"/>
      <c r="F327" s="7"/>
      <c r="G327" s="7"/>
      <c r="H327" s="7"/>
      <c r="I327" s="7"/>
      <c r="J327" s="8"/>
      <c r="K327" s="9"/>
    </row>
    <row r="328">
      <c r="A328" s="6"/>
      <c r="B328" s="7"/>
      <c r="C328" s="7"/>
      <c r="D328" s="7"/>
      <c r="E328" s="7"/>
      <c r="F328" s="7"/>
      <c r="G328" s="7"/>
      <c r="H328" s="7"/>
      <c r="I328" s="7"/>
      <c r="J328" s="8"/>
      <c r="K328" s="9"/>
    </row>
    <row r="329">
      <c r="A329" s="6"/>
      <c r="B329" s="7"/>
      <c r="C329" s="7"/>
      <c r="D329" s="7"/>
      <c r="E329" s="7"/>
      <c r="F329" s="7"/>
      <c r="G329" s="7"/>
      <c r="H329" s="7"/>
      <c r="I329" s="7"/>
      <c r="J329" s="8"/>
      <c r="K329" s="9"/>
    </row>
    <row r="330">
      <c r="A330" s="6"/>
      <c r="B330" s="7"/>
      <c r="C330" s="7"/>
      <c r="D330" s="7"/>
      <c r="E330" s="7"/>
      <c r="F330" s="7"/>
      <c r="G330" s="7"/>
      <c r="H330" s="7"/>
      <c r="I330" s="7"/>
      <c r="J330" s="8"/>
      <c r="K330" s="9"/>
    </row>
    <row r="331">
      <c r="A331" s="6"/>
      <c r="B331" s="7"/>
      <c r="C331" s="7"/>
      <c r="D331" s="7"/>
      <c r="E331" s="7"/>
      <c r="F331" s="7"/>
      <c r="G331" s="7"/>
      <c r="H331" s="7"/>
      <c r="I331" s="7"/>
      <c r="J331" s="8"/>
      <c r="K331" s="9"/>
    </row>
    <row r="332">
      <c r="A332" s="6"/>
      <c r="B332" s="7"/>
      <c r="C332" s="7"/>
      <c r="D332" s="7"/>
      <c r="E332" s="7"/>
      <c r="F332" s="7"/>
      <c r="G332" s="7"/>
      <c r="H332" s="7"/>
      <c r="I332" s="7"/>
      <c r="J332" s="8"/>
      <c r="K332" s="9"/>
    </row>
    <row r="333">
      <c r="A333" s="6"/>
      <c r="B333" s="7"/>
      <c r="C333" s="7"/>
      <c r="D333" s="7"/>
      <c r="E333" s="7"/>
      <c r="F333" s="7"/>
      <c r="G333" s="7"/>
      <c r="H333" s="7"/>
      <c r="I333" s="7"/>
      <c r="J333" s="8"/>
      <c r="K333" s="9"/>
    </row>
    <row r="334">
      <c r="A334" s="6"/>
      <c r="B334" s="7"/>
      <c r="C334" s="7"/>
      <c r="D334" s="7"/>
      <c r="E334" s="7"/>
      <c r="F334" s="7"/>
      <c r="G334" s="7"/>
      <c r="H334" s="7"/>
      <c r="I334" s="7"/>
      <c r="J334" s="8"/>
      <c r="K334" s="9"/>
    </row>
    <row r="335">
      <c r="A335" s="6"/>
      <c r="B335" s="7"/>
      <c r="C335" s="7"/>
      <c r="D335" s="7"/>
      <c r="E335" s="7"/>
      <c r="F335" s="7"/>
      <c r="G335" s="7"/>
      <c r="H335" s="7"/>
      <c r="I335" s="7"/>
      <c r="J335" s="8"/>
      <c r="K335" s="9"/>
    </row>
    <row r="336">
      <c r="A336" s="6"/>
      <c r="B336" s="7"/>
      <c r="C336" s="7"/>
      <c r="D336" s="7"/>
      <c r="E336" s="7"/>
      <c r="F336" s="7"/>
      <c r="G336" s="7"/>
      <c r="H336" s="7"/>
      <c r="I336" s="7"/>
      <c r="J336" s="8"/>
      <c r="K336" s="9"/>
    </row>
    <row r="337">
      <c r="A337" s="6"/>
      <c r="B337" s="7"/>
      <c r="C337" s="7"/>
      <c r="D337" s="7"/>
      <c r="E337" s="7"/>
      <c r="F337" s="7"/>
      <c r="G337" s="7"/>
      <c r="H337" s="7"/>
      <c r="I337" s="7"/>
      <c r="J337" s="8"/>
      <c r="K337" s="9"/>
    </row>
    <row r="338">
      <c r="A338" s="6"/>
      <c r="B338" s="7"/>
      <c r="C338" s="7"/>
      <c r="D338" s="7"/>
      <c r="E338" s="7"/>
      <c r="F338" s="7"/>
      <c r="G338" s="7"/>
      <c r="H338" s="7"/>
      <c r="I338" s="7"/>
      <c r="J338" s="8"/>
      <c r="K338" s="9"/>
    </row>
    <row r="339">
      <c r="A339" s="6"/>
      <c r="B339" s="7"/>
      <c r="C339" s="7"/>
      <c r="D339" s="7"/>
      <c r="E339" s="7"/>
      <c r="F339" s="7"/>
      <c r="G339" s="7"/>
      <c r="H339" s="7"/>
      <c r="I339" s="7"/>
      <c r="J339" s="8"/>
      <c r="K339" s="9"/>
    </row>
    <row r="340">
      <c r="A340" s="6"/>
      <c r="B340" s="7"/>
      <c r="C340" s="7"/>
      <c r="D340" s="7"/>
      <c r="E340" s="7"/>
      <c r="F340" s="7"/>
      <c r="G340" s="7"/>
      <c r="H340" s="7"/>
      <c r="I340" s="7"/>
      <c r="J340" s="8"/>
      <c r="K340" s="9"/>
    </row>
    <row r="341">
      <c r="A341" s="6"/>
      <c r="B341" s="7"/>
      <c r="C341" s="7"/>
      <c r="D341" s="7"/>
      <c r="E341" s="7"/>
      <c r="F341" s="7"/>
      <c r="G341" s="7"/>
      <c r="H341" s="7"/>
      <c r="I341" s="7"/>
      <c r="J341" s="8"/>
      <c r="K341" s="9"/>
    </row>
    <row r="342">
      <c r="A342" s="6"/>
      <c r="B342" s="7"/>
      <c r="C342" s="7"/>
      <c r="D342" s="7"/>
      <c r="E342" s="7"/>
      <c r="F342" s="7"/>
      <c r="G342" s="7"/>
      <c r="H342" s="7"/>
      <c r="I342" s="7"/>
      <c r="J342" s="8"/>
      <c r="K342" s="9"/>
    </row>
    <row r="343">
      <c r="A343" s="6"/>
      <c r="B343" s="7"/>
      <c r="C343" s="7"/>
      <c r="D343" s="7"/>
      <c r="E343" s="7"/>
      <c r="F343" s="7"/>
      <c r="G343" s="7"/>
      <c r="H343" s="7"/>
      <c r="I343" s="7"/>
      <c r="J343" s="8"/>
      <c r="K343" s="9"/>
    </row>
    <row r="344">
      <c r="A344" s="6"/>
      <c r="B344" s="7"/>
      <c r="C344" s="7"/>
      <c r="D344" s="7"/>
      <c r="E344" s="7"/>
      <c r="F344" s="7"/>
      <c r="G344" s="7"/>
      <c r="H344" s="7"/>
      <c r="I344" s="7"/>
      <c r="J344" s="8"/>
      <c r="K344" s="9"/>
    </row>
    <row r="345">
      <c r="A345" s="6"/>
      <c r="B345" s="7"/>
      <c r="C345" s="7"/>
      <c r="D345" s="7"/>
      <c r="E345" s="7"/>
      <c r="F345" s="7"/>
      <c r="G345" s="7"/>
      <c r="H345" s="7"/>
      <c r="I345" s="7"/>
      <c r="J345" s="8"/>
      <c r="K345" s="9"/>
    </row>
    <row r="346">
      <c r="A346" s="6"/>
      <c r="B346" s="7"/>
      <c r="C346" s="7"/>
      <c r="D346" s="7"/>
      <c r="E346" s="7"/>
      <c r="F346" s="7"/>
      <c r="G346" s="7"/>
      <c r="H346" s="7"/>
      <c r="I346" s="7"/>
      <c r="J346" s="8"/>
      <c r="K346" s="9"/>
    </row>
    <row r="347">
      <c r="A347" s="6"/>
      <c r="B347" s="7"/>
      <c r="C347" s="7"/>
      <c r="D347" s="7"/>
      <c r="E347" s="7"/>
      <c r="F347" s="7"/>
      <c r="G347" s="7"/>
      <c r="H347" s="7"/>
      <c r="I347" s="7"/>
      <c r="J347" s="8"/>
      <c r="K347" s="9"/>
    </row>
    <row r="348">
      <c r="A348" s="6"/>
      <c r="B348" s="7"/>
      <c r="C348" s="7"/>
      <c r="D348" s="7"/>
      <c r="E348" s="7"/>
      <c r="F348" s="7"/>
      <c r="G348" s="7"/>
      <c r="H348" s="7"/>
      <c r="I348" s="7"/>
      <c r="J348" s="8"/>
      <c r="K348" s="9"/>
    </row>
    <row r="349">
      <c r="A349" s="6"/>
      <c r="B349" s="7"/>
      <c r="C349" s="7"/>
      <c r="D349" s="7"/>
      <c r="E349" s="7"/>
      <c r="F349" s="7"/>
      <c r="G349" s="7"/>
      <c r="H349" s="7"/>
      <c r="I349" s="7"/>
      <c r="J349" s="8"/>
      <c r="K349" s="9"/>
    </row>
    <row r="350">
      <c r="A350" s="6"/>
      <c r="B350" s="7"/>
      <c r="C350" s="7"/>
      <c r="D350" s="7"/>
      <c r="E350" s="7"/>
      <c r="F350" s="7"/>
      <c r="G350" s="7"/>
      <c r="H350" s="7"/>
      <c r="I350" s="7"/>
      <c r="J350" s="8"/>
      <c r="K350" s="9"/>
    </row>
    <row r="351">
      <c r="A351" s="6"/>
      <c r="B351" s="7"/>
      <c r="C351" s="7"/>
      <c r="D351" s="7"/>
      <c r="E351" s="7"/>
      <c r="F351" s="7"/>
      <c r="G351" s="7"/>
      <c r="H351" s="7"/>
      <c r="I351" s="7"/>
      <c r="J351" s="8"/>
      <c r="K351" s="9"/>
    </row>
    <row r="352">
      <c r="A352" s="6"/>
      <c r="B352" s="7"/>
      <c r="C352" s="7"/>
      <c r="D352" s="7"/>
      <c r="E352" s="7"/>
      <c r="F352" s="7"/>
      <c r="G352" s="7"/>
      <c r="H352" s="7"/>
      <c r="I352" s="7"/>
      <c r="J352" s="8"/>
      <c r="K352" s="9"/>
    </row>
    <row r="353">
      <c r="A353" s="6"/>
      <c r="B353" s="7"/>
      <c r="C353" s="7"/>
      <c r="D353" s="7"/>
      <c r="E353" s="7"/>
      <c r="F353" s="7"/>
      <c r="G353" s="7"/>
      <c r="H353" s="7"/>
      <c r="I353" s="7"/>
      <c r="J353" s="8"/>
      <c r="K353" s="9"/>
    </row>
    <row r="354">
      <c r="A354" s="6"/>
      <c r="B354" s="7"/>
      <c r="C354" s="7"/>
      <c r="D354" s="7"/>
      <c r="E354" s="7"/>
      <c r="F354" s="7"/>
      <c r="G354" s="7"/>
      <c r="H354" s="7"/>
      <c r="I354" s="7"/>
      <c r="J354" s="8"/>
      <c r="K354" s="9"/>
    </row>
    <row r="355">
      <c r="A355" s="6"/>
      <c r="B355" s="7"/>
      <c r="C355" s="7"/>
      <c r="D355" s="7"/>
      <c r="E355" s="7"/>
      <c r="F355" s="7"/>
      <c r="G355" s="7"/>
      <c r="H355" s="7"/>
      <c r="I355" s="7"/>
      <c r="J355" s="8"/>
      <c r="K355" s="9"/>
    </row>
    <row r="356">
      <c r="A356" s="6"/>
      <c r="B356" s="7"/>
      <c r="C356" s="7"/>
      <c r="D356" s="7"/>
      <c r="E356" s="7"/>
      <c r="F356" s="7"/>
      <c r="G356" s="7"/>
      <c r="H356" s="7"/>
      <c r="I356" s="7"/>
      <c r="J356" s="8"/>
      <c r="K356" s="9"/>
    </row>
    <row r="357">
      <c r="A357" s="6"/>
      <c r="B357" s="7"/>
      <c r="C357" s="7"/>
      <c r="D357" s="7"/>
      <c r="E357" s="7"/>
      <c r="F357" s="7"/>
      <c r="G357" s="7"/>
      <c r="H357" s="7"/>
      <c r="I357" s="7"/>
      <c r="J357" s="8"/>
      <c r="K357" s="9"/>
    </row>
    <row r="358">
      <c r="A358" s="6"/>
      <c r="B358" s="7"/>
      <c r="C358" s="7"/>
      <c r="D358" s="7"/>
      <c r="E358" s="7"/>
      <c r="F358" s="7"/>
      <c r="G358" s="7"/>
      <c r="H358" s="7"/>
      <c r="I358" s="7"/>
      <c r="J358" s="8"/>
      <c r="K358" s="9"/>
    </row>
    <row r="359">
      <c r="A359" s="6"/>
      <c r="B359" s="7"/>
      <c r="C359" s="7"/>
      <c r="D359" s="7"/>
      <c r="E359" s="7"/>
      <c r="F359" s="7"/>
      <c r="G359" s="7"/>
      <c r="H359" s="7"/>
      <c r="I359" s="7"/>
      <c r="J359" s="8"/>
      <c r="K359" s="9"/>
    </row>
    <row r="360">
      <c r="A360" s="6"/>
      <c r="B360" s="7"/>
      <c r="C360" s="7"/>
      <c r="D360" s="7"/>
      <c r="E360" s="7"/>
      <c r="F360" s="7"/>
      <c r="G360" s="7"/>
      <c r="H360" s="7"/>
      <c r="I360" s="7"/>
      <c r="J360" s="8"/>
      <c r="K360" s="9"/>
    </row>
    <row r="361">
      <c r="A361" s="6"/>
      <c r="B361" s="7"/>
      <c r="C361" s="7"/>
      <c r="D361" s="7"/>
      <c r="E361" s="7"/>
      <c r="F361" s="7"/>
      <c r="G361" s="7"/>
      <c r="H361" s="7"/>
      <c r="I361" s="7"/>
      <c r="J361" s="8"/>
      <c r="K361" s="9"/>
    </row>
    <row r="362">
      <c r="A362" s="6"/>
      <c r="B362" s="7"/>
      <c r="C362" s="7"/>
      <c r="D362" s="7"/>
      <c r="E362" s="7"/>
      <c r="F362" s="7"/>
      <c r="G362" s="7"/>
      <c r="H362" s="7"/>
      <c r="I362" s="7"/>
      <c r="J362" s="8"/>
      <c r="K362" s="9"/>
    </row>
    <row r="363">
      <c r="A363" s="6"/>
      <c r="B363" s="7"/>
      <c r="C363" s="7"/>
      <c r="D363" s="7"/>
      <c r="E363" s="7"/>
      <c r="F363" s="7"/>
      <c r="G363" s="7"/>
      <c r="H363" s="7"/>
      <c r="I363" s="7"/>
      <c r="J363" s="8"/>
      <c r="K363" s="9"/>
    </row>
    <row r="364">
      <c r="A364" s="6"/>
      <c r="B364" s="7"/>
      <c r="C364" s="7"/>
      <c r="D364" s="7"/>
      <c r="E364" s="7"/>
      <c r="F364" s="7"/>
      <c r="G364" s="7"/>
      <c r="H364" s="7"/>
      <c r="I364" s="7"/>
      <c r="J364" s="8"/>
      <c r="K364" s="9"/>
    </row>
    <row r="365">
      <c r="A365" s="6"/>
      <c r="B365" s="7"/>
      <c r="C365" s="7"/>
      <c r="D365" s="7"/>
      <c r="E365" s="7"/>
      <c r="F365" s="7"/>
      <c r="G365" s="7"/>
      <c r="H365" s="7"/>
      <c r="I365" s="7"/>
      <c r="J365" s="8"/>
      <c r="K365" s="9"/>
    </row>
    <row r="366">
      <c r="A366" s="6"/>
      <c r="B366" s="7"/>
      <c r="C366" s="7"/>
      <c r="D366" s="7"/>
      <c r="E366" s="7"/>
      <c r="F366" s="7"/>
      <c r="G366" s="7"/>
      <c r="H366" s="7"/>
      <c r="I366" s="7"/>
      <c r="J366" s="8"/>
      <c r="K366" s="9"/>
    </row>
    <row r="367">
      <c r="A367" s="6"/>
      <c r="B367" s="7"/>
      <c r="C367" s="7"/>
      <c r="D367" s="7"/>
      <c r="E367" s="7"/>
      <c r="F367" s="7"/>
      <c r="G367" s="7"/>
      <c r="H367" s="7"/>
      <c r="I367" s="7"/>
      <c r="J367" s="8"/>
      <c r="K367" s="9"/>
    </row>
    <row r="368">
      <c r="A368" s="6"/>
      <c r="B368" s="7"/>
      <c r="C368" s="7"/>
      <c r="D368" s="7"/>
      <c r="E368" s="7"/>
      <c r="F368" s="7"/>
      <c r="G368" s="7"/>
      <c r="H368" s="7"/>
      <c r="I368" s="7"/>
      <c r="J368" s="8"/>
      <c r="K368" s="9"/>
    </row>
    <row r="369">
      <c r="A369" s="6"/>
      <c r="B369" s="7"/>
      <c r="C369" s="7"/>
      <c r="D369" s="7"/>
      <c r="E369" s="7"/>
      <c r="F369" s="7"/>
      <c r="G369" s="7"/>
      <c r="H369" s="7"/>
      <c r="I369" s="7"/>
      <c r="J369" s="8"/>
      <c r="K369" s="9"/>
    </row>
    <row r="370">
      <c r="A370" s="6"/>
      <c r="B370" s="7"/>
      <c r="C370" s="7"/>
      <c r="D370" s="7"/>
      <c r="E370" s="7"/>
      <c r="F370" s="7"/>
      <c r="G370" s="7"/>
      <c r="H370" s="7"/>
      <c r="I370" s="7"/>
      <c r="J370" s="8"/>
      <c r="K370" s="9"/>
    </row>
    <row r="371">
      <c r="A371" s="6"/>
      <c r="B371" s="7"/>
      <c r="C371" s="7"/>
      <c r="D371" s="7"/>
      <c r="E371" s="7"/>
      <c r="F371" s="7"/>
      <c r="G371" s="7"/>
      <c r="H371" s="7"/>
      <c r="I371" s="7"/>
      <c r="J371" s="8"/>
      <c r="K371" s="9"/>
    </row>
    <row r="372">
      <c r="A372" s="6"/>
      <c r="B372" s="7"/>
      <c r="C372" s="7"/>
      <c r="D372" s="7"/>
      <c r="E372" s="7"/>
      <c r="F372" s="7"/>
      <c r="G372" s="7"/>
      <c r="H372" s="7"/>
      <c r="I372" s="7"/>
      <c r="J372" s="8"/>
      <c r="K372" s="9"/>
    </row>
    <row r="373">
      <c r="A373" s="6"/>
      <c r="B373" s="7"/>
      <c r="C373" s="7"/>
      <c r="D373" s="7"/>
      <c r="E373" s="7"/>
      <c r="F373" s="7"/>
      <c r="G373" s="7"/>
      <c r="H373" s="7"/>
      <c r="I373" s="7"/>
      <c r="J373" s="8"/>
      <c r="K373" s="9"/>
    </row>
    <row r="374">
      <c r="A374" s="6"/>
      <c r="B374" s="7"/>
      <c r="C374" s="7"/>
      <c r="D374" s="7"/>
      <c r="E374" s="7"/>
      <c r="F374" s="7"/>
      <c r="G374" s="7"/>
      <c r="H374" s="7"/>
      <c r="I374" s="7"/>
      <c r="J374" s="8"/>
      <c r="K374" s="9"/>
    </row>
    <row r="375">
      <c r="A375" s="6"/>
      <c r="B375" s="7"/>
      <c r="C375" s="7"/>
      <c r="D375" s="7"/>
      <c r="E375" s="7"/>
      <c r="F375" s="7"/>
      <c r="G375" s="7"/>
      <c r="H375" s="7"/>
      <c r="I375" s="7"/>
      <c r="J375" s="8"/>
      <c r="K375" s="9"/>
    </row>
    <row r="376">
      <c r="A376" s="6"/>
      <c r="B376" s="7"/>
      <c r="C376" s="7"/>
      <c r="D376" s="7"/>
      <c r="E376" s="7"/>
      <c r="F376" s="7"/>
      <c r="G376" s="7"/>
      <c r="H376" s="7"/>
      <c r="I376" s="7"/>
      <c r="J376" s="8"/>
      <c r="K376" s="9"/>
    </row>
    <row r="377">
      <c r="A377" s="6"/>
      <c r="B377" s="7"/>
      <c r="C377" s="7"/>
      <c r="D377" s="7"/>
      <c r="E377" s="7"/>
      <c r="F377" s="7"/>
      <c r="G377" s="7"/>
      <c r="H377" s="7"/>
      <c r="I377" s="7"/>
      <c r="J377" s="8"/>
      <c r="K377" s="9"/>
    </row>
    <row r="378">
      <c r="A378" s="6"/>
      <c r="B378" s="7"/>
      <c r="C378" s="7"/>
      <c r="D378" s="7"/>
      <c r="E378" s="7"/>
      <c r="F378" s="7"/>
      <c r="G378" s="7"/>
      <c r="H378" s="7"/>
      <c r="I378" s="7"/>
      <c r="J378" s="8"/>
      <c r="K378" s="9"/>
    </row>
    <row r="379">
      <c r="A379" s="6"/>
      <c r="B379" s="7"/>
      <c r="C379" s="7"/>
      <c r="D379" s="7"/>
      <c r="E379" s="7"/>
      <c r="F379" s="7"/>
      <c r="G379" s="7"/>
      <c r="H379" s="7"/>
      <c r="I379" s="7"/>
      <c r="J379" s="8"/>
      <c r="K379" s="9"/>
    </row>
    <row r="380">
      <c r="A380" s="6"/>
      <c r="B380" s="7"/>
      <c r="C380" s="7"/>
      <c r="D380" s="7"/>
      <c r="E380" s="7"/>
      <c r="F380" s="7"/>
      <c r="G380" s="7"/>
      <c r="H380" s="7"/>
      <c r="I380" s="7"/>
      <c r="J380" s="8"/>
      <c r="K380" s="9"/>
    </row>
    <row r="381">
      <c r="A381" s="6"/>
      <c r="B381" s="7"/>
      <c r="C381" s="7"/>
      <c r="D381" s="7"/>
      <c r="E381" s="7"/>
      <c r="F381" s="7"/>
      <c r="G381" s="7"/>
      <c r="H381" s="7"/>
      <c r="I381" s="7"/>
      <c r="J381" s="8"/>
      <c r="K381" s="9"/>
    </row>
    <row r="382">
      <c r="A382" s="6"/>
      <c r="B382" s="7"/>
      <c r="C382" s="7"/>
      <c r="D382" s="7"/>
      <c r="E382" s="7"/>
      <c r="F382" s="7"/>
      <c r="G382" s="7"/>
      <c r="H382" s="7"/>
      <c r="I382" s="7"/>
      <c r="J382" s="8"/>
      <c r="K382" s="9"/>
    </row>
    <row r="383">
      <c r="A383" s="6"/>
      <c r="B383" s="7"/>
      <c r="C383" s="7"/>
      <c r="D383" s="7"/>
      <c r="E383" s="7"/>
      <c r="F383" s="7"/>
      <c r="G383" s="7"/>
      <c r="H383" s="7"/>
      <c r="I383" s="7"/>
      <c r="J383" s="8"/>
      <c r="K383" s="9"/>
    </row>
    <row r="384">
      <c r="A384" s="6"/>
      <c r="B384" s="7"/>
      <c r="C384" s="7"/>
      <c r="D384" s="7"/>
      <c r="E384" s="7"/>
      <c r="F384" s="7"/>
      <c r="G384" s="7"/>
      <c r="H384" s="7"/>
      <c r="I384" s="7"/>
      <c r="J384" s="8"/>
      <c r="K384" s="9"/>
    </row>
    <row r="385">
      <c r="A385" s="6"/>
      <c r="B385" s="7"/>
      <c r="C385" s="7"/>
      <c r="D385" s="7"/>
      <c r="E385" s="7"/>
      <c r="F385" s="7"/>
      <c r="G385" s="7"/>
      <c r="H385" s="7"/>
      <c r="I385" s="7"/>
      <c r="J385" s="8"/>
      <c r="K385" s="9"/>
    </row>
    <row r="386">
      <c r="A386" s="6"/>
      <c r="B386" s="7"/>
      <c r="C386" s="7"/>
      <c r="D386" s="7"/>
      <c r="E386" s="7"/>
      <c r="F386" s="7"/>
      <c r="G386" s="7"/>
      <c r="H386" s="7"/>
      <c r="I386" s="7"/>
      <c r="J386" s="8"/>
      <c r="K386" s="9"/>
    </row>
    <row r="387">
      <c r="A387" s="6"/>
      <c r="B387" s="7"/>
      <c r="C387" s="7"/>
      <c r="D387" s="7"/>
      <c r="E387" s="7"/>
      <c r="F387" s="7"/>
      <c r="G387" s="7"/>
      <c r="H387" s="7"/>
      <c r="I387" s="7"/>
      <c r="J387" s="8"/>
      <c r="K387" s="9"/>
    </row>
    <row r="388">
      <c r="A388" s="6"/>
      <c r="B388" s="7"/>
      <c r="C388" s="7"/>
      <c r="D388" s="7"/>
      <c r="E388" s="7"/>
      <c r="F388" s="7"/>
      <c r="G388" s="7"/>
      <c r="H388" s="7"/>
      <c r="I388" s="7"/>
      <c r="J388" s="8"/>
      <c r="K388" s="9"/>
    </row>
    <row r="389">
      <c r="A389" s="6"/>
      <c r="B389" s="7"/>
      <c r="C389" s="7"/>
      <c r="D389" s="7"/>
      <c r="E389" s="7"/>
      <c r="F389" s="7"/>
      <c r="G389" s="7"/>
      <c r="H389" s="7"/>
      <c r="I389" s="7"/>
      <c r="J389" s="8"/>
      <c r="K389" s="9"/>
    </row>
    <row r="390">
      <c r="A390" s="6"/>
      <c r="B390" s="7"/>
      <c r="C390" s="7"/>
      <c r="D390" s="7"/>
      <c r="E390" s="7"/>
      <c r="F390" s="7"/>
      <c r="G390" s="7"/>
      <c r="H390" s="7"/>
      <c r="I390" s="7"/>
      <c r="J390" s="8"/>
      <c r="K390" s="9"/>
    </row>
    <row r="391">
      <c r="A391" s="6"/>
      <c r="B391" s="7"/>
      <c r="C391" s="7"/>
      <c r="D391" s="7"/>
      <c r="E391" s="7"/>
      <c r="F391" s="7"/>
      <c r="G391" s="7"/>
      <c r="H391" s="7"/>
      <c r="I391" s="7"/>
      <c r="J391" s="8"/>
      <c r="K391" s="9"/>
    </row>
    <row r="392">
      <c r="A392" s="6"/>
      <c r="B392" s="7"/>
      <c r="C392" s="7"/>
      <c r="D392" s="7"/>
      <c r="E392" s="7"/>
      <c r="F392" s="7"/>
      <c r="G392" s="7"/>
      <c r="H392" s="7"/>
      <c r="I392" s="7"/>
      <c r="J392" s="8"/>
      <c r="K392" s="9"/>
    </row>
    <row r="393">
      <c r="A393" s="6"/>
      <c r="B393" s="7"/>
      <c r="C393" s="7"/>
      <c r="D393" s="7"/>
      <c r="E393" s="7"/>
      <c r="F393" s="7"/>
      <c r="G393" s="7"/>
      <c r="H393" s="7"/>
      <c r="I393" s="7"/>
      <c r="J393" s="8"/>
      <c r="K393" s="9"/>
    </row>
    <row r="394">
      <c r="A394" s="6"/>
      <c r="B394" s="7"/>
      <c r="C394" s="7"/>
      <c r="D394" s="7"/>
      <c r="E394" s="7"/>
      <c r="F394" s="7"/>
      <c r="G394" s="7"/>
      <c r="H394" s="7"/>
      <c r="I394" s="7"/>
      <c r="J394" s="8"/>
      <c r="K394" s="9"/>
    </row>
    <row r="395">
      <c r="A395" s="6"/>
      <c r="B395" s="7"/>
      <c r="C395" s="7"/>
      <c r="D395" s="7"/>
      <c r="E395" s="7"/>
      <c r="F395" s="7"/>
      <c r="G395" s="7"/>
      <c r="H395" s="7"/>
      <c r="I395" s="7"/>
      <c r="J395" s="8"/>
      <c r="K395" s="9"/>
    </row>
    <row r="396">
      <c r="A396" s="6"/>
      <c r="B396" s="7"/>
      <c r="C396" s="7"/>
      <c r="D396" s="7"/>
      <c r="E396" s="7"/>
      <c r="F396" s="7"/>
      <c r="G396" s="7"/>
      <c r="H396" s="7"/>
      <c r="I396" s="7"/>
      <c r="J396" s="8"/>
      <c r="K396" s="9"/>
    </row>
    <row r="397">
      <c r="A397" s="6"/>
      <c r="B397" s="7"/>
      <c r="C397" s="7"/>
      <c r="D397" s="7"/>
      <c r="E397" s="7"/>
      <c r="F397" s="7"/>
      <c r="G397" s="7"/>
      <c r="H397" s="7"/>
      <c r="I397" s="7"/>
      <c r="J397" s="8"/>
      <c r="K397" s="9"/>
    </row>
    <row r="398">
      <c r="A398" s="6"/>
      <c r="B398" s="7"/>
      <c r="C398" s="7"/>
      <c r="D398" s="7"/>
      <c r="E398" s="7"/>
      <c r="F398" s="7"/>
      <c r="G398" s="7"/>
      <c r="H398" s="7"/>
      <c r="I398" s="7"/>
      <c r="J398" s="8"/>
      <c r="K398" s="9"/>
    </row>
    <row r="399">
      <c r="A399" s="6"/>
      <c r="B399" s="7"/>
      <c r="C399" s="7"/>
      <c r="D399" s="7"/>
      <c r="E399" s="7"/>
      <c r="F399" s="7"/>
      <c r="G399" s="7"/>
      <c r="H399" s="7"/>
      <c r="I399" s="7"/>
      <c r="J399" s="8"/>
      <c r="K399" s="9"/>
    </row>
    <row r="400">
      <c r="A400" s="6"/>
      <c r="B400" s="7"/>
      <c r="C400" s="7"/>
      <c r="D400" s="7"/>
      <c r="E400" s="7"/>
      <c r="F400" s="7"/>
      <c r="G400" s="7"/>
      <c r="H400" s="7"/>
      <c r="I400" s="7"/>
      <c r="J400" s="8"/>
      <c r="K400" s="9"/>
    </row>
    <row r="401">
      <c r="A401" s="6"/>
      <c r="B401" s="7"/>
      <c r="C401" s="7"/>
      <c r="D401" s="7"/>
      <c r="E401" s="7"/>
      <c r="F401" s="7"/>
      <c r="G401" s="7"/>
      <c r="H401" s="7"/>
      <c r="I401" s="7"/>
      <c r="J401" s="8"/>
      <c r="K401" s="9"/>
    </row>
    <row r="402">
      <c r="A402" s="6"/>
      <c r="B402" s="7"/>
      <c r="C402" s="7"/>
      <c r="D402" s="7"/>
      <c r="E402" s="7"/>
      <c r="F402" s="7"/>
      <c r="G402" s="7"/>
      <c r="H402" s="7"/>
      <c r="I402" s="7"/>
      <c r="J402" s="8"/>
      <c r="K402" s="9"/>
    </row>
    <row r="403">
      <c r="A403" s="6"/>
      <c r="B403" s="7"/>
      <c r="C403" s="7"/>
      <c r="D403" s="7"/>
      <c r="E403" s="7"/>
      <c r="F403" s="7"/>
      <c r="G403" s="7"/>
      <c r="H403" s="7"/>
      <c r="I403" s="7"/>
      <c r="J403" s="8"/>
      <c r="K403" s="9"/>
    </row>
    <row r="404">
      <c r="A404" s="6"/>
      <c r="B404" s="7"/>
      <c r="C404" s="7"/>
      <c r="D404" s="7"/>
      <c r="E404" s="7"/>
      <c r="F404" s="7"/>
      <c r="G404" s="7"/>
      <c r="H404" s="7"/>
      <c r="I404" s="7"/>
      <c r="J404" s="8"/>
      <c r="K404" s="9"/>
    </row>
    <row r="405">
      <c r="A405" s="6"/>
      <c r="B405" s="7"/>
      <c r="C405" s="7"/>
      <c r="D405" s="7"/>
      <c r="E405" s="7"/>
      <c r="F405" s="7"/>
      <c r="G405" s="7"/>
      <c r="H405" s="7"/>
      <c r="I405" s="7"/>
      <c r="J405" s="8"/>
      <c r="K405" s="9"/>
    </row>
    <row r="406">
      <c r="A406" s="6"/>
      <c r="B406" s="7"/>
      <c r="C406" s="7"/>
      <c r="D406" s="7"/>
      <c r="E406" s="7"/>
      <c r="F406" s="7"/>
      <c r="G406" s="7"/>
      <c r="H406" s="7"/>
      <c r="I406" s="7"/>
      <c r="J406" s="8"/>
      <c r="K406" s="9"/>
    </row>
    <row r="407">
      <c r="A407" s="6"/>
      <c r="B407" s="7"/>
      <c r="C407" s="7"/>
      <c r="D407" s="7"/>
      <c r="E407" s="7"/>
      <c r="F407" s="7"/>
      <c r="G407" s="7"/>
      <c r="H407" s="7"/>
      <c r="I407" s="7"/>
      <c r="J407" s="8"/>
      <c r="K407" s="9"/>
    </row>
    <row r="408">
      <c r="A408" s="6"/>
      <c r="B408" s="7"/>
      <c r="C408" s="7"/>
      <c r="D408" s="7"/>
      <c r="E408" s="7"/>
      <c r="F408" s="7"/>
      <c r="G408" s="7"/>
      <c r="H408" s="7"/>
      <c r="I408" s="7"/>
      <c r="J408" s="8"/>
      <c r="K408" s="9"/>
    </row>
    <row r="409">
      <c r="A409" s="6"/>
      <c r="B409" s="7"/>
      <c r="C409" s="7"/>
      <c r="D409" s="7"/>
      <c r="E409" s="7"/>
      <c r="F409" s="7"/>
      <c r="G409" s="7"/>
      <c r="H409" s="7"/>
      <c r="I409" s="7"/>
      <c r="J409" s="8"/>
      <c r="K409" s="9"/>
    </row>
    <row r="410">
      <c r="A410" s="6"/>
      <c r="B410" s="7"/>
      <c r="C410" s="7"/>
      <c r="D410" s="7"/>
      <c r="E410" s="7"/>
      <c r="F410" s="7"/>
      <c r="G410" s="7"/>
      <c r="H410" s="7"/>
      <c r="I410" s="7"/>
      <c r="J410" s="8"/>
      <c r="K410" s="9"/>
    </row>
    <row r="411">
      <c r="A411" s="6"/>
      <c r="B411" s="7"/>
      <c r="C411" s="7"/>
      <c r="D411" s="7"/>
      <c r="E411" s="7"/>
      <c r="F411" s="7"/>
      <c r="G411" s="7"/>
      <c r="H411" s="7"/>
      <c r="I411" s="7"/>
      <c r="J411" s="8"/>
      <c r="K411" s="9"/>
    </row>
    <row r="412">
      <c r="A412" s="6"/>
      <c r="B412" s="7"/>
      <c r="C412" s="7"/>
      <c r="D412" s="7"/>
      <c r="E412" s="7"/>
      <c r="F412" s="7"/>
      <c r="G412" s="7"/>
      <c r="H412" s="7"/>
      <c r="I412" s="7"/>
      <c r="J412" s="8"/>
      <c r="K412" s="9"/>
    </row>
    <row r="413">
      <c r="A413" s="6"/>
      <c r="B413" s="7"/>
      <c r="C413" s="7"/>
      <c r="D413" s="7"/>
      <c r="E413" s="7"/>
      <c r="F413" s="7"/>
      <c r="G413" s="7"/>
      <c r="H413" s="7"/>
      <c r="I413" s="7"/>
      <c r="J413" s="8"/>
      <c r="K413" s="9"/>
    </row>
    <row r="414">
      <c r="A414" s="6"/>
      <c r="B414" s="7"/>
      <c r="C414" s="7"/>
      <c r="D414" s="7"/>
      <c r="E414" s="7"/>
      <c r="F414" s="7"/>
      <c r="G414" s="7"/>
      <c r="H414" s="7"/>
      <c r="I414" s="7"/>
      <c r="J414" s="8"/>
      <c r="K414" s="9"/>
    </row>
    <row r="415">
      <c r="A415" s="6"/>
      <c r="B415" s="7"/>
      <c r="C415" s="7"/>
      <c r="D415" s="7"/>
      <c r="E415" s="7"/>
      <c r="F415" s="7"/>
      <c r="G415" s="7"/>
      <c r="H415" s="7"/>
      <c r="I415" s="7"/>
      <c r="J415" s="8"/>
      <c r="K415" s="9"/>
    </row>
    <row r="416">
      <c r="A416" s="6"/>
      <c r="B416" s="7"/>
      <c r="C416" s="7"/>
      <c r="D416" s="7"/>
      <c r="E416" s="7"/>
      <c r="F416" s="7"/>
      <c r="G416" s="7"/>
      <c r="H416" s="7"/>
      <c r="I416" s="7"/>
      <c r="J416" s="8"/>
      <c r="K416" s="9"/>
    </row>
    <row r="417">
      <c r="A417" s="6"/>
      <c r="B417" s="7"/>
      <c r="C417" s="7"/>
      <c r="D417" s="7"/>
      <c r="E417" s="7"/>
      <c r="F417" s="7"/>
      <c r="G417" s="7"/>
      <c r="H417" s="7"/>
      <c r="I417" s="7"/>
      <c r="J417" s="8"/>
      <c r="K417" s="9"/>
    </row>
    <row r="418">
      <c r="A418" s="6"/>
      <c r="B418" s="7"/>
      <c r="C418" s="7"/>
      <c r="D418" s="7"/>
      <c r="E418" s="7"/>
      <c r="F418" s="7"/>
      <c r="G418" s="7"/>
      <c r="H418" s="7"/>
      <c r="I418" s="7"/>
      <c r="J418" s="8"/>
      <c r="K418" s="9"/>
    </row>
    <row r="419">
      <c r="A419" s="6"/>
      <c r="B419" s="7"/>
      <c r="C419" s="7"/>
      <c r="D419" s="7"/>
      <c r="E419" s="7"/>
      <c r="F419" s="7"/>
      <c r="G419" s="7"/>
      <c r="H419" s="7"/>
      <c r="I419" s="7"/>
      <c r="J419" s="8"/>
      <c r="K419" s="9"/>
    </row>
    <row r="420">
      <c r="A420" s="6"/>
      <c r="B420" s="7"/>
      <c r="C420" s="7"/>
      <c r="D420" s="7"/>
      <c r="E420" s="7"/>
      <c r="F420" s="7"/>
      <c r="G420" s="7"/>
      <c r="H420" s="7"/>
      <c r="I420" s="7"/>
      <c r="J420" s="8"/>
      <c r="K420" s="9"/>
    </row>
    <row r="421">
      <c r="A421" s="6"/>
      <c r="B421" s="7"/>
      <c r="C421" s="7"/>
      <c r="D421" s="7"/>
      <c r="E421" s="7"/>
      <c r="F421" s="7"/>
      <c r="G421" s="7"/>
      <c r="H421" s="7"/>
      <c r="I421" s="7"/>
      <c r="J421" s="8"/>
      <c r="K421" s="9"/>
    </row>
    <row r="422">
      <c r="A422" s="6"/>
      <c r="B422" s="7"/>
      <c r="C422" s="7"/>
      <c r="D422" s="7"/>
      <c r="E422" s="7"/>
      <c r="F422" s="7"/>
      <c r="G422" s="7"/>
      <c r="H422" s="7"/>
      <c r="I422" s="7"/>
      <c r="J422" s="8"/>
      <c r="K422" s="9"/>
    </row>
    <row r="423">
      <c r="A423" s="6"/>
      <c r="B423" s="7"/>
      <c r="C423" s="7"/>
      <c r="D423" s="7"/>
      <c r="E423" s="7"/>
      <c r="F423" s="7"/>
      <c r="G423" s="7"/>
      <c r="H423" s="7"/>
      <c r="I423" s="7"/>
      <c r="J423" s="8"/>
      <c r="K423" s="9"/>
    </row>
    <row r="424">
      <c r="A424" s="6"/>
      <c r="B424" s="7"/>
      <c r="C424" s="7"/>
      <c r="D424" s="7"/>
      <c r="E424" s="7"/>
      <c r="F424" s="7"/>
      <c r="G424" s="7"/>
      <c r="H424" s="7"/>
      <c r="I424" s="7"/>
      <c r="J424" s="8"/>
      <c r="K424" s="9"/>
    </row>
    <row r="425">
      <c r="A425" s="6"/>
      <c r="B425" s="7"/>
      <c r="C425" s="7"/>
      <c r="D425" s="7"/>
      <c r="E425" s="7"/>
      <c r="F425" s="7"/>
      <c r="G425" s="7"/>
      <c r="H425" s="7"/>
      <c r="I425" s="7"/>
      <c r="J425" s="8"/>
      <c r="K425" s="9"/>
    </row>
    <row r="426">
      <c r="A426" s="6"/>
      <c r="B426" s="7"/>
      <c r="C426" s="7"/>
      <c r="D426" s="7"/>
      <c r="E426" s="7"/>
      <c r="F426" s="7"/>
      <c r="G426" s="7"/>
      <c r="H426" s="7"/>
      <c r="I426" s="7"/>
      <c r="J426" s="8"/>
      <c r="K426" s="9"/>
    </row>
    <row r="427">
      <c r="A427" s="6"/>
      <c r="B427" s="7"/>
      <c r="C427" s="7"/>
      <c r="D427" s="7"/>
      <c r="E427" s="7"/>
      <c r="F427" s="7"/>
      <c r="G427" s="7"/>
      <c r="H427" s="7"/>
      <c r="I427" s="7"/>
      <c r="J427" s="8"/>
      <c r="K427" s="9"/>
    </row>
    <row r="428">
      <c r="A428" s="6"/>
      <c r="B428" s="7"/>
      <c r="C428" s="7"/>
      <c r="D428" s="7"/>
      <c r="E428" s="7"/>
      <c r="F428" s="7"/>
      <c r="G428" s="7"/>
      <c r="H428" s="7"/>
      <c r="I428" s="7"/>
      <c r="J428" s="8"/>
      <c r="K428" s="9"/>
    </row>
    <row r="429">
      <c r="A429" s="6"/>
      <c r="B429" s="7"/>
      <c r="C429" s="7"/>
      <c r="D429" s="7"/>
      <c r="E429" s="7"/>
      <c r="F429" s="7"/>
      <c r="G429" s="7"/>
      <c r="H429" s="7"/>
      <c r="I429" s="7"/>
      <c r="J429" s="8"/>
      <c r="K429" s="9"/>
    </row>
    <row r="430">
      <c r="A430" s="6"/>
      <c r="B430" s="7"/>
      <c r="C430" s="7"/>
      <c r="D430" s="7"/>
      <c r="E430" s="7"/>
      <c r="F430" s="7"/>
      <c r="G430" s="7"/>
      <c r="H430" s="7"/>
      <c r="I430" s="7"/>
      <c r="J430" s="8"/>
      <c r="K430" s="9"/>
    </row>
    <row r="431">
      <c r="A431" s="6"/>
      <c r="B431" s="7"/>
      <c r="C431" s="7"/>
      <c r="D431" s="7"/>
      <c r="E431" s="7"/>
      <c r="F431" s="7"/>
      <c r="G431" s="7"/>
      <c r="H431" s="7"/>
      <c r="I431" s="7"/>
      <c r="J431" s="8"/>
      <c r="K431" s="9"/>
    </row>
    <row r="432">
      <c r="A432" s="6"/>
      <c r="B432" s="7"/>
      <c r="C432" s="7"/>
      <c r="D432" s="7"/>
      <c r="E432" s="7"/>
      <c r="F432" s="7"/>
      <c r="G432" s="7"/>
      <c r="H432" s="7"/>
      <c r="I432" s="7"/>
      <c r="J432" s="8"/>
      <c r="K432" s="9"/>
    </row>
    <row r="433">
      <c r="A433" s="6"/>
      <c r="B433" s="7"/>
      <c r="C433" s="7"/>
      <c r="D433" s="7"/>
      <c r="E433" s="7"/>
      <c r="F433" s="7"/>
      <c r="G433" s="7"/>
      <c r="H433" s="7"/>
      <c r="I433" s="7"/>
      <c r="J433" s="8"/>
      <c r="K433" s="9"/>
    </row>
    <row r="434">
      <c r="A434" s="6"/>
      <c r="B434" s="7"/>
      <c r="C434" s="7"/>
      <c r="D434" s="7"/>
      <c r="E434" s="7"/>
      <c r="F434" s="7"/>
      <c r="G434" s="7"/>
      <c r="H434" s="7"/>
      <c r="I434" s="7"/>
      <c r="J434" s="8"/>
      <c r="K434" s="9"/>
    </row>
    <row r="435">
      <c r="A435" s="6"/>
      <c r="B435" s="7"/>
      <c r="C435" s="7"/>
      <c r="D435" s="7"/>
      <c r="E435" s="7"/>
      <c r="F435" s="7"/>
      <c r="G435" s="7"/>
      <c r="H435" s="7"/>
      <c r="I435" s="7"/>
      <c r="J435" s="8"/>
      <c r="K435" s="9"/>
    </row>
    <row r="436">
      <c r="A436" s="6"/>
      <c r="B436" s="7"/>
      <c r="C436" s="7"/>
      <c r="D436" s="7"/>
      <c r="E436" s="7"/>
      <c r="F436" s="7"/>
      <c r="G436" s="7"/>
      <c r="H436" s="7"/>
      <c r="I436" s="7"/>
      <c r="J436" s="8"/>
      <c r="K436" s="9"/>
    </row>
    <row r="437">
      <c r="A437" s="6"/>
      <c r="B437" s="7"/>
      <c r="C437" s="7"/>
      <c r="D437" s="7"/>
      <c r="E437" s="7"/>
      <c r="F437" s="7"/>
      <c r="G437" s="7"/>
      <c r="H437" s="7"/>
      <c r="I437" s="7"/>
      <c r="J437" s="8"/>
      <c r="K437" s="9"/>
    </row>
    <row r="438">
      <c r="A438" s="6"/>
      <c r="B438" s="7"/>
      <c r="C438" s="7"/>
      <c r="D438" s="7"/>
      <c r="E438" s="7"/>
      <c r="F438" s="7"/>
      <c r="G438" s="7"/>
      <c r="H438" s="7"/>
      <c r="I438" s="7"/>
      <c r="J438" s="8"/>
      <c r="K438" s="9"/>
    </row>
    <row r="439">
      <c r="A439" s="6"/>
      <c r="B439" s="7"/>
      <c r="C439" s="7"/>
      <c r="D439" s="7"/>
      <c r="E439" s="7"/>
      <c r="F439" s="7"/>
      <c r="G439" s="7"/>
      <c r="H439" s="7"/>
      <c r="I439" s="7"/>
      <c r="J439" s="8"/>
      <c r="K439" s="9"/>
    </row>
    <row r="440">
      <c r="A440" s="6"/>
      <c r="B440" s="7"/>
      <c r="C440" s="7"/>
      <c r="D440" s="7"/>
      <c r="E440" s="7"/>
      <c r="F440" s="7"/>
      <c r="G440" s="7"/>
      <c r="H440" s="7"/>
      <c r="I440" s="7"/>
      <c r="J440" s="8"/>
      <c r="K440" s="9"/>
    </row>
    <row r="441">
      <c r="A441" s="6"/>
      <c r="B441" s="7"/>
      <c r="C441" s="7"/>
      <c r="D441" s="7"/>
      <c r="E441" s="7"/>
      <c r="F441" s="7"/>
      <c r="G441" s="7"/>
      <c r="H441" s="7"/>
      <c r="I441" s="7"/>
      <c r="J441" s="8"/>
      <c r="K441" s="9"/>
    </row>
    <row r="442">
      <c r="A442" s="6"/>
      <c r="B442" s="7"/>
      <c r="C442" s="7"/>
      <c r="D442" s="7"/>
      <c r="E442" s="7"/>
      <c r="F442" s="7"/>
      <c r="G442" s="7"/>
      <c r="H442" s="7"/>
      <c r="I442" s="7"/>
      <c r="J442" s="8"/>
      <c r="K442" s="9"/>
    </row>
    <row r="443">
      <c r="A443" s="6"/>
      <c r="B443" s="7"/>
      <c r="C443" s="7"/>
      <c r="D443" s="7"/>
      <c r="E443" s="7"/>
      <c r="F443" s="7"/>
      <c r="G443" s="7"/>
      <c r="H443" s="7"/>
      <c r="I443" s="7"/>
      <c r="J443" s="8"/>
      <c r="K443" s="9"/>
    </row>
    <row r="444">
      <c r="A444" s="6"/>
      <c r="B444" s="7"/>
      <c r="C444" s="7"/>
      <c r="D444" s="7"/>
      <c r="E444" s="7"/>
      <c r="F444" s="7"/>
      <c r="G444" s="7"/>
      <c r="H444" s="7"/>
      <c r="I444" s="7"/>
      <c r="J444" s="8"/>
      <c r="K444" s="9"/>
    </row>
    <row r="445">
      <c r="A445" s="6"/>
      <c r="B445" s="7"/>
      <c r="C445" s="7"/>
      <c r="D445" s="7"/>
      <c r="E445" s="7"/>
      <c r="F445" s="7"/>
      <c r="G445" s="7"/>
      <c r="H445" s="7"/>
      <c r="I445" s="7"/>
      <c r="J445" s="8"/>
      <c r="K445" s="9"/>
    </row>
    <row r="446">
      <c r="A446" s="6"/>
      <c r="B446" s="7"/>
      <c r="C446" s="7"/>
      <c r="D446" s="7"/>
      <c r="E446" s="7"/>
      <c r="F446" s="7"/>
      <c r="G446" s="7"/>
      <c r="H446" s="7"/>
      <c r="I446" s="7"/>
      <c r="J446" s="8"/>
      <c r="K446" s="9"/>
    </row>
    <row r="447">
      <c r="A447" s="6"/>
      <c r="B447" s="7"/>
      <c r="C447" s="7"/>
      <c r="D447" s="7"/>
      <c r="E447" s="7"/>
      <c r="F447" s="7"/>
      <c r="G447" s="7"/>
      <c r="H447" s="7"/>
      <c r="I447" s="7"/>
      <c r="J447" s="8"/>
      <c r="K447" s="9"/>
    </row>
    <row r="448">
      <c r="A448" s="6"/>
      <c r="B448" s="7"/>
      <c r="C448" s="7"/>
      <c r="D448" s="7"/>
      <c r="E448" s="7"/>
      <c r="F448" s="7"/>
      <c r="G448" s="7"/>
      <c r="H448" s="7"/>
      <c r="I448" s="7"/>
      <c r="J448" s="8"/>
      <c r="K448" s="9"/>
    </row>
    <row r="449">
      <c r="A449" s="6"/>
      <c r="B449" s="7"/>
      <c r="C449" s="7"/>
      <c r="D449" s="7"/>
      <c r="E449" s="7"/>
      <c r="F449" s="7"/>
      <c r="G449" s="7"/>
      <c r="H449" s="7"/>
      <c r="I449" s="7"/>
      <c r="J449" s="8"/>
      <c r="K449" s="9"/>
    </row>
    <row r="450">
      <c r="A450" s="6"/>
      <c r="B450" s="7"/>
      <c r="C450" s="7"/>
      <c r="D450" s="7"/>
      <c r="E450" s="7"/>
      <c r="F450" s="7"/>
      <c r="G450" s="7"/>
      <c r="H450" s="7"/>
      <c r="I450" s="7"/>
      <c r="J450" s="8"/>
      <c r="K450" s="9"/>
    </row>
    <row r="451">
      <c r="A451" s="6"/>
      <c r="B451" s="7"/>
      <c r="C451" s="7"/>
      <c r="D451" s="7"/>
      <c r="E451" s="7"/>
      <c r="F451" s="7"/>
      <c r="G451" s="7"/>
      <c r="H451" s="7"/>
      <c r="I451" s="7"/>
      <c r="J451" s="8"/>
      <c r="K451" s="9"/>
    </row>
    <row r="452">
      <c r="A452" s="6"/>
      <c r="B452" s="7"/>
      <c r="C452" s="7"/>
      <c r="D452" s="7"/>
      <c r="E452" s="7"/>
      <c r="F452" s="7"/>
      <c r="G452" s="7"/>
      <c r="H452" s="7"/>
      <c r="I452" s="7"/>
      <c r="J452" s="8"/>
      <c r="K452" s="9"/>
    </row>
    <row r="453">
      <c r="A453" s="6"/>
      <c r="B453" s="7"/>
      <c r="C453" s="7"/>
      <c r="D453" s="7"/>
      <c r="E453" s="7"/>
      <c r="F453" s="7"/>
      <c r="G453" s="7"/>
      <c r="H453" s="7"/>
      <c r="I453" s="7"/>
      <c r="J453" s="8"/>
      <c r="K453" s="9"/>
    </row>
    <row r="454">
      <c r="A454" s="6"/>
      <c r="B454" s="7"/>
      <c r="C454" s="7"/>
      <c r="D454" s="7"/>
      <c r="E454" s="7"/>
      <c r="F454" s="7"/>
      <c r="G454" s="7"/>
      <c r="H454" s="7"/>
      <c r="I454" s="7"/>
      <c r="J454" s="8"/>
      <c r="K454" s="9"/>
    </row>
    <row r="455">
      <c r="A455" s="6"/>
      <c r="B455" s="7"/>
      <c r="C455" s="7"/>
      <c r="D455" s="7"/>
      <c r="E455" s="7"/>
      <c r="F455" s="7"/>
      <c r="G455" s="7"/>
      <c r="H455" s="7"/>
      <c r="I455" s="7"/>
      <c r="J455" s="8"/>
      <c r="K455" s="9"/>
    </row>
    <row r="456">
      <c r="A456" s="6"/>
      <c r="B456" s="7"/>
      <c r="C456" s="7"/>
      <c r="D456" s="7"/>
      <c r="E456" s="7"/>
      <c r="F456" s="7"/>
      <c r="G456" s="7"/>
      <c r="H456" s="7"/>
      <c r="I456" s="7"/>
      <c r="J456" s="8"/>
      <c r="K456" s="9"/>
    </row>
    <row r="457">
      <c r="A457" s="6"/>
      <c r="B457" s="7"/>
      <c r="C457" s="7"/>
      <c r="D457" s="7"/>
      <c r="E457" s="7"/>
      <c r="F457" s="7"/>
      <c r="G457" s="7"/>
      <c r="H457" s="7"/>
      <c r="I457" s="7"/>
      <c r="J457" s="8"/>
      <c r="K457" s="9"/>
    </row>
    <row r="458">
      <c r="A458" s="6"/>
      <c r="B458" s="7"/>
      <c r="C458" s="7"/>
      <c r="D458" s="7"/>
      <c r="E458" s="7"/>
      <c r="F458" s="7"/>
      <c r="G458" s="7"/>
      <c r="H458" s="7"/>
      <c r="I458" s="7"/>
      <c r="J458" s="8"/>
      <c r="K458" s="9"/>
    </row>
    <row r="459">
      <c r="A459" s="6"/>
      <c r="B459" s="7"/>
      <c r="C459" s="7"/>
      <c r="D459" s="7"/>
      <c r="E459" s="7"/>
      <c r="F459" s="7"/>
      <c r="G459" s="7"/>
      <c r="H459" s="7"/>
      <c r="I459" s="7"/>
      <c r="J459" s="8"/>
      <c r="K459" s="9"/>
    </row>
    <row r="460">
      <c r="A460" s="6"/>
      <c r="B460" s="7"/>
      <c r="C460" s="7"/>
      <c r="D460" s="7"/>
      <c r="E460" s="7"/>
      <c r="F460" s="7"/>
      <c r="G460" s="7"/>
      <c r="H460" s="7"/>
      <c r="I460" s="7"/>
      <c r="J460" s="8"/>
      <c r="K460" s="9"/>
    </row>
    <row r="461">
      <c r="A461" s="6"/>
      <c r="B461" s="7"/>
      <c r="C461" s="7"/>
      <c r="D461" s="7"/>
      <c r="E461" s="7"/>
      <c r="F461" s="7"/>
      <c r="G461" s="7"/>
      <c r="H461" s="7"/>
      <c r="I461" s="7"/>
      <c r="J461" s="8"/>
      <c r="K461" s="9"/>
    </row>
    <row r="462">
      <c r="A462" s="6"/>
      <c r="B462" s="7"/>
      <c r="C462" s="7"/>
      <c r="D462" s="7"/>
      <c r="E462" s="7"/>
      <c r="F462" s="7"/>
      <c r="G462" s="7"/>
      <c r="H462" s="7"/>
      <c r="I462" s="7"/>
      <c r="J462" s="8"/>
      <c r="K462" s="9"/>
    </row>
    <row r="463">
      <c r="A463" s="6"/>
      <c r="B463" s="7"/>
      <c r="C463" s="7"/>
      <c r="D463" s="7"/>
      <c r="E463" s="7"/>
      <c r="F463" s="7"/>
      <c r="G463" s="7"/>
      <c r="H463" s="7"/>
      <c r="I463" s="7"/>
      <c r="J463" s="8"/>
      <c r="K463" s="9"/>
    </row>
    <row r="464">
      <c r="A464" s="6"/>
      <c r="B464" s="7"/>
      <c r="C464" s="7"/>
      <c r="D464" s="7"/>
      <c r="E464" s="7"/>
      <c r="F464" s="7"/>
      <c r="G464" s="7"/>
      <c r="H464" s="7"/>
      <c r="I464" s="7"/>
      <c r="J464" s="8"/>
      <c r="K464" s="9"/>
    </row>
    <row r="465">
      <c r="A465" s="6"/>
      <c r="B465" s="7"/>
      <c r="C465" s="7"/>
      <c r="D465" s="7"/>
      <c r="E465" s="7"/>
      <c r="F465" s="7"/>
      <c r="G465" s="7"/>
      <c r="H465" s="7"/>
      <c r="I465" s="7"/>
      <c r="J465" s="8"/>
      <c r="K465" s="9"/>
    </row>
    <row r="466">
      <c r="A466" s="6"/>
      <c r="B466" s="7"/>
      <c r="C466" s="7"/>
      <c r="D466" s="7"/>
      <c r="E466" s="7"/>
      <c r="F466" s="7"/>
      <c r="G466" s="7"/>
      <c r="H466" s="7"/>
      <c r="I466" s="7"/>
      <c r="J466" s="8"/>
      <c r="K466" s="9"/>
    </row>
    <row r="467">
      <c r="A467" s="6"/>
      <c r="B467" s="7"/>
      <c r="C467" s="7"/>
      <c r="D467" s="7"/>
      <c r="E467" s="7"/>
      <c r="F467" s="7"/>
      <c r="G467" s="7"/>
      <c r="H467" s="7"/>
      <c r="I467" s="7"/>
      <c r="J467" s="8"/>
      <c r="K467" s="9"/>
    </row>
    <row r="468">
      <c r="A468" s="6"/>
      <c r="B468" s="7"/>
      <c r="C468" s="7"/>
      <c r="D468" s="7"/>
      <c r="E468" s="7"/>
      <c r="F468" s="7"/>
      <c r="G468" s="7"/>
      <c r="H468" s="7"/>
      <c r="I468" s="7"/>
      <c r="J468" s="8"/>
      <c r="K468" s="9"/>
    </row>
    <row r="469">
      <c r="A469" s="6"/>
      <c r="B469" s="7"/>
      <c r="C469" s="7"/>
      <c r="D469" s="7"/>
      <c r="E469" s="7"/>
      <c r="F469" s="7"/>
      <c r="G469" s="7"/>
      <c r="H469" s="7"/>
      <c r="I469" s="7"/>
      <c r="J469" s="8"/>
      <c r="K469" s="9"/>
    </row>
    <row r="470">
      <c r="A470" s="6"/>
      <c r="B470" s="7"/>
      <c r="C470" s="7"/>
      <c r="D470" s="7"/>
      <c r="E470" s="7"/>
      <c r="F470" s="7"/>
      <c r="G470" s="7"/>
      <c r="H470" s="7"/>
      <c r="I470" s="7"/>
      <c r="J470" s="8"/>
      <c r="K470" s="9"/>
    </row>
    <row r="471">
      <c r="A471" s="6"/>
      <c r="B471" s="7"/>
      <c r="C471" s="7"/>
      <c r="D471" s="7"/>
      <c r="E471" s="7"/>
      <c r="F471" s="7"/>
      <c r="G471" s="7"/>
      <c r="H471" s="7"/>
      <c r="I471" s="7"/>
      <c r="J471" s="8"/>
      <c r="K471" s="9"/>
    </row>
    <row r="472">
      <c r="A472" s="6"/>
      <c r="B472" s="7"/>
      <c r="C472" s="7"/>
      <c r="D472" s="7"/>
      <c r="E472" s="7"/>
      <c r="F472" s="7"/>
      <c r="G472" s="7"/>
      <c r="H472" s="7"/>
      <c r="I472" s="7"/>
      <c r="J472" s="8"/>
      <c r="K472" s="9"/>
    </row>
    <row r="473">
      <c r="A473" s="6"/>
      <c r="B473" s="7"/>
      <c r="C473" s="7"/>
      <c r="D473" s="7"/>
      <c r="E473" s="7"/>
      <c r="F473" s="7"/>
      <c r="G473" s="7"/>
      <c r="H473" s="7"/>
      <c r="I473" s="7"/>
      <c r="J473" s="8"/>
      <c r="K473" s="9"/>
    </row>
    <row r="474">
      <c r="A474" s="6"/>
      <c r="B474" s="7"/>
      <c r="C474" s="7"/>
      <c r="D474" s="7"/>
      <c r="E474" s="7"/>
      <c r="F474" s="7"/>
      <c r="G474" s="7"/>
      <c r="H474" s="7"/>
      <c r="I474" s="7"/>
      <c r="J474" s="8"/>
      <c r="K474" s="9"/>
    </row>
    <row r="475">
      <c r="A475" s="6"/>
      <c r="B475" s="7"/>
      <c r="C475" s="7"/>
      <c r="D475" s="7"/>
      <c r="E475" s="7"/>
      <c r="F475" s="7"/>
      <c r="G475" s="7"/>
      <c r="H475" s="7"/>
      <c r="I475" s="7"/>
      <c r="J475" s="8"/>
      <c r="K475" s="9"/>
    </row>
    <row r="476">
      <c r="A476" s="6"/>
      <c r="B476" s="7"/>
      <c r="C476" s="7"/>
      <c r="D476" s="7"/>
      <c r="E476" s="7"/>
      <c r="F476" s="7"/>
      <c r="G476" s="7"/>
      <c r="H476" s="7"/>
      <c r="I476" s="7"/>
      <c r="J476" s="8"/>
      <c r="K476" s="9"/>
    </row>
    <row r="477">
      <c r="A477" s="6"/>
      <c r="B477" s="7"/>
      <c r="C477" s="7"/>
      <c r="D477" s="7"/>
      <c r="E477" s="7"/>
      <c r="F477" s="7"/>
      <c r="G477" s="7"/>
      <c r="H477" s="7"/>
      <c r="I477" s="7"/>
      <c r="J477" s="8"/>
      <c r="K477" s="9"/>
    </row>
    <row r="478">
      <c r="A478" s="6"/>
      <c r="B478" s="7"/>
      <c r="C478" s="7"/>
      <c r="D478" s="7"/>
      <c r="E478" s="7"/>
      <c r="F478" s="7"/>
      <c r="G478" s="7"/>
      <c r="H478" s="7"/>
      <c r="I478" s="7"/>
      <c r="J478" s="8"/>
      <c r="K478" s="9"/>
    </row>
    <row r="479">
      <c r="A479" s="6"/>
      <c r="B479" s="7"/>
      <c r="C479" s="7"/>
      <c r="D479" s="7"/>
      <c r="E479" s="7"/>
      <c r="F479" s="7"/>
      <c r="G479" s="7"/>
      <c r="H479" s="7"/>
      <c r="I479" s="7"/>
      <c r="J479" s="8"/>
      <c r="K479" s="9"/>
    </row>
    <row r="480">
      <c r="A480" s="6"/>
      <c r="B480" s="7"/>
      <c r="C480" s="7"/>
      <c r="D480" s="7"/>
      <c r="E480" s="7"/>
      <c r="F480" s="7"/>
      <c r="G480" s="7"/>
      <c r="H480" s="7"/>
      <c r="I480" s="7"/>
      <c r="J480" s="8"/>
      <c r="K480" s="9"/>
    </row>
    <row r="481">
      <c r="A481" s="6"/>
      <c r="B481" s="7"/>
      <c r="C481" s="7"/>
      <c r="D481" s="7"/>
      <c r="E481" s="7"/>
      <c r="F481" s="7"/>
      <c r="G481" s="7"/>
      <c r="H481" s="7"/>
      <c r="I481" s="7"/>
      <c r="J481" s="8"/>
      <c r="K481" s="9"/>
    </row>
    <row r="482">
      <c r="A482" s="6"/>
      <c r="B482" s="7"/>
      <c r="C482" s="7"/>
      <c r="D482" s="7"/>
      <c r="E482" s="7"/>
      <c r="F482" s="7"/>
      <c r="G482" s="7"/>
      <c r="H482" s="7"/>
      <c r="I482" s="7"/>
      <c r="J482" s="8"/>
      <c r="K482" s="9"/>
    </row>
    <row r="483">
      <c r="A483" s="6"/>
      <c r="B483" s="7"/>
      <c r="C483" s="7"/>
      <c r="D483" s="7"/>
      <c r="E483" s="7"/>
      <c r="F483" s="7"/>
      <c r="G483" s="7"/>
      <c r="H483" s="7"/>
      <c r="I483" s="7"/>
      <c r="J483" s="8"/>
      <c r="K483" s="9"/>
    </row>
    <row r="484">
      <c r="A484" s="6"/>
      <c r="B484" s="7"/>
      <c r="C484" s="7"/>
      <c r="D484" s="7"/>
      <c r="E484" s="7"/>
      <c r="F484" s="7"/>
      <c r="G484" s="7"/>
      <c r="H484" s="7"/>
      <c r="I484" s="7"/>
      <c r="J484" s="8"/>
      <c r="K484" s="9"/>
    </row>
    <row r="485">
      <c r="A485" s="6"/>
      <c r="B485" s="7"/>
      <c r="C485" s="7"/>
      <c r="D485" s="7"/>
      <c r="E485" s="7"/>
      <c r="F485" s="7"/>
      <c r="G485" s="7"/>
      <c r="H485" s="7"/>
      <c r="I485" s="7"/>
      <c r="J485" s="8"/>
      <c r="K485" s="9"/>
    </row>
    <row r="486">
      <c r="A486" s="6"/>
      <c r="B486" s="7"/>
      <c r="C486" s="7"/>
      <c r="D486" s="7"/>
      <c r="E486" s="7"/>
      <c r="F486" s="7"/>
      <c r="G486" s="7"/>
      <c r="H486" s="7"/>
      <c r="I486" s="7"/>
      <c r="J486" s="8"/>
      <c r="K486" s="9"/>
    </row>
    <row r="487">
      <c r="A487" s="6"/>
      <c r="B487" s="7"/>
      <c r="C487" s="7"/>
      <c r="D487" s="7"/>
      <c r="E487" s="7"/>
      <c r="F487" s="7"/>
      <c r="G487" s="7"/>
      <c r="H487" s="7"/>
      <c r="I487" s="7"/>
      <c r="J487" s="8"/>
      <c r="K487" s="9"/>
    </row>
    <row r="488">
      <c r="A488" s="6"/>
      <c r="B488" s="7"/>
      <c r="C488" s="7"/>
      <c r="D488" s="7"/>
      <c r="E488" s="7"/>
      <c r="F488" s="7"/>
      <c r="G488" s="7"/>
      <c r="H488" s="7"/>
      <c r="I488" s="7"/>
      <c r="J488" s="8"/>
      <c r="K488" s="9"/>
    </row>
    <row r="489">
      <c r="A489" s="6"/>
      <c r="B489" s="7"/>
      <c r="C489" s="7"/>
      <c r="D489" s="7"/>
      <c r="E489" s="7"/>
      <c r="F489" s="7"/>
      <c r="G489" s="7"/>
      <c r="H489" s="7"/>
      <c r="I489" s="7"/>
      <c r="J489" s="8"/>
      <c r="K489" s="9"/>
    </row>
    <row r="490">
      <c r="A490" s="6"/>
      <c r="B490" s="7"/>
      <c r="C490" s="7"/>
      <c r="D490" s="7"/>
      <c r="E490" s="7"/>
      <c r="F490" s="7"/>
      <c r="G490" s="7"/>
      <c r="H490" s="7"/>
      <c r="I490" s="7"/>
      <c r="J490" s="8"/>
      <c r="K490" s="9"/>
    </row>
    <row r="491">
      <c r="A491" s="6"/>
      <c r="B491" s="7"/>
      <c r="C491" s="7"/>
      <c r="D491" s="7"/>
      <c r="E491" s="7"/>
      <c r="F491" s="7"/>
      <c r="G491" s="7"/>
      <c r="H491" s="7"/>
      <c r="I491" s="7"/>
      <c r="J491" s="8"/>
      <c r="K491" s="9"/>
    </row>
    <row r="492">
      <c r="A492" s="6"/>
      <c r="B492" s="7"/>
      <c r="C492" s="7"/>
      <c r="D492" s="7"/>
      <c r="E492" s="7"/>
      <c r="F492" s="7"/>
      <c r="G492" s="7"/>
      <c r="H492" s="7"/>
      <c r="I492" s="7"/>
      <c r="J492" s="8"/>
      <c r="K492" s="9"/>
    </row>
    <row r="493">
      <c r="A493" s="6"/>
      <c r="B493" s="7"/>
      <c r="C493" s="7"/>
      <c r="D493" s="7"/>
      <c r="E493" s="7"/>
      <c r="F493" s="7"/>
      <c r="G493" s="7"/>
      <c r="H493" s="7"/>
      <c r="I493" s="7"/>
      <c r="J493" s="8"/>
      <c r="K493" s="9"/>
    </row>
    <row r="494">
      <c r="A494" s="6"/>
      <c r="B494" s="7"/>
      <c r="C494" s="7"/>
      <c r="D494" s="7"/>
      <c r="E494" s="7"/>
      <c r="F494" s="7"/>
      <c r="G494" s="7"/>
      <c r="H494" s="7"/>
      <c r="I494" s="7"/>
      <c r="J494" s="8"/>
      <c r="K494" s="9"/>
    </row>
    <row r="495">
      <c r="A495" s="6"/>
      <c r="B495" s="7"/>
      <c r="C495" s="7"/>
      <c r="D495" s="7"/>
      <c r="E495" s="7"/>
      <c r="F495" s="7"/>
      <c r="G495" s="7"/>
      <c r="H495" s="7"/>
      <c r="I495" s="7"/>
      <c r="J495" s="8"/>
      <c r="K495" s="9"/>
    </row>
    <row r="496">
      <c r="A496" s="6"/>
      <c r="B496" s="7"/>
      <c r="C496" s="7"/>
      <c r="D496" s="7"/>
      <c r="E496" s="7"/>
      <c r="F496" s="7"/>
      <c r="G496" s="7"/>
      <c r="H496" s="7"/>
      <c r="I496" s="7"/>
      <c r="J496" s="8"/>
      <c r="K496" s="9"/>
    </row>
    <row r="497">
      <c r="A497" s="6"/>
      <c r="B497" s="7"/>
      <c r="C497" s="7"/>
      <c r="D497" s="7"/>
      <c r="E497" s="7"/>
      <c r="F497" s="7"/>
      <c r="G497" s="7"/>
      <c r="H497" s="7"/>
      <c r="I497" s="7"/>
      <c r="J497" s="8"/>
      <c r="K497" s="9"/>
    </row>
    <row r="498">
      <c r="A498" s="6"/>
      <c r="B498" s="7"/>
      <c r="C498" s="7"/>
      <c r="D498" s="7"/>
      <c r="E498" s="7"/>
      <c r="F498" s="7"/>
      <c r="G498" s="7"/>
      <c r="H498" s="7"/>
      <c r="I498" s="7"/>
      <c r="J498" s="8"/>
      <c r="K498" s="9"/>
    </row>
    <row r="499">
      <c r="A499" s="6"/>
      <c r="B499" s="7"/>
      <c r="C499" s="7"/>
      <c r="D499" s="7"/>
      <c r="E499" s="7"/>
      <c r="F499" s="7"/>
      <c r="G499" s="7"/>
      <c r="H499" s="7"/>
      <c r="I499" s="7"/>
      <c r="J499" s="8"/>
      <c r="K499" s="9"/>
    </row>
    <row r="500">
      <c r="A500" s="6"/>
      <c r="B500" s="7"/>
      <c r="C500" s="7"/>
      <c r="D500" s="7"/>
      <c r="E500" s="7"/>
      <c r="F500" s="7"/>
      <c r="G500" s="7"/>
      <c r="H500" s="7"/>
      <c r="I500" s="7"/>
      <c r="J500" s="8"/>
      <c r="K500" s="9"/>
    </row>
    <row r="501">
      <c r="A501" s="6"/>
      <c r="B501" s="7"/>
      <c r="C501" s="7"/>
      <c r="D501" s="7"/>
      <c r="E501" s="7"/>
      <c r="F501" s="7"/>
      <c r="G501" s="7"/>
      <c r="H501" s="7"/>
      <c r="I501" s="7"/>
      <c r="J501" s="8"/>
      <c r="K501" s="9"/>
    </row>
    <row r="502">
      <c r="A502" s="6"/>
      <c r="B502" s="7"/>
      <c r="C502" s="7"/>
      <c r="D502" s="7"/>
      <c r="E502" s="7"/>
      <c r="F502" s="7"/>
      <c r="G502" s="7"/>
      <c r="H502" s="7"/>
      <c r="I502" s="7"/>
      <c r="J502" s="8"/>
      <c r="K502" s="9"/>
    </row>
    <row r="503">
      <c r="A503" s="6"/>
      <c r="B503" s="7"/>
      <c r="C503" s="7"/>
      <c r="D503" s="7"/>
      <c r="E503" s="7"/>
      <c r="F503" s="7"/>
      <c r="G503" s="7"/>
      <c r="H503" s="7"/>
      <c r="I503" s="7"/>
      <c r="J503" s="8"/>
      <c r="K503" s="9"/>
    </row>
    <row r="504">
      <c r="A504" s="6"/>
      <c r="B504" s="7"/>
      <c r="C504" s="7"/>
      <c r="D504" s="7"/>
      <c r="E504" s="7"/>
      <c r="F504" s="7"/>
      <c r="G504" s="7"/>
      <c r="H504" s="7"/>
      <c r="I504" s="7"/>
      <c r="J504" s="8"/>
      <c r="K504" s="9"/>
    </row>
    <row r="505">
      <c r="A505" s="6"/>
      <c r="B505" s="7"/>
      <c r="C505" s="7"/>
      <c r="D505" s="7"/>
      <c r="E505" s="7"/>
      <c r="F505" s="7"/>
      <c r="G505" s="7"/>
      <c r="H505" s="7"/>
      <c r="I505" s="7"/>
      <c r="J505" s="8"/>
      <c r="K505" s="9"/>
    </row>
    <row r="506">
      <c r="A506" s="6"/>
      <c r="B506" s="7"/>
      <c r="C506" s="7"/>
      <c r="D506" s="7"/>
      <c r="E506" s="7"/>
      <c r="F506" s="7"/>
      <c r="G506" s="7"/>
      <c r="H506" s="7"/>
      <c r="I506" s="7"/>
      <c r="J506" s="8"/>
      <c r="K506" s="9"/>
    </row>
    <row r="507">
      <c r="A507" s="6"/>
      <c r="B507" s="7"/>
      <c r="C507" s="7"/>
      <c r="D507" s="7"/>
      <c r="E507" s="7"/>
      <c r="F507" s="7"/>
      <c r="G507" s="7"/>
      <c r="H507" s="7"/>
      <c r="I507" s="7"/>
      <c r="J507" s="8"/>
      <c r="K507" s="9"/>
    </row>
    <row r="508">
      <c r="A508" s="6"/>
      <c r="B508" s="7"/>
      <c r="C508" s="7"/>
      <c r="D508" s="7"/>
      <c r="E508" s="7"/>
      <c r="F508" s="7"/>
      <c r="G508" s="7"/>
      <c r="H508" s="7"/>
      <c r="I508" s="7"/>
      <c r="J508" s="8"/>
      <c r="K508" s="9"/>
    </row>
    <row r="509">
      <c r="A509" s="6"/>
      <c r="B509" s="7"/>
      <c r="C509" s="7"/>
      <c r="D509" s="7"/>
      <c r="E509" s="7"/>
      <c r="F509" s="7"/>
      <c r="G509" s="7"/>
      <c r="H509" s="7"/>
      <c r="I509" s="7"/>
      <c r="J509" s="8"/>
      <c r="K509" s="9"/>
    </row>
    <row r="510">
      <c r="A510" s="6"/>
      <c r="B510" s="7"/>
      <c r="C510" s="7"/>
      <c r="D510" s="7"/>
      <c r="E510" s="7"/>
      <c r="F510" s="7"/>
      <c r="G510" s="7"/>
      <c r="H510" s="7"/>
      <c r="I510" s="7"/>
      <c r="J510" s="8"/>
      <c r="K510" s="9"/>
    </row>
    <row r="511">
      <c r="A511" s="6"/>
      <c r="B511" s="7"/>
      <c r="C511" s="7"/>
      <c r="D511" s="7"/>
      <c r="E511" s="7"/>
      <c r="F511" s="7"/>
      <c r="G511" s="7"/>
      <c r="H511" s="7"/>
      <c r="I511" s="7"/>
      <c r="J511" s="8"/>
      <c r="K511" s="9"/>
    </row>
    <row r="512">
      <c r="A512" s="6"/>
      <c r="B512" s="7"/>
      <c r="C512" s="7"/>
      <c r="D512" s="7"/>
      <c r="E512" s="7"/>
      <c r="F512" s="7"/>
      <c r="G512" s="7"/>
      <c r="H512" s="7"/>
      <c r="I512" s="7"/>
      <c r="J512" s="8"/>
      <c r="K512" s="9"/>
    </row>
    <row r="513">
      <c r="A513" s="6"/>
      <c r="B513" s="7"/>
      <c r="C513" s="7"/>
      <c r="D513" s="7"/>
      <c r="E513" s="7"/>
      <c r="F513" s="7"/>
      <c r="G513" s="7"/>
      <c r="H513" s="7"/>
      <c r="I513" s="7"/>
      <c r="J513" s="8"/>
      <c r="K513" s="9"/>
    </row>
    <row r="514">
      <c r="A514" s="6"/>
      <c r="B514" s="7"/>
      <c r="C514" s="7"/>
      <c r="D514" s="7"/>
      <c r="E514" s="7"/>
      <c r="F514" s="7"/>
      <c r="G514" s="7"/>
      <c r="H514" s="7"/>
      <c r="I514" s="7"/>
      <c r="J514" s="8"/>
      <c r="K514" s="9"/>
    </row>
    <row r="515">
      <c r="A515" s="6"/>
      <c r="B515" s="7"/>
      <c r="C515" s="7"/>
      <c r="D515" s="7"/>
      <c r="E515" s="7"/>
      <c r="F515" s="7"/>
      <c r="G515" s="7"/>
      <c r="H515" s="7"/>
      <c r="I515" s="7"/>
      <c r="J515" s="8"/>
      <c r="K515" s="9"/>
    </row>
    <row r="516">
      <c r="A516" s="6"/>
      <c r="B516" s="7"/>
      <c r="C516" s="7"/>
      <c r="D516" s="7"/>
      <c r="E516" s="7"/>
      <c r="F516" s="7"/>
      <c r="G516" s="7"/>
      <c r="H516" s="7"/>
      <c r="I516" s="7"/>
      <c r="J516" s="8"/>
      <c r="K516" s="9"/>
    </row>
    <row r="517">
      <c r="A517" s="6"/>
      <c r="B517" s="7"/>
      <c r="C517" s="7"/>
      <c r="D517" s="7"/>
      <c r="E517" s="7"/>
      <c r="F517" s="7"/>
      <c r="G517" s="7"/>
      <c r="H517" s="7"/>
      <c r="I517" s="7"/>
      <c r="J517" s="8"/>
      <c r="K517" s="9"/>
    </row>
    <row r="518">
      <c r="A518" s="6"/>
      <c r="B518" s="7"/>
      <c r="C518" s="7"/>
      <c r="D518" s="7"/>
      <c r="E518" s="7"/>
      <c r="F518" s="7"/>
      <c r="G518" s="7"/>
      <c r="H518" s="7"/>
      <c r="I518" s="7"/>
      <c r="J518" s="8"/>
      <c r="K518" s="9"/>
    </row>
    <row r="519">
      <c r="A519" s="6"/>
      <c r="B519" s="7"/>
      <c r="C519" s="7"/>
      <c r="D519" s="7"/>
      <c r="E519" s="7"/>
      <c r="F519" s="7"/>
      <c r="G519" s="7"/>
      <c r="H519" s="7"/>
      <c r="I519" s="7"/>
      <c r="J519" s="8"/>
      <c r="K519" s="9"/>
    </row>
    <row r="520">
      <c r="A520" s="6"/>
      <c r="B520" s="7"/>
      <c r="C520" s="7"/>
      <c r="D520" s="7"/>
      <c r="E520" s="7"/>
      <c r="F520" s="7"/>
      <c r="G520" s="7"/>
      <c r="H520" s="7"/>
      <c r="I520" s="7"/>
      <c r="J520" s="8"/>
      <c r="K520" s="9"/>
    </row>
    <row r="521">
      <c r="A521" s="6"/>
      <c r="B521" s="7"/>
      <c r="C521" s="7"/>
      <c r="D521" s="7"/>
      <c r="E521" s="7"/>
      <c r="F521" s="7"/>
      <c r="G521" s="7"/>
      <c r="H521" s="7"/>
      <c r="I521" s="7"/>
      <c r="J521" s="8"/>
      <c r="K521" s="9"/>
    </row>
    <row r="522">
      <c r="A522" s="6"/>
      <c r="B522" s="7"/>
      <c r="C522" s="7"/>
      <c r="D522" s="7"/>
      <c r="E522" s="7"/>
      <c r="F522" s="7"/>
      <c r="G522" s="7"/>
      <c r="H522" s="7"/>
      <c r="I522" s="7"/>
      <c r="J522" s="8"/>
      <c r="K522" s="9"/>
    </row>
    <row r="523">
      <c r="A523" s="6"/>
      <c r="B523" s="7"/>
      <c r="C523" s="7"/>
      <c r="D523" s="7"/>
      <c r="E523" s="7"/>
      <c r="F523" s="7"/>
      <c r="G523" s="7"/>
      <c r="H523" s="7"/>
      <c r="I523" s="7"/>
      <c r="J523" s="8"/>
      <c r="K523" s="9"/>
    </row>
    <row r="524">
      <c r="A524" s="6"/>
      <c r="B524" s="7"/>
      <c r="C524" s="7"/>
      <c r="D524" s="7"/>
      <c r="E524" s="7"/>
      <c r="F524" s="7"/>
      <c r="G524" s="7"/>
      <c r="H524" s="7"/>
      <c r="I524" s="7"/>
      <c r="J524" s="8"/>
      <c r="K524" s="9"/>
    </row>
    <row r="525">
      <c r="A525" s="6"/>
      <c r="B525" s="7"/>
      <c r="C525" s="7"/>
      <c r="D525" s="7"/>
      <c r="E525" s="7"/>
      <c r="F525" s="7"/>
      <c r="G525" s="7"/>
      <c r="H525" s="7"/>
      <c r="I525" s="7"/>
      <c r="J525" s="8"/>
      <c r="K525" s="9"/>
    </row>
    <row r="526">
      <c r="A526" s="6"/>
      <c r="B526" s="7"/>
      <c r="C526" s="7"/>
      <c r="D526" s="7"/>
      <c r="E526" s="7"/>
      <c r="F526" s="7"/>
      <c r="G526" s="7"/>
      <c r="H526" s="7"/>
      <c r="I526" s="7"/>
      <c r="J526" s="8"/>
      <c r="K526" s="9"/>
    </row>
    <row r="527">
      <c r="A527" s="6"/>
      <c r="B527" s="7"/>
      <c r="C527" s="7"/>
      <c r="D527" s="7"/>
      <c r="E527" s="7"/>
      <c r="F527" s="7"/>
      <c r="G527" s="7"/>
      <c r="H527" s="7"/>
      <c r="I527" s="7"/>
      <c r="J527" s="8"/>
      <c r="K527" s="9"/>
    </row>
    <row r="528">
      <c r="A528" s="6"/>
      <c r="B528" s="7"/>
      <c r="C528" s="7"/>
      <c r="D528" s="7"/>
      <c r="E528" s="7"/>
      <c r="F528" s="7"/>
      <c r="G528" s="7"/>
      <c r="H528" s="7"/>
      <c r="I528" s="7"/>
      <c r="J528" s="8"/>
      <c r="K528" s="9"/>
    </row>
    <row r="529">
      <c r="A529" s="6"/>
      <c r="B529" s="7"/>
      <c r="C529" s="7"/>
      <c r="D529" s="7"/>
      <c r="E529" s="7"/>
      <c r="F529" s="7"/>
      <c r="G529" s="7"/>
      <c r="H529" s="7"/>
      <c r="I529" s="7"/>
      <c r="J529" s="8"/>
      <c r="K529" s="9"/>
    </row>
    <row r="530">
      <c r="A530" s="6"/>
      <c r="B530" s="7"/>
      <c r="C530" s="7"/>
      <c r="D530" s="7"/>
      <c r="E530" s="7"/>
      <c r="F530" s="7"/>
      <c r="G530" s="7"/>
      <c r="H530" s="7"/>
      <c r="I530" s="7"/>
      <c r="J530" s="8"/>
      <c r="K530" s="9"/>
    </row>
    <row r="531">
      <c r="A531" s="6"/>
      <c r="B531" s="7"/>
      <c r="C531" s="7"/>
      <c r="D531" s="7"/>
      <c r="E531" s="7"/>
      <c r="F531" s="7"/>
      <c r="G531" s="7"/>
      <c r="H531" s="7"/>
      <c r="I531" s="7"/>
      <c r="J531" s="8"/>
      <c r="K531" s="9"/>
    </row>
    <row r="532">
      <c r="A532" s="6"/>
      <c r="B532" s="7"/>
      <c r="C532" s="7"/>
      <c r="D532" s="7"/>
      <c r="E532" s="7"/>
      <c r="F532" s="7"/>
      <c r="G532" s="7"/>
      <c r="H532" s="7"/>
      <c r="I532" s="7"/>
      <c r="J532" s="8"/>
      <c r="K532" s="9"/>
    </row>
    <row r="533">
      <c r="A533" s="6"/>
      <c r="B533" s="7"/>
      <c r="C533" s="7"/>
      <c r="D533" s="7"/>
      <c r="E533" s="7"/>
      <c r="F533" s="7"/>
      <c r="G533" s="7"/>
      <c r="H533" s="7"/>
      <c r="I533" s="7"/>
      <c r="J533" s="8"/>
      <c r="K533" s="9"/>
    </row>
    <row r="534">
      <c r="A534" s="6"/>
      <c r="B534" s="7"/>
      <c r="C534" s="7"/>
      <c r="D534" s="7"/>
      <c r="E534" s="7"/>
      <c r="F534" s="7"/>
      <c r="G534" s="7"/>
      <c r="H534" s="7"/>
      <c r="I534" s="7"/>
      <c r="J534" s="8"/>
      <c r="K534" s="9"/>
    </row>
    <row r="535">
      <c r="A535" s="6"/>
      <c r="B535" s="7"/>
      <c r="C535" s="7"/>
      <c r="D535" s="7"/>
      <c r="E535" s="7"/>
      <c r="F535" s="7"/>
      <c r="G535" s="7"/>
      <c r="H535" s="7"/>
      <c r="I535" s="7"/>
      <c r="J535" s="8"/>
      <c r="K535" s="9"/>
    </row>
    <row r="536">
      <c r="A536" s="6"/>
      <c r="B536" s="7"/>
      <c r="C536" s="7"/>
      <c r="D536" s="7"/>
      <c r="E536" s="7"/>
      <c r="F536" s="7"/>
      <c r="G536" s="7"/>
      <c r="H536" s="7"/>
      <c r="I536" s="7"/>
      <c r="J536" s="8"/>
      <c r="K536" s="9"/>
    </row>
    <row r="537">
      <c r="A537" s="6"/>
      <c r="B537" s="7"/>
      <c r="C537" s="7"/>
      <c r="D537" s="7"/>
      <c r="E537" s="7"/>
      <c r="F537" s="7"/>
      <c r="G537" s="7"/>
      <c r="H537" s="7"/>
      <c r="I537" s="7"/>
      <c r="J537" s="8"/>
      <c r="K537" s="9"/>
    </row>
    <row r="538">
      <c r="A538" s="6"/>
      <c r="B538" s="7"/>
      <c r="C538" s="7"/>
      <c r="D538" s="7"/>
      <c r="E538" s="7"/>
      <c r="F538" s="7"/>
      <c r="G538" s="7"/>
      <c r="H538" s="7"/>
      <c r="I538" s="7"/>
      <c r="J538" s="8"/>
      <c r="K538" s="9"/>
    </row>
    <row r="539">
      <c r="A539" s="6"/>
      <c r="B539" s="7"/>
      <c r="C539" s="7"/>
      <c r="D539" s="7"/>
      <c r="E539" s="7"/>
      <c r="F539" s="7"/>
      <c r="G539" s="7"/>
      <c r="H539" s="7"/>
      <c r="I539" s="7"/>
      <c r="J539" s="8"/>
      <c r="K539" s="9"/>
    </row>
    <row r="540">
      <c r="A540" s="6"/>
      <c r="B540" s="7"/>
      <c r="C540" s="7"/>
      <c r="D540" s="7"/>
      <c r="E540" s="7"/>
      <c r="F540" s="7"/>
      <c r="G540" s="7"/>
      <c r="H540" s="7"/>
      <c r="I540" s="7"/>
      <c r="J540" s="8"/>
      <c r="K540" s="9"/>
    </row>
    <row r="541">
      <c r="A541" s="6"/>
      <c r="B541" s="7"/>
      <c r="C541" s="7"/>
      <c r="D541" s="7"/>
      <c r="E541" s="7"/>
      <c r="F541" s="7"/>
      <c r="G541" s="7"/>
      <c r="H541" s="7"/>
      <c r="I541" s="7"/>
      <c r="J541" s="8"/>
      <c r="K541" s="9"/>
    </row>
    <row r="542">
      <c r="A542" s="6"/>
      <c r="B542" s="7"/>
      <c r="C542" s="7"/>
      <c r="D542" s="7"/>
      <c r="E542" s="7"/>
      <c r="F542" s="7"/>
      <c r="G542" s="7"/>
      <c r="H542" s="7"/>
      <c r="I542" s="7"/>
      <c r="J542" s="8"/>
      <c r="K542" s="9"/>
    </row>
    <row r="543">
      <c r="A543" s="6"/>
      <c r="B543" s="7"/>
      <c r="C543" s="7"/>
      <c r="D543" s="7"/>
      <c r="E543" s="7"/>
      <c r="F543" s="7"/>
      <c r="G543" s="7"/>
      <c r="H543" s="7"/>
      <c r="I543" s="7"/>
      <c r="J543" s="8"/>
      <c r="K543" s="9"/>
    </row>
    <row r="544">
      <c r="A544" s="6"/>
      <c r="B544" s="7"/>
      <c r="C544" s="7"/>
      <c r="D544" s="7"/>
      <c r="E544" s="7"/>
      <c r="F544" s="7"/>
      <c r="G544" s="7"/>
      <c r="H544" s="7"/>
      <c r="I544" s="7"/>
      <c r="J544" s="8"/>
      <c r="K544" s="9"/>
    </row>
    <row r="545">
      <c r="A545" s="6"/>
      <c r="B545" s="7"/>
      <c r="C545" s="7"/>
      <c r="D545" s="7"/>
      <c r="E545" s="7"/>
      <c r="F545" s="7"/>
      <c r="G545" s="7"/>
      <c r="H545" s="7"/>
      <c r="I545" s="7"/>
      <c r="J545" s="8"/>
      <c r="K545" s="9"/>
    </row>
    <row r="546">
      <c r="A546" s="6"/>
      <c r="B546" s="7"/>
      <c r="C546" s="7"/>
      <c r="D546" s="7"/>
      <c r="E546" s="7"/>
      <c r="F546" s="7"/>
      <c r="G546" s="7"/>
      <c r="H546" s="7"/>
      <c r="I546" s="7"/>
      <c r="J546" s="8"/>
      <c r="K546" s="9"/>
    </row>
    <row r="547">
      <c r="A547" s="6"/>
      <c r="B547" s="7"/>
      <c r="C547" s="7"/>
      <c r="D547" s="7"/>
      <c r="E547" s="7"/>
      <c r="F547" s="7"/>
      <c r="G547" s="7"/>
      <c r="H547" s="7"/>
      <c r="I547" s="7"/>
      <c r="J547" s="8"/>
      <c r="K547" s="9"/>
    </row>
    <row r="548">
      <c r="A548" s="6"/>
      <c r="B548" s="7"/>
      <c r="C548" s="7"/>
      <c r="D548" s="7"/>
      <c r="E548" s="7"/>
      <c r="F548" s="7"/>
      <c r="G548" s="7"/>
      <c r="H548" s="7"/>
      <c r="I548" s="7"/>
      <c r="J548" s="8"/>
      <c r="K548" s="9"/>
    </row>
    <row r="549">
      <c r="A549" s="6"/>
      <c r="B549" s="7"/>
      <c r="C549" s="7"/>
      <c r="D549" s="7"/>
      <c r="E549" s="7"/>
      <c r="F549" s="7"/>
      <c r="G549" s="7"/>
      <c r="H549" s="7"/>
      <c r="I549" s="7"/>
      <c r="J549" s="8"/>
      <c r="K549" s="9"/>
    </row>
    <row r="550">
      <c r="A550" s="6"/>
      <c r="B550" s="7"/>
      <c r="C550" s="7"/>
      <c r="D550" s="7"/>
      <c r="E550" s="7"/>
      <c r="F550" s="7"/>
      <c r="G550" s="7"/>
      <c r="H550" s="7"/>
      <c r="I550" s="7"/>
      <c r="J550" s="8"/>
      <c r="K550" s="9"/>
    </row>
    <row r="551">
      <c r="A551" s="6"/>
      <c r="B551" s="7"/>
      <c r="C551" s="7"/>
      <c r="D551" s="7"/>
      <c r="E551" s="7"/>
      <c r="F551" s="7"/>
      <c r="G551" s="7"/>
      <c r="H551" s="7"/>
      <c r="I551" s="7"/>
      <c r="J551" s="8"/>
      <c r="K551" s="9"/>
    </row>
    <row r="552">
      <c r="A552" s="6"/>
      <c r="B552" s="7"/>
      <c r="C552" s="7"/>
      <c r="D552" s="7"/>
      <c r="E552" s="7"/>
      <c r="F552" s="7"/>
      <c r="G552" s="7"/>
      <c r="H552" s="7"/>
      <c r="I552" s="7"/>
      <c r="J552" s="8"/>
      <c r="K552" s="9"/>
    </row>
    <row r="553">
      <c r="A553" s="6"/>
      <c r="B553" s="7"/>
      <c r="C553" s="7"/>
      <c r="D553" s="7"/>
      <c r="E553" s="7"/>
      <c r="F553" s="7"/>
      <c r="G553" s="7"/>
      <c r="H553" s="7"/>
      <c r="I553" s="7"/>
      <c r="J553" s="8"/>
      <c r="K553" s="9"/>
    </row>
    <row r="554">
      <c r="A554" s="6"/>
      <c r="B554" s="7"/>
      <c r="C554" s="7"/>
      <c r="D554" s="7"/>
      <c r="E554" s="7"/>
      <c r="F554" s="7"/>
      <c r="G554" s="7"/>
      <c r="H554" s="7"/>
      <c r="I554" s="7"/>
      <c r="J554" s="8"/>
      <c r="K554" s="9"/>
    </row>
    <row r="555">
      <c r="A555" s="6"/>
      <c r="B555" s="7"/>
      <c r="C555" s="7"/>
      <c r="D555" s="7"/>
      <c r="E555" s="7"/>
      <c r="F555" s="7"/>
      <c r="G555" s="7"/>
      <c r="H555" s="7"/>
      <c r="I555" s="7"/>
      <c r="J555" s="8"/>
      <c r="K555" s="9"/>
    </row>
    <row r="556">
      <c r="A556" s="6"/>
      <c r="B556" s="7"/>
      <c r="C556" s="7"/>
      <c r="D556" s="7"/>
      <c r="E556" s="7"/>
      <c r="F556" s="7"/>
      <c r="G556" s="7"/>
      <c r="H556" s="7"/>
      <c r="I556" s="7"/>
      <c r="J556" s="8"/>
      <c r="K556" s="9"/>
    </row>
    <row r="557">
      <c r="A557" s="6"/>
      <c r="B557" s="7"/>
      <c r="C557" s="7"/>
      <c r="D557" s="7"/>
      <c r="E557" s="7"/>
      <c r="F557" s="7"/>
      <c r="G557" s="7"/>
      <c r="H557" s="7"/>
      <c r="I557" s="7"/>
      <c r="J557" s="8"/>
      <c r="K557" s="9"/>
    </row>
    <row r="558">
      <c r="A558" s="6"/>
      <c r="B558" s="7"/>
      <c r="C558" s="7"/>
      <c r="D558" s="7"/>
      <c r="E558" s="7"/>
      <c r="F558" s="7"/>
      <c r="G558" s="7"/>
      <c r="H558" s="7"/>
      <c r="I558" s="7"/>
      <c r="J558" s="8"/>
      <c r="K558" s="9"/>
    </row>
    <row r="559">
      <c r="A559" s="6"/>
      <c r="B559" s="7"/>
      <c r="C559" s="7"/>
      <c r="D559" s="7"/>
      <c r="E559" s="7"/>
      <c r="F559" s="7"/>
      <c r="G559" s="7"/>
      <c r="H559" s="7"/>
      <c r="I559" s="7"/>
      <c r="J559" s="8"/>
      <c r="K559" s="9"/>
    </row>
    <row r="560">
      <c r="A560" s="6"/>
      <c r="B560" s="7"/>
      <c r="C560" s="7"/>
      <c r="D560" s="7"/>
      <c r="E560" s="7"/>
      <c r="F560" s="7"/>
      <c r="G560" s="7"/>
      <c r="H560" s="7"/>
      <c r="I560" s="7"/>
      <c r="J560" s="8"/>
      <c r="K560" s="9"/>
    </row>
    <row r="561">
      <c r="A561" s="6"/>
      <c r="B561" s="7"/>
      <c r="C561" s="7"/>
      <c r="D561" s="7"/>
      <c r="E561" s="7"/>
      <c r="F561" s="7"/>
      <c r="G561" s="7"/>
      <c r="H561" s="7"/>
      <c r="I561" s="7"/>
      <c r="J561" s="8"/>
      <c r="K561" s="9"/>
    </row>
    <row r="562">
      <c r="A562" s="6"/>
      <c r="B562" s="7"/>
      <c r="C562" s="7"/>
      <c r="D562" s="7"/>
      <c r="E562" s="7"/>
      <c r="F562" s="7"/>
      <c r="G562" s="7"/>
      <c r="H562" s="7"/>
      <c r="I562" s="7"/>
      <c r="J562" s="8"/>
      <c r="K562" s="9"/>
    </row>
    <row r="563">
      <c r="A563" s="6"/>
      <c r="B563" s="7"/>
      <c r="C563" s="7"/>
      <c r="D563" s="7"/>
      <c r="E563" s="7"/>
      <c r="F563" s="7"/>
      <c r="G563" s="7"/>
      <c r="H563" s="7"/>
      <c r="I563" s="7"/>
      <c r="J563" s="8"/>
      <c r="K563" s="9"/>
    </row>
    <row r="564">
      <c r="A564" s="6"/>
      <c r="B564" s="7"/>
      <c r="C564" s="7"/>
      <c r="D564" s="7"/>
      <c r="E564" s="7"/>
      <c r="F564" s="7"/>
      <c r="G564" s="7"/>
      <c r="H564" s="7"/>
      <c r="I564" s="7"/>
      <c r="J564" s="8"/>
      <c r="K564" s="9"/>
    </row>
    <row r="565">
      <c r="A565" s="6"/>
      <c r="B565" s="7"/>
      <c r="C565" s="7"/>
      <c r="D565" s="7"/>
      <c r="E565" s="7"/>
      <c r="F565" s="7"/>
      <c r="G565" s="7"/>
      <c r="H565" s="7"/>
      <c r="I565" s="7"/>
      <c r="J565" s="8"/>
      <c r="K565" s="9"/>
    </row>
    <row r="566">
      <c r="A566" s="6"/>
      <c r="B566" s="7"/>
      <c r="C566" s="7"/>
      <c r="D566" s="7"/>
      <c r="E566" s="7"/>
      <c r="F566" s="7"/>
      <c r="G566" s="7"/>
      <c r="H566" s="7"/>
      <c r="I566" s="7"/>
      <c r="J566" s="8"/>
      <c r="K566" s="9"/>
    </row>
    <row r="567">
      <c r="A567" s="6"/>
      <c r="B567" s="7"/>
      <c r="C567" s="7"/>
      <c r="D567" s="7"/>
      <c r="E567" s="7"/>
      <c r="F567" s="7"/>
      <c r="G567" s="7"/>
      <c r="H567" s="7"/>
      <c r="I567" s="7"/>
      <c r="J567" s="8"/>
      <c r="K567" s="9"/>
    </row>
    <row r="568">
      <c r="A568" s="6"/>
      <c r="B568" s="7"/>
      <c r="C568" s="7"/>
      <c r="D568" s="7"/>
      <c r="E568" s="7"/>
      <c r="F568" s="7"/>
      <c r="G568" s="7"/>
      <c r="H568" s="7"/>
      <c r="I568" s="7"/>
      <c r="J568" s="8"/>
      <c r="K568" s="9"/>
    </row>
    <row r="569">
      <c r="A569" s="6"/>
      <c r="B569" s="7"/>
      <c r="C569" s="7"/>
      <c r="D569" s="7"/>
      <c r="E569" s="7"/>
      <c r="F569" s="7"/>
      <c r="G569" s="7"/>
      <c r="H569" s="7"/>
      <c r="I569" s="7"/>
      <c r="J569" s="8"/>
      <c r="K569" s="9"/>
    </row>
    <row r="570">
      <c r="A570" s="6"/>
      <c r="B570" s="7"/>
      <c r="C570" s="7"/>
      <c r="D570" s="7"/>
      <c r="E570" s="7"/>
      <c r="F570" s="7"/>
      <c r="G570" s="7"/>
      <c r="H570" s="7"/>
      <c r="I570" s="7"/>
      <c r="J570" s="8"/>
      <c r="K570" s="9"/>
    </row>
    <row r="571">
      <c r="A571" s="6"/>
      <c r="B571" s="7"/>
      <c r="C571" s="7"/>
      <c r="D571" s="7"/>
      <c r="E571" s="7"/>
      <c r="F571" s="7"/>
      <c r="G571" s="7"/>
      <c r="H571" s="7"/>
      <c r="I571" s="7"/>
      <c r="J571" s="8"/>
      <c r="K571" s="9"/>
    </row>
    <row r="572">
      <c r="A572" s="6"/>
      <c r="B572" s="7"/>
      <c r="C572" s="7"/>
      <c r="D572" s="7"/>
      <c r="E572" s="7"/>
      <c r="F572" s="7"/>
      <c r="G572" s="7"/>
      <c r="H572" s="7"/>
      <c r="I572" s="7"/>
      <c r="J572" s="8"/>
      <c r="K572" s="9"/>
    </row>
    <row r="573">
      <c r="A573" s="6"/>
      <c r="B573" s="7"/>
      <c r="C573" s="7"/>
      <c r="D573" s="7"/>
      <c r="E573" s="7"/>
      <c r="F573" s="7"/>
      <c r="G573" s="7"/>
      <c r="H573" s="7"/>
      <c r="I573" s="7"/>
      <c r="J573" s="8"/>
      <c r="K573" s="9"/>
    </row>
    <row r="574">
      <c r="A574" s="6"/>
      <c r="B574" s="7"/>
      <c r="C574" s="7"/>
      <c r="D574" s="7"/>
      <c r="E574" s="7"/>
      <c r="F574" s="7"/>
      <c r="G574" s="7"/>
      <c r="H574" s="7"/>
      <c r="I574" s="7"/>
      <c r="J574" s="8"/>
      <c r="K574" s="9"/>
    </row>
    <row r="575">
      <c r="A575" s="6"/>
      <c r="B575" s="7"/>
      <c r="C575" s="7"/>
      <c r="D575" s="7"/>
      <c r="E575" s="7"/>
      <c r="F575" s="7"/>
      <c r="G575" s="7"/>
      <c r="H575" s="7"/>
      <c r="I575" s="7"/>
      <c r="J575" s="8"/>
      <c r="K575" s="9"/>
    </row>
    <row r="576">
      <c r="A576" s="6"/>
      <c r="B576" s="7"/>
      <c r="C576" s="7"/>
      <c r="D576" s="7"/>
      <c r="E576" s="7"/>
      <c r="F576" s="7"/>
      <c r="G576" s="7"/>
      <c r="H576" s="7"/>
      <c r="I576" s="7"/>
      <c r="J576" s="8"/>
      <c r="K576" s="9"/>
    </row>
    <row r="577">
      <c r="A577" s="6"/>
      <c r="B577" s="7"/>
      <c r="C577" s="7"/>
      <c r="D577" s="7"/>
      <c r="E577" s="7"/>
      <c r="F577" s="7"/>
      <c r="G577" s="7"/>
      <c r="H577" s="7"/>
      <c r="I577" s="7"/>
      <c r="J577" s="8"/>
      <c r="K577" s="9"/>
    </row>
    <row r="578">
      <c r="A578" s="6"/>
      <c r="B578" s="7"/>
      <c r="C578" s="7"/>
      <c r="D578" s="7"/>
      <c r="E578" s="7"/>
      <c r="F578" s="7"/>
      <c r="G578" s="7"/>
      <c r="H578" s="7"/>
      <c r="I578" s="7"/>
      <c r="J578" s="8"/>
      <c r="K578" s="9"/>
    </row>
    <row r="579">
      <c r="A579" s="6"/>
      <c r="B579" s="7"/>
      <c r="C579" s="7"/>
      <c r="D579" s="7"/>
      <c r="E579" s="7"/>
      <c r="F579" s="7"/>
      <c r="G579" s="7"/>
      <c r="H579" s="7"/>
      <c r="I579" s="7"/>
      <c r="J579" s="8"/>
      <c r="K579" s="9"/>
    </row>
    <row r="580">
      <c r="A580" s="6"/>
      <c r="B580" s="7"/>
      <c r="C580" s="7"/>
      <c r="D580" s="7"/>
      <c r="E580" s="7"/>
      <c r="F580" s="7"/>
      <c r="G580" s="7"/>
      <c r="H580" s="7"/>
      <c r="I580" s="7"/>
      <c r="J580" s="8"/>
      <c r="K580" s="9"/>
    </row>
    <row r="581">
      <c r="A581" s="6"/>
      <c r="B581" s="7"/>
      <c r="C581" s="7"/>
      <c r="D581" s="7"/>
      <c r="E581" s="7"/>
      <c r="F581" s="7"/>
      <c r="G581" s="7"/>
      <c r="H581" s="7"/>
      <c r="I581" s="7"/>
      <c r="J581" s="8"/>
      <c r="K581" s="9"/>
    </row>
    <row r="582">
      <c r="A582" s="6"/>
      <c r="B582" s="7"/>
      <c r="C582" s="7"/>
      <c r="D582" s="7"/>
      <c r="E582" s="7"/>
      <c r="F582" s="7"/>
      <c r="G582" s="7"/>
      <c r="H582" s="7"/>
      <c r="I582" s="7"/>
      <c r="J582" s="8"/>
      <c r="K582" s="9"/>
    </row>
    <row r="583">
      <c r="A583" s="6"/>
      <c r="B583" s="7"/>
      <c r="C583" s="7"/>
      <c r="D583" s="7"/>
      <c r="E583" s="7"/>
      <c r="F583" s="7"/>
      <c r="G583" s="7"/>
      <c r="H583" s="7"/>
      <c r="I583" s="7"/>
      <c r="J583" s="8"/>
      <c r="K583" s="9"/>
    </row>
    <row r="584">
      <c r="A584" s="6"/>
      <c r="B584" s="7"/>
      <c r="C584" s="7"/>
      <c r="D584" s="7"/>
      <c r="E584" s="7"/>
      <c r="F584" s="7"/>
      <c r="G584" s="7"/>
      <c r="H584" s="7"/>
      <c r="I584" s="7"/>
      <c r="J584" s="8"/>
      <c r="K584" s="9"/>
    </row>
    <row r="585">
      <c r="A585" s="6"/>
      <c r="B585" s="7"/>
      <c r="C585" s="7"/>
      <c r="D585" s="7"/>
      <c r="E585" s="7"/>
      <c r="F585" s="7"/>
      <c r="G585" s="7"/>
      <c r="H585" s="7"/>
      <c r="I585" s="7"/>
      <c r="J585" s="8"/>
      <c r="K585" s="9"/>
    </row>
    <row r="586">
      <c r="A586" s="6"/>
      <c r="B586" s="7"/>
      <c r="C586" s="7"/>
      <c r="D586" s="7"/>
      <c r="E586" s="7"/>
      <c r="F586" s="7"/>
      <c r="G586" s="7"/>
      <c r="H586" s="7"/>
      <c r="I586" s="7"/>
      <c r="J586" s="8"/>
      <c r="K586" s="9"/>
    </row>
    <row r="587">
      <c r="A587" s="6"/>
      <c r="B587" s="7"/>
      <c r="C587" s="7"/>
      <c r="D587" s="7"/>
      <c r="E587" s="7"/>
      <c r="F587" s="7"/>
      <c r="G587" s="7"/>
      <c r="H587" s="7"/>
      <c r="I587" s="7"/>
      <c r="J587" s="8"/>
      <c r="K587" s="9"/>
    </row>
    <row r="588">
      <c r="A588" s="6"/>
      <c r="B588" s="7"/>
      <c r="C588" s="7"/>
      <c r="D588" s="7"/>
      <c r="E588" s="7"/>
      <c r="F588" s="7"/>
      <c r="G588" s="7"/>
      <c r="H588" s="7"/>
      <c r="I588" s="7"/>
      <c r="J588" s="8"/>
      <c r="K588" s="9"/>
    </row>
    <row r="589">
      <c r="A589" s="6"/>
      <c r="B589" s="7"/>
      <c r="C589" s="7"/>
      <c r="D589" s="7"/>
      <c r="E589" s="7"/>
      <c r="F589" s="7"/>
      <c r="G589" s="7"/>
      <c r="H589" s="7"/>
      <c r="I589" s="7"/>
      <c r="J589" s="8"/>
      <c r="K589" s="9"/>
    </row>
    <row r="590">
      <c r="A590" s="6"/>
      <c r="B590" s="7"/>
      <c r="C590" s="7"/>
      <c r="D590" s="7"/>
      <c r="E590" s="7"/>
      <c r="F590" s="7"/>
      <c r="G590" s="7"/>
      <c r="H590" s="7"/>
      <c r="I590" s="7"/>
      <c r="J590" s="8"/>
      <c r="K590" s="9"/>
    </row>
    <row r="591">
      <c r="A591" s="6"/>
      <c r="B591" s="7"/>
      <c r="C591" s="7"/>
      <c r="D591" s="7"/>
      <c r="E591" s="7"/>
      <c r="F591" s="7"/>
      <c r="G591" s="7"/>
      <c r="H591" s="7"/>
      <c r="I591" s="7"/>
      <c r="J591" s="8"/>
      <c r="K591" s="9"/>
    </row>
    <row r="592">
      <c r="A592" s="6"/>
      <c r="B592" s="7"/>
      <c r="C592" s="7"/>
      <c r="D592" s="7"/>
      <c r="E592" s="7"/>
      <c r="F592" s="7"/>
      <c r="G592" s="7"/>
      <c r="H592" s="7"/>
      <c r="I592" s="7"/>
      <c r="J592" s="8"/>
      <c r="K592" s="9"/>
    </row>
    <row r="593">
      <c r="A593" s="6"/>
      <c r="B593" s="7"/>
      <c r="C593" s="7"/>
      <c r="D593" s="7"/>
      <c r="E593" s="7"/>
      <c r="F593" s="7"/>
      <c r="G593" s="7"/>
      <c r="H593" s="7"/>
      <c r="I593" s="7"/>
      <c r="J593" s="8"/>
      <c r="K593" s="9"/>
    </row>
    <row r="594">
      <c r="A594" s="6"/>
      <c r="B594" s="7"/>
      <c r="C594" s="7"/>
      <c r="D594" s="7"/>
      <c r="E594" s="7"/>
      <c r="F594" s="7"/>
      <c r="G594" s="7"/>
      <c r="H594" s="7"/>
      <c r="I594" s="7"/>
      <c r="J594" s="8"/>
      <c r="K594" s="9"/>
    </row>
    <row r="595">
      <c r="A595" s="6"/>
      <c r="B595" s="7"/>
      <c r="C595" s="7"/>
      <c r="D595" s="7"/>
      <c r="E595" s="7"/>
      <c r="F595" s="7"/>
      <c r="G595" s="7"/>
      <c r="H595" s="7"/>
      <c r="I595" s="7"/>
      <c r="J595" s="8"/>
      <c r="K595" s="9"/>
    </row>
    <row r="596">
      <c r="A596" s="6"/>
      <c r="B596" s="7"/>
      <c r="C596" s="7"/>
      <c r="D596" s="7"/>
      <c r="E596" s="7"/>
      <c r="F596" s="7"/>
      <c r="G596" s="7"/>
      <c r="H596" s="7"/>
      <c r="I596" s="7"/>
      <c r="J596" s="8"/>
      <c r="K596" s="9"/>
    </row>
    <row r="597">
      <c r="A597" s="6"/>
      <c r="B597" s="7"/>
      <c r="C597" s="7"/>
      <c r="D597" s="7"/>
      <c r="E597" s="7"/>
      <c r="F597" s="7"/>
      <c r="G597" s="7"/>
      <c r="H597" s="7"/>
      <c r="I597" s="7"/>
      <c r="J597" s="8"/>
      <c r="K597" s="9"/>
    </row>
    <row r="598">
      <c r="A598" s="6"/>
      <c r="B598" s="7"/>
      <c r="C598" s="7"/>
      <c r="D598" s="7"/>
      <c r="E598" s="7"/>
      <c r="F598" s="7"/>
      <c r="G598" s="7"/>
      <c r="H598" s="7"/>
      <c r="I598" s="7"/>
      <c r="J598" s="8"/>
      <c r="K598" s="9"/>
    </row>
    <row r="599">
      <c r="A599" s="6"/>
      <c r="B599" s="7"/>
      <c r="C599" s="7"/>
      <c r="D599" s="7"/>
      <c r="E599" s="7"/>
      <c r="F599" s="7"/>
      <c r="G599" s="7"/>
      <c r="H599" s="7"/>
      <c r="I599" s="7"/>
      <c r="J599" s="8"/>
      <c r="K599" s="9"/>
    </row>
    <row r="600">
      <c r="A600" s="6"/>
      <c r="B600" s="7"/>
      <c r="C600" s="7"/>
      <c r="D600" s="7"/>
      <c r="E600" s="7"/>
      <c r="F600" s="7"/>
      <c r="G600" s="7"/>
      <c r="H600" s="7"/>
      <c r="I600" s="7"/>
      <c r="J600" s="8"/>
      <c r="K600" s="9"/>
    </row>
    <row r="601">
      <c r="A601" s="6"/>
      <c r="B601" s="7"/>
      <c r="C601" s="7"/>
      <c r="D601" s="7"/>
      <c r="E601" s="7"/>
      <c r="F601" s="7"/>
      <c r="G601" s="7"/>
      <c r="H601" s="7"/>
      <c r="I601" s="7"/>
      <c r="J601" s="8"/>
      <c r="K601" s="9"/>
    </row>
    <row r="602">
      <c r="A602" s="6"/>
      <c r="B602" s="7"/>
      <c r="C602" s="7"/>
      <c r="D602" s="7"/>
      <c r="E602" s="7"/>
      <c r="F602" s="7"/>
      <c r="G602" s="7"/>
      <c r="H602" s="7"/>
      <c r="I602" s="7"/>
      <c r="J602" s="8"/>
      <c r="K602" s="9"/>
    </row>
    <row r="603">
      <c r="A603" s="6"/>
      <c r="B603" s="7"/>
      <c r="C603" s="7"/>
      <c r="D603" s="7"/>
      <c r="E603" s="7"/>
      <c r="F603" s="7"/>
      <c r="G603" s="7"/>
      <c r="H603" s="7"/>
      <c r="I603" s="7"/>
      <c r="J603" s="8"/>
      <c r="K603" s="9"/>
    </row>
    <row r="604">
      <c r="A604" s="6"/>
      <c r="B604" s="7"/>
      <c r="C604" s="7"/>
      <c r="D604" s="7"/>
      <c r="E604" s="7"/>
      <c r="F604" s="7"/>
      <c r="G604" s="7"/>
      <c r="H604" s="7"/>
      <c r="I604" s="7"/>
      <c r="J604" s="8"/>
      <c r="K604" s="9"/>
    </row>
    <row r="605">
      <c r="A605" s="6"/>
      <c r="B605" s="7"/>
      <c r="C605" s="7"/>
      <c r="D605" s="7"/>
      <c r="E605" s="7"/>
      <c r="F605" s="7"/>
      <c r="G605" s="7"/>
      <c r="H605" s="7"/>
      <c r="I605" s="7"/>
      <c r="J605" s="8"/>
      <c r="K605" s="9"/>
    </row>
    <row r="606">
      <c r="A606" s="6"/>
      <c r="B606" s="7"/>
      <c r="C606" s="7"/>
      <c r="D606" s="7"/>
      <c r="E606" s="7"/>
      <c r="F606" s="7"/>
      <c r="G606" s="7"/>
      <c r="H606" s="7"/>
      <c r="I606" s="7"/>
      <c r="J606" s="8"/>
      <c r="K606" s="9"/>
    </row>
    <row r="607">
      <c r="A607" s="6"/>
      <c r="B607" s="7"/>
      <c r="C607" s="7"/>
      <c r="D607" s="7"/>
      <c r="E607" s="7"/>
      <c r="F607" s="7"/>
      <c r="G607" s="7"/>
      <c r="H607" s="7"/>
      <c r="I607" s="7"/>
      <c r="J607" s="8"/>
      <c r="K607" s="9"/>
    </row>
    <row r="608">
      <c r="A608" s="6"/>
      <c r="B608" s="7"/>
      <c r="C608" s="7"/>
      <c r="D608" s="7"/>
      <c r="E608" s="7"/>
      <c r="F608" s="7"/>
      <c r="G608" s="7"/>
      <c r="H608" s="7"/>
      <c r="I608" s="7"/>
      <c r="J608" s="8"/>
      <c r="K608" s="9"/>
    </row>
    <row r="609">
      <c r="A609" s="6"/>
      <c r="B609" s="7"/>
      <c r="C609" s="7"/>
      <c r="D609" s="7"/>
      <c r="E609" s="7"/>
      <c r="F609" s="7"/>
      <c r="G609" s="7"/>
      <c r="H609" s="7"/>
      <c r="I609" s="7"/>
      <c r="J609" s="8"/>
      <c r="K609" s="9"/>
    </row>
    <row r="610">
      <c r="A610" s="6"/>
      <c r="B610" s="7"/>
      <c r="C610" s="7"/>
      <c r="D610" s="7"/>
      <c r="E610" s="7"/>
      <c r="F610" s="7"/>
      <c r="G610" s="7"/>
      <c r="H610" s="7"/>
      <c r="I610" s="7"/>
      <c r="J610" s="8"/>
      <c r="K610" s="9"/>
    </row>
    <row r="611">
      <c r="A611" s="6"/>
      <c r="B611" s="7"/>
      <c r="C611" s="7"/>
      <c r="D611" s="7"/>
      <c r="E611" s="7"/>
      <c r="F611" s="7"/>
      <c r="G611" s="7"/>
      <c r="H611" s="7"/>
      <c r="I611" s="7"/>
      <c r="J611" s="8"/>
      <c r="K611" s="9"/>
    </row>
    <row r="612">
      <c r="A612" s="6"/>
      <c r="B612" s="7"/>
      <c r="C612" s="7"/>
      <c r="D612" s="7"/>
      <c r="E612" s="7"/>
      <c r="F612" s="7"/>
      <c r="G612" s="7"/>
      <c r="H612" s="7"/>
      <c r="I612" s="7"/>
      <c r="J612" s="8"/>
      <c r="K612" s="9"/>
    </row>
    <row r="613">
      <c r="A613" s="6"/>
      <c r="B613" s="7"/>
      <c r="C613" s="7"/>
      <c r="D613" s="7"/>
      <c r="E613" s="7"/>
      <c r="F613" s="7"/>
      <c r="G613" s="7"/>
      <c r="H613" s="7"/>
      <c r="I613" s="7"/>
      <c r="J613" s="8"/>
      <c r="K613" s="9"/>
    </row>
    <row r="614">
      <c r="A614" s="6"/>
      <c r="B614" s="7"/>
      <c r="C614" s="7"/>
      <c r="D614" s="7"/>
      <c r="E614" s="7"/>
      <c r="F614" s="7"/>
      <c r="G614" s="7"/>
      <c r="H614" s="7"/>
      <c r="I614" s="7"/>
      <c r="J614" s="8"/>
      <c r="K614" s="9"/>
    </row>
    <row r="615">
      <c r="A615" s="6"/>
      <c r="B615" s="7"/>
      <c r="C615" s="7"/>
      <c r="D615" s="7"/>
      <c r="E615" s="7"/>
      <c r="F615" s="7"/>
      <c r="G615" s="7"/>
      <c r="H615" s="7"/>
      <c r="I615" s="7"/>
      <c r="J615" s="8"/>
      <c r="K615" s="9"/>
    </row>
    <row r="616">
      <c r="A616" s="6"/>
      <c r="B616" s="7"/>
      <c r="C616" s="7"/>
      <c r="D616" s="7"/>
      <c r="E616" s="7"/>
      <c r="F616" s="7"/>
      <c r="G616" s="7"/>
      <c r="H616" s="7"/>
      <c r="I616" s="7"/>
      <c r="J616" s="8"/>
      <c r="K616" s="9"/>
    </row>
    <row r="617">
      <c r="A617" s="6"/>
      <c r="B617" s="7"/>
      <c r="C617" s="7"/>
      <c r="D617" s="7"/>
      <c r="E617" s="7"/>
      <c r="F617" s="7"/>
      <c r="G617" s="7"/>
      <c r="H617" s="7"/>
      <c r="I617" s="7"/>
      <c r="J617" s="8"/>
      <c r="K617" s="9"/>
    </row>
    <row r="618">
      <c r="A618" s="6"/>
      <c r="B618" s="7"/>
      <c r="C618" s="7"/>
      <c r="D618" s="7"/>
      <c r="E618" s="7"/>
      <c r="F618" s="7"/>
      <c r="G618" s="7"/>
      <c r="H618" s="7"/>
      <c r="I618" s="7"/>
      <c r="J618" s="8"/>
      <c r="K618" s="9"/>
    </row>
    <row r="619">
      <c r="A619" s="6"/>
      <c r="B619" s="7"/>
      <c r="C619" s="7"/>
      <c r="D619" s="7"/>
      <c r="E619" s="7"/>
      <c r="F619" s="7"/>
      <c r="G619" s="7"/>
      <c r="H619" s="7"/>
      <c r="I619" s="7"/>
      <c r="J619" s="8"/>
      <c r="K619" s="9"/>
    </row>
    <row r="620">
      <c r="A620" s="6"/>
      <c r="B620" s="7"/>
      <c r="C620" s="7"/>
      <c r="D620" s="7"/>
      <c r="E620" s="7"/>
      <c r="F620" s="7"/>
      <c r="G620" s="7"/>
      <c r="H620" s="7"/>
      <c r="I620" s="7"/>
      <c r="J620" s="8"/>
      <c r="K620" s="9"/>
    </row>
    <row r="621">
      <c r="A621" s="6"/>
      <c r="B621" s="7"/>
      <c r="C621" s="7"/>
      <c r="D621" s="7"/>
      <c r="E621" s="7"/>
      <c r="F621" s="7"/>
      <c r="G621" s="7"/>
      <c r="H621" s="7"/>
      <c r="I621" s="7"/>
      <c r="J621" s="8"/>
      <c r="K621" s="9"/>
    </row>
    <row r="622">
      <c r="A622" s="6"/>
      <c r="B622" s="7"/>
      <c r="C622" s="7"/>
      <c r="D622" s="7"/>
      <c r="E622" s="7"/>
      <c r="F622" s="7"/>
      <c r="G622" s="7"/>
      <c r="H622" s="7"/>
      <c r="I622" s="7"/>
      <c r="J622" s="8"/>
      <c r="K622" s="9"/>
    </row>
    <row r="623">
      <c r="A623" s="6"/>
      <c r="B623" s="7"/>
      <c r="C623" s="7"/>
      <c r="D623" s="7"/>
      <c r="E623" s="7"/>
      <c r="F623" s="7"/>
      <c r="G623" s="7"/>
      <c r="H623" s="7"/>
      <c r="I623" s="7"/>
      <c r="J623" s="8"/>
      <c r="K623" s="9"/>
    </row>
    <row r="624">
      <c r="A624" s="6"/>
      <c r="B624" s="7"/>
      <c r="C624" s="7"/>
      <c r="D624" s="7"/>
      <c r="E624" s="7"/>
      <c r="F624" s="7"/>
      <c r="G624" s="7"/>
      <c r="H624" s="7"/>
      <c r="I624" s="7"/>
      <c r="J624" s="8"/>
      <c r="K624" s="9"/>
    </row>
    <row r="625">
      <c r="A625" s="6"/>
      <c r="B625" s="7"/>
      <c r="C625" s="7"/>
      <c r="D625" s="7"/>
      <c r="E625" s="7"/>
      <c r="F625" s="7"/>
      <c r="G625" s="7"/>
      <c r="H625" s="7"/>
      <c r="I625" s="7"/>
      <c r="J625" s="8"/>
      <c r="K625" s="9"/>
    </row>
    <row r="626">
      <c r="A626" s="6"/>
      <c r="B626" s="7"/>
      <c r="C626" s="7"/>
      <c r="D626" s="7"/>
      <c r="E626" s="7"/>
      <c r="F626" s="7"/>
      <c r="G626" s="7"/>
      <c r="H626" s="7"/>
      <c r="I626" s="7"/>
      <c r="J626" s="8"/>
      <c r="K626" s="9"/>
    </row>
    <row r="627">
      <c r="A627" s="6"/>
      <c r="B627" s="7"/>
      <c r="C627" s="7"/>
      <c r="D627" s="7"/>
      <c r="E627" s="7"/>
      <c r="F627" s="7"/>
      <c r="G627" s="7"/>
      <c r="H627" s="7"/>
      <c r="I627" s="7"/>
      <c r="J627" s="8"/>
      <c r="K627" s="9"/>
    </row>
    <row r="628">
      <c r="A628" s="6"/>
      <c r="B628" s="7"/>
      <c r="C628" s="7"/>
      <c r="D628" s="7"/>
      <c r="E628" s="7"/>
      <c r="F628" s="7"/>
      <c r="G628" s="7"/>
      <c r="H628" s="7"/>
      <c r="I628" s="7"/>
      <c r="J628" s="8"/>
      <c r="K628" s="9"/>
    </row>
    <row r="629">
      <c r="A629" s="6"/>
      <c r="B629" s="7"/>
      <c r="C629" s="7"/>
      <c r="D629" s="7"/>
      <c r="E629" s="7"/>
      <c r="F629" s="7"/>
      <c r="G629" s="7"/>
      <c r="H629" s="7"/>
      <c r="I629" s="7"/>
      <c r="J629" s="8"/>
      <c r="K629" s="9"/>
    </row>
    <row r="630">
      <c r="A630" s="6"/>
      <c r="B630" s="7"/>
      <c r="C630" s="7"/>
      <c r="D630" s="7"/>
      <c r="E630" s="7"/>
      <c r="F630" s="7"/>
      <c r="G630" s="7"/>
      <c r="H630" s="7"/>
      <c r="I630" s="7"/>
      <c r="J630" s="8"/>
      <c r="K630" s="9"/>
    </row>
    <row r="631">
      <c r="A631" s="6"/>
      <c r="B631" s="7"/>
      <c r="C631" s="7"/>
      <c r="D631" s="7"/>
      <c r="E631" s="7"/>
      <c r="F631" s="7"/>
      <c r="G631" s="7"/>
      <c r="H631" s="7"/>
      <c r="I631" s="7"/>
      <c r="J631" s="8"/>
      <c r="K631" s="9"/>
    </row>
    <row r="632">
      <c r="A632" s="6"/>
      <c r="B632" s="7"/>
      <c r="C632" s="7"/>
      <c r="D632" s="7"/>
      <c r="E632" s="7"/>
      <c r="F632" s="7"/>
      <c r="G632" s="7"/>
      <c r="H632" s="7"/>
      <c r="I632" s="7"/>
      <c r="J632" s="8"/>
      <c r="K632" s="9"/>
    </row>
    <row r="633">
      <c r="A633" s="6"/>
      <c r="B633" s="7"/>
      <c r="C633" s="7"/>
      <c r="D633" s="7"/>
      <c r="E633" s="7"/>
      <c r="F633" s="7"/>
      <c r="G633" s="7"/>
      <c r="H633" s="7"/>
      <c r="I633" s="7"/>
      <c r="J633" s="8"/>
      <c r="K633" s="9"/>
    </row>
    <row r="634">
      <c r="A634" s="6"/>
      <c r="B634" s="7"/>
      <c r="C634" s="7"/>
      <c r="D634" s="7"/>
      <c r="E634" s="7"/>
      <c r="F634" s="7"/>
      <c r="G634" s="7"/>
      <c r="H634" s="7"/>
      <c r="I634" s="7"/>
      <c r="J634" s="8"/>
      <c r="K634" s="9"/>
    </row>
    <row r="635">
      <c r="A635" s="6"/>
      <c r="B635" s="7"/>
      <c r="C635" s="7"/>
      <c r="D635" s="7"/>
      <c r="E635" s="7"/>
      <c r="F635" s="7"/>
      <c r="G635" s="7"/>
      <c r="H635" s="7"/>
      <c r="I635" s="7"/>
      <c r="J635" s="8"/>
      <c r="K635" s="9"/>
    </row>
    <row r="636">
      <c r="A636" s="6"/>
      <c r="B636" s="7"/>
      <c r="C636" s="7"/>
      <c r="D636" s="7"/>
      <c r="E636" s="7"/>
      <c r="F636" s="7"/>
      <c r="G636" s="7"/>
      <c r="H636" s="7"/>
      <c r="I636" s="7"/>
      <c r="J636" s="8"/>
      <c r="K636" s="9"/>
    </row>
    <row r="637">
      <c r="A637" s="6"/>
      <c r="B637" s="7"/>
      <c r="C637" s="7"/>
      <c r="D637" s="7"/>
      <c r="E637" s="7"/>
      <c r="F637" s="7"/>
      <c r="G637" s="7"/>
      <c r="H637" s="7"/>
      <c r="I637" s="7"/>
      <c r="J637" s="8"/>
      <c r="K637" s="9"/>
    </row>
    <row r="638">
      <c r="A638" s="6"/>
      <c r="B638" s="7"/>
      <c r="C638" s="7"/>
      <c r="D638" s="7"/>
      <c r="E638" s="7"/>
      <c r="F638" s="7"/>
      <c r="G638" s="7"/>
      <c r="H638" s="7"/>
      <c r="I638" s="7"/>
      <c r="J638" s="8"/>
      <c r="K638" s="9"/>
    </row>
    <row r="639">
      <c r="A639" s="6"/>
      <c r="B639" s="7"/>
      <c r="C639" s="7"/>
      <c r="D639" s="7"/>
      <c r="E639" s="7"/>
      <c r="F639" s="7"/>
      <c r="G639" s="7"/>
      <c r="H639" s="7"/>
      <c r="I639" s="7"/>
      <c r="J639" s="8"/>
      <c r="K639" s="9"/>
    </row>
    <row r="640">
      <c r="A640" s="6"/>
      <c r="B640" s="7"/>
      <c r="C640" s="7"/>
      <c r="D640" s="7"/>
      <c r="E640" s="7"/>
      <c r="F640" s="7"/>
      <c r="G640" s="7"/>
      <c r="H640" s="7"/>
      <c r="I640" s="7"/>
      <c r="J640" s="8"/>
      <c r="K640" s="9"/>
    </row>
    <row r="641">
      <c r="A641" s="6"/>
      <c r="B641" s="7"/>
      <c r="C641" s="7"/>
      <c r="D641" s="7"/>
      <c r="E641" s="7"/>
      <c r="F641" s="7"/>
      <c r="G641" s="7"/>
      <c r="H641" s="7"/>
      <c r="I641" s="7"/>
      <c r="J641" s="8"/>
      <c r="K641" s="9"/>
    </row>
    <row r="642">
      <c r="A642" s="6"/>
      <c r="B642" s="7"/>
      <c r="C642" s="7"/>
      <c r="D642" s="7"/>
      <c r="E642" s="7"/>
      <c r="F642" s="7"/>
      <c r="G642" s="7"/>
      <c r="H642" s="7"/>
      <c r="I642" s="7"/>
      <c r="J642" s="8"/>
      <c r="K642" s="9"/>
    </row>
    <row r="643">
      <c r="A643" s="6"/>
      <c r="B643" s="7"/>
      <c r="C643" s="7"/>
      <c r="D643" s="7"/>
      <c r="E643" s="7"/>
      <c r="F643" s="7"/>
      <c r="G643" s="7"/>
      <c r="H643" s="7"/>
      <c r="I643" s="7"/>
      <c r="J643" s="8"/>
      <c r="K643" s="9"/>
    </row>
    <row r="644">
      <c r="A644" s="6"/>
      <c r="B644" s="7"/>
      <c r="C644" s="7"/>
      <c r="D644" s="7"/>
      <c r="E644" s="7"/>
      <c r="F644" s="7"/>
      <c r="G644" s="7"/>
      <c r="H644" s="7"/>
      <c r="I644" s="7"/>
      <c r="J644" s="8"/>
      <c r="K644" s="9"/>
    </row>
    <row r="645">
      <c r="A645" s="6"/>
      <c r="B645" s="7"/>
      <c r="C645" s="7"/>
      <c r="D645" s="7"/>
      <c r="E645" s="7"/>
      <c r="F645" s="7"/>
      <c r="G645" s="7"/>
      <c r="H645" s="7"/>
      <c r="I645" s="7"/>
      <c r="J645" s="8"/>
      <c r="K645" s="9"/>
    </row>
    <row r="646">
      <c r="A646" s="6"/>
      <c r="B646" s="7"/>
      <c r="C646" s="7"/>
      <c r="D646" s="7"/>
      <c r="E646" s="7"/>
      <c r="F646" s="7"/>
      <c r="G646" s="7"/>
      <c r="H646" s="7"/>
      <c r="I646" s="7"/>
      <c r="J646" s="8"/>
      <c r="K646" s="9"/>
    </row>
    <row r="647">
      <c r="A647" s="6"/>
      <c r="B647" s="7"/>
      <c r="C647" s="7"/>
      <c r="D647" s="7"/>
      <c r="E647" s="7"/>
      <c r="F647" s="7"/>
      <c r="G647" s="7"/>
      <c r="H647" s="7"/>
      <c r="I647" s="7"/>
      <c r="J647" s="8"/>
      <c r="K647" s="9"/>
    </row>
    <row r="648">
      <c r="A648" s="6"/>
      <c r="B648" s="7"/>
      <c r="C648" s="7"/>
      <c r="D648" s="7"/>
      <c r="E648" s="7"/>
      <c r="F648" s="7"/>
      <c r="G648" s="7"/>
      <c r="H648" s="7"/>
      <c r="I648" s="7"/>
      <c r="J648" s="8"/>
      <c r="K648" s="9"/>
    </row>
    <row r="649">
      <c r="A649" s="6"/>
      <c r="B649" s="7"/>
      <c r="C649" s="7"/>
      <c r="D649" s="7"/>
      <c r="E649" s="7"/>
      <c r="F649" s="7"/>
      <c r="G649" s="7"/>
      <c r="H649" s="7"/>
      <c r="I649" s="7"/>
      <c r="J649" s="8"/>
      <c r="K649" s="9"/>
    </row>
    <row r="650">
      <c r="A650" s="6"/>
      <c r="B650" s="7"/>
      <c r="C650" s="7"/>
      <c r="D650" s="7"/>
      <c r="E650" s="7"/>
      <c r="F650" s="7"/>
      <c r="G650" s="7"/>
      <c r="H650" s="7"/>
      <c r="I650" s="7"/>
      <c r="J650" s="8"/>
      <c r="K650" s="9"/>
    </row>
    <row r="651">
      <c r="A651" s="6"/>
      <c r="B651" s="7"/>
      <c r="C651" s="7"/>
      <c r="D651" s="7"/>
      <c r="E651" s="7"/>
      <c r="F651" s="7"/>
      <c r="G651" s="7"/>
      <c r="H651" s="7"/>
      <c r="I651" s="7"/>
      <c r="J651" s="8"/>
      <c r="K651" s="9"/>
    </row>
    <row r="652">
      <c r="A652" s="6"/>
      <c r="B652" s="7"/>
      <c r="C652" s="7"/>
      <c r="D652" s="7"/>
      <c r="E652" s="7"/>
      <c r="F652" s="7"/>
      <c r="G652" s="7"/>
      <c r="H652" s="7"/>
      <c r="I652" s="7"/>
      <c r="J652" s="8"/>
      <c r="K652" s="9"/>
    </row>
    <row r="653">
      <c r="A653" s="6"/>
      <c r="B653" s="7"/>
      <c r="C653" s="7"/>
      <c r="D653" s="7"/>
      <c r="E653" s="7"/>
      <c r="F653" s="7"/>
      <c r="G653" s="7"/>
      <c r="H653" s="7"/>
      <c r="I653" s="7"/>
      <c r="J653" s="8"/>
      <c r="K653" s="9"/>
    </row>
    <row r="654">
      <c r="A654" s="6"/>
      <c r="B654" s="7"/>
      <c r="C654" s="7"/>
      <c r="D654" s="7"/>
      <c r="E654" s="7"/>
      <c r="F654" s="7"/>
      <c r="G654" s="7"/>
      <c r="H654" s="7"/>
      <c r="I654" s="7"/>
      <c r="J654" s="8"/>
      <c r="K654" s="9"/>
    </row>
    <row r="655">
      <c r="A655" s="6"/>
      <c r="B655" s="7"/>
      <c r="C655" s="7"/>
      <c r="D655" s="7"/>
      <c r="E655" s="7"/>
      <c r="F655" s="7"/>
      <c r="G655" s="7"/>
      <c r="H655" s="7"/>
      <c r="I655" s="7"/>
      <c r="J655" s="8"/>
      <c r="K655" s="9"/>
    </row>
    <row r="656">
      <c r="A656" s="6"/>
      <c r="B656" s="7"/>
      <c r="C656" s="7"/>
      <c r="D656" s="7"/>
      <c r="E656" s="7"/>
      <c r="F656" s="7"/>
      <c r="G656" s="7"/>
      <c r="H656" s="7"/>
      <c r="I656" s="7"/>
      <c r="J656" s="8"/>
      <c r="K656" s="9"/>
    </row>
    <row r="657">
      <c r="A657" s="6"/>
      <c r="B657" s="7"/>
      <c r="C657" s="7"/>
      <c r="D657" s="7"/>
      <c r="E657" s="7"/>
      <c r="F657" s="7"/>
      <c r="G657" s="7"/>
      <c r="H657" s="7"/>
      <c r="I657" s="7"/>
      <c r="J657" s="8"/>
      <c r="K657" s="9"/>
    </row>
    <row r="658">
      <c r="A658" s="6"/>
      <c r="B658" s="7"/>
      <c r="C658" s="7"/>
      <c r="D658" s="7"/>
      <c r="E658" s="7"/>
      <c r="F658" s="7"/>
      <c r="G658" s="7"/>
      <c r="H658" s="7"/>
      <c r="I658" s="7"/>
      <c r="J658" s="8"/>
      <c r="K658" s="9"/>
    </row>
    <row r="659">
      <c r="A659" s="6"/>
      <c r="B659" s="7"/>
      <c r="C659" s="7"/>
      <c r="D659" s="7"/>
      <c r="E659" s="7"/>
      <c r="F659" s="7"/>
      <c r="G659" s="7"/>
      <c r="H659" s="7"/>
      <c r="I659" s="7"/>
      <c r="J659" s="8"/>
      <c r="K659" s="9"/>
    </row>
    <row r="660">
      <c r="A660" s="6"/>
      <c r="B660" s="7"/>
      <c r="C660" s="7"/>
      <c r="D660" s="7"/>
      <c r="E660" s="7"/>
      <c r="F660" s="7"/>
      <c r="G660" s="7"/>
      <c r="H660" s="7"/>
      <c r="I660" s="7"/>
      <c r="J660" s="8"/>
      <c r="K660" s="9"/>
    </row>
    <row r="661">
      <c r="A661" s="6"/>
      <c r="B661" s="7"/>
      <c r="C661" s="7"/>
      <c r="D661" s="7"/>
      <c r="E661" s="7"/>
      <c r="F661" s="7"/>
      <c r="G661" s="7"/>
      <c r="H661" s="7"/>
      <c r="I661" s="7"/>
      <c r="J661" s="8"/>
      <c r="K661" s="9"/>
    </row>
    <row r="662">
      <c r="A662" s="6"/>
      <c r="B662" s="7"/>
      <c r="C662" s="7"/>
      <c r="D662" s="7"/>
      <c r="E662" s="7"/>
      <c r="F662" s="7"/>
      <c r="G662" s="7"/>
      <c r="H662" s="7"/>
      <c r="I662" s="7"/>
      <c r="J662" s="8"/>
      <c r="K662" s="9"/>
    </row>
    <row r="663">
      <c r="A663" s="6"/>
      <c r="B663" s="7"/>
      <c r="C663" s="7"/>
      <c r="D663" s="7"/>
      <c r="E663" s="7"/>
      <c r="F663" s="7"/>
      <c r="G663" s="7"/>
      <c r="H663" s="7"/>
      <c r="I663" s="7"/>
      <c r="J663" s="8"/>
      <c r="K663" s="9"/>
    </row>
    <row r="664">
      <c r="A664" s="6"/>
      <c r="B664" s="7"/>
      <c r="C664" s="7"/>
      <c r="D664" s="7"/>
      <c r="E664" s="7"/>
      <c r="F664" s="7"/>
      <c r="G664" s="7"/>
      <c r="H664" s="7"/>
      <c r="I664" s="7"/>
      <c r="J664" s="8"/>
      <c r="K664" s="9"/>
    </row>
    <row r="665">
      <c r="A665" s="6"/>
      <c r="B665" s="7"/>
      <c r="C665" s="7"/>
      <c r="D665" s="7"/>
      <c r="E665" s="7"/>
      <c r="F665" s="7"/>
      <c r="G665" s="7"/>
      <c r="H665" s="7"/>
      <c r="I665" s="7"/>
      <c r="J665" s="8"/>
      <c r="K665" s="9"/>
    </row>
    <row r="666">
      <c r="A666" s="6"/>
      <c r="B666" s="7"/>
      <c r="C666" s="7"/>
      <c r="D666" s="7"/>
      <c r="E666" s="7"/>
      <c r="F666" s="7"/>
      <c r="G666" s="7"/>
      <c r="H666" s="7"/>
      <c r="I666" s="7"/>
      <c r="J666" s="8"/>
      <c r="K666" s="9"/>
    </row>
    <row r="667">
      <c r="A667" s="6"/>
      <c r="B667" s="7"/>
      <c r="C667" s="7"/>
      <c r="D667" s="7"/>
      <c r="E667" s="7"/>
      <c r="F667" s="7"/>
      <c r="G667" s="7"/>
      <c r="H667" s="7"/>
      <c r="I667" s="7"/>
      <c r="J667" s="8"/>
      <c r="K667" s="9"/>
    </row>
    <row r="668">
      <c r="A668" s="6"/>
      <c r="B668" s="7"/>
      <c r="C668" s="7"/>
      <c r="D668" s="7"/>
      <c r="E668" s="7"/>
      <c r="F668" s="7"/>
      <c r="G668" s="7"/>
      <c r="H668" s="7"/>
      <c r="I668" s="7"/>
      <c r="J668" s="8"/>
      <c r="K668" s="9"/>
    </row>
    <row r="669">
      <c r="A669" s="6"/>
      <c r="B669" s="7"/>
      <c r="C669" s="7"/>
      <c r="D669" s="7"/>
      <c r="E669" s="7"/>
      <c r="F669" s="7"/>
      <c r="G669" s="7"/>
      <c r="H669" s="7"/>
      <c r="I669" s="7"/>
      <c r="J669" s="8"/>
      <c r="K669" s="9"/>
    </row>
    <row r="670">
      <c r="A670" s="6"/>
      <c r="B670" s="7"/>
      <c r="C670" s="7"/>
      <c r="D670" s="7"/>
      <c r="E670" s="7"/>
      <c r="F670" s="7"/>
      <c r="G670" s="7"/>
      <c r="H670" s="7"/>
      <c r="I670" s="7"/>
      <c r="J670" s="8"/>
      <c r="K670" s="9"/>
    </row>
    <row r="671">
      <c r="A671" s="6"/>
      <c r="B671" s="7"/>
      <c r="C671" s="7"/>
      <c r="D671" s="7"/>
      <c r="E671" s="7"/>
      <c r="F671" s="7"/>
      <c r="G671" s="7"/>
      <c r="H671" s="7"/>
      <c r="I671" s="7"/>
      <c r="J671" s="8"/>
      <c r="K671" s="9"/>
    </row>
    <row r="672">
      <c r="A672" s="6"/>
      <c r="B672" s="7"/>
      <c r="C672" s="7"/>
      <c r="D672" s="7"/>
      <c r="E672" s="7"/>
      <c r="F672" s="7"/>
      <c r="G672" s="7"/>
      <c r="H672" s="7"/>
      <c r="I672" s="7"/>
      <c r="J672" s="8"/>
      <c r="K672" s="9"/>
    </row>
    <row r="673">
      <c r="A673" s="6"/>
      <c r="B673" s="7"/>
      <c r="C673" s="7"/>
      <c r="D673" s="7"/>
      <c r="E673" s="7"/>
      <c r="F673" s="7"/>
      <c r="G673" s="7"/>
      <c r="H673" s="7"/>
      <c r="I673" s="7"/>
      <c r="J673" s="8"/>
      <c r="K673" s="9"/>
    </row>
    <row r="674">
      <c r="A674" s="6"/>
      <c r="B674" s="7"/>
      <c r="C674" s="7"/>
      <c r="D674" s="7"/>
      <c r="E674" s="7"/>
      <c r="F674" s="7"/>
      <c r="G674" s="7"/>
      <c r="H674" s="7"/>
      <c r="I674" s="7"/>
      <c r="J674" s="8"/>
      <c r="K674" s="9"/>
    </row>
    <row r="675">
      <c r="A675" s="6"/>
      <c r="B675" s="7"/>
      <c r="C675" s="7"/>
      <c r="D675" s="7"/>
      <c r="E675" s="7"/>
      <c r="F675" s="7"/>
      <c r="G675" s="7"/>
      <c r="H675" s="7"/>
      <c r="I675" s="7"/>
      <c r="J675" s="8"/>
      <c r="K675" s="9"/>
    </row>
    <row r="676">
      <c r="A676" s="6"/>
      <c r="B676" s="7"/>
      <c r="C676" s="7"/>
      <c r="D676" s="7"/>
      <c r="E676" s="7"/>
      <c r="F676" s="7"/>
      <c r="G676" s="7"/>
      <c r="H676" s="7"/>
      <c r="I676" s="7"/>
      <c r="J676" s="8"/>
      <c r="K676" s="9"/>
    </row>
    <row r="677">
      <c r="A677" s="6"/>
      <c r="B677" s="7"/>
      <c r="C677" s="7"/>
      <c r="D677" s="7"/>
      <c r="E677" s="7"/>
      <c r="F677" s="7"/>
      <c r="G677" s="7"/>
      <c r="H677" s="7"/>
      <c r="I677" s="7"/>
      <c r="J677" s="8"/>
      <c r="K677" s="9"/>
    </row>
    <row r="678">
      <c r="A678" s="6"/>
      <c r="B678" s="7"/>
      <c r="C678" s="7"/>
      <c r="D678" s="7"/>
      <c r="E678" s="7"/>
      <c r="F678" s="7"/>
      <c r="G678" s="7"/>
      <c r="H678" s="7"/>
      <c r="I678" s="7"/>
      <c r="J678" s="8"/>
      <c r="K678" s="9"/>
    </row>
    <row r="679">
      <c r="A679" s="6"/>
      <c r="B679" s="7"/>
      <c r="C679" s="7"/>
      <c r="D679" s="7"/>
      <c r="E679" s="7"/>
      <c r="F679" s="7"/>
      <c r="G679" s="7"/>
      <c r="H679" s="7"/>
      <c r="I679" s="7"/>
      <c r="J679" s="8"/>
      <c r="K679" s="9"/>
    </row>
    <row r="680">
      <c r="A680" s="6"/>
      <c r="B680" s="7"/>
      <c r="C680" s="7"/>
      <c r="D680" s="7"/>
      <c r="E680" s="7"/>
      <c r="F680" s="7"/>
      <c r="G680" s="7"/>
      <c r="H680" s="7"/>
      <c r="I680" s="7"/>
      <c r="J680" s="8"/>
      <c r="K680" s="9"/>
    </row>
    <row r="681">
      <c r="A681" s="6"/>
      <c r="B681" s="7"/>
      <c r="C681" s="7"/>
      <c r="D681" s="7"/>
      <c r="E681" s="7"/>
      <c r="F681" s="7"/>
      <c r="G681" s="7"/>
      <c r="H681" s="7"/>
      <c r="I681" s="7"/>
      <c r="J681" s="8"/>
      <c r="K681" s="9"/>
    </row>
    <row r="682">
      <c r="A682" s="6"/>
      <c r="B682" s="7"/>
      <c r="C682" s="7"/>
      <c r="D682" s="7"/>
      <c r="E682" s="7"/>
      <c r="F682" s="7"/>
      <c r="G682" s="7"/>
      <c r="H682" s="7"/>
      <c r="I682" s="7"/>
      <c r="J682" s="8"/>
      <c r="K682" s="9"/>
    </row>
    <row r="683">
      <c r="A683" s="6"/>
      <c r="B683" s="7"/>
      <c r="C683" s="7"/>
      <c r="D683" s="7"/>
      <c r="E683" s="7"/>
      <c r="F683" s="7"/>
      <c r="G683" s="7"/>
      <c r="H683" s="7"/>
      <c r="I683" s="7"/>
      <c r="J683" s="8"/>
      <c r="K683" s="9"/>
    </row>
    <row r="684">
      <c r="A684" s="6"/>
      <c r="B684" s="7"/>
      <c r="C684" s="7"/>
      <c r="D684" s="7"/>
      <c r="E684" s="7"/>
      <c r="F684" s="7"/>
      <c r="G684" s="7"/>
      <c r="H684" s="7"/>
      <c r="I684" s="7"/>
      <c r="J684" s="8"/>
      <c r="K684" s="9"/>
    </row>
    <row r="685">
      <c r="A685" s="6"/>
      <c r="B685" s="7"/>
      <c r="C685" s="7"/>
      <c r="D685" s="7"/>
      <c r="E685" s="7"/>
      <c r="F685" s="7"/>
      <c r="G685" s="7"/>
      <c r="H685" s="7"/>
      <c r="I685" s="7"/>
      <c r="J685" s="8"/>
      <c r="K685" s="9"/>
    </row>
    <row r="686">
      <c r="A686" s="6"/>
      <c r="B686" s="7"/>
      <c r="C686" s="7"/>
      <c r="D686" s="7"/>
      <c r="E686" s="7"/>
      <c r="F686" s="7"/>
      <c r="G686" s="7"/>
      <c r="H686" s="7"/>
      <c r="I686" s="7"/>
      <c r="J686" s="8"/>
      <c r="K686" s="9"/>
    </row>
    <row r="687">
      <c r="A687" s="6"/>
      <c r="B687" s="7"/>
      <c r="C687" s="7"/>
      <c r="D687" s="7"/>
      <c r="E687" s="7"/>
      <c r="F687" s="7"/>
      <c r="G687" s="7"/>
      <c r="H687" s="7"/>
      <c r="I687" s="7"/>
      <c r="J687" s="8"/>
      <c r="K687" s="9"/>
    </row>
    <row r="688">
      <c r="A688" s="6"/>
      <c r="B688" s="7"/>
      <c r="C688" s="7"/>
      <c r="D688" s="7"/>
      <c r="E688" s="7"/>
      <c r="F688" s="7"/>
      <c r="G688" s="7"/>
      <c r="H688" s="7"/>
      <c r="I688" s="7"/>
      <c r="J688" s="8"/>
      <c r="K688" s="9"/>
    </row>
    <row r="689">
      <c r="A689" s="6"/>
      <c r="B689" s="7"/>
      <c r="C689" s="7"/>
      <c r="D689" s="7"/>
      <c r="E689" s="7"/>
      <c r="F689" s="7"/>
      <c r="G689" s="7"/>
      <c r="H689" s="7"/>
      <c r="I689" s="7"/>
      <c r="J689" s="8"/>
      <c r="K689" s="9"/>
    </row>
    <row r="690">
      <c r="A690" s="6"/>
      <c r="B690" s="7"/>
      <c r="C690" s="7"/>
      <c r="D690" s="7"/>
      <c r="E690" s="7"/>
      <c r="F690" s="7"/>
      <c r="G690" s="7"/>
      <c r="H690" s="7"/>
      <c r="I690" s="7"/>
      <c r="J690" s="8"/>
      <c r="K690" s="9"/>
    </row>
    <row r="691">
      <c r="A691" s="6"/>
      <c r="B691" s="7"/>
      <c r="C691" s="7"/>
      <c r="D691" s="7"/>
      <c r="E691" s="7"/>
      <c r="F691" s="7"/>
      <c r="G691" s="7"/>
      <c r="H691" s="7"/>
      <c r="I691" s="7"/>
      <c r="J691" s="8"/>
      <c r="K691" s="9"/>
    </row>
    <row r="692">
      <c r="A692" s="6"/>
      <c r="B692" s="7"/>
      <c r="C692" s="7"/>
      <c r="D692" s="7"/>
      <c r="E692" s="7"/>
      <c r="F692" s="7"/>
      <c r="G692" s="7"/>
      <c r="H692" s="7"/>
      <c r="I692" s="7"/>
      <c r="J692" s="8"/>
      <c r="K692" s="9"/>
    </row>
    <row r="693">
      <c r="A693" s="6"/>
      <c r="B693" s="7"/>
      <c r="C693" s="7"/>
      <c r="D693" s="7"/>
      <c r="E693" s="7"/>
      <c r="F693" s="7"/>
      <c r="G693" s="7"/>
      <c r="H693" s="7"/>
      <c r="I693" s="7"/>
      <c r="J693" s="8"/>
      <c r="K693" s="9"/>
    </row>
    <row r="694">
      <c r="A694" s="6"/>
      <c r="B694" s="7"/>
      <c r="C694" s="7"/>
      <c r="D694" s="7"/>
      <c r="E694" s="7"/>
      <c r="F694" s="7"/>
      <c r="G694" s="7"/>
      <c r="H694" s="7"/>
      <c r="I694" s="7"/>
      <c r="J694" s="8"/>
      <c r="K694" s="9"/>
    </row>
    <row r="695">
      <c r="A695" s="6"/>
      <c r="B695" s="7"/>
      <c r="C695" s="7"/>
      <c r="D695" s="7"/>
      <c r="E695" s="7"/>
      <c r="F695" s="7"/>
      <c r="G695" s="7"/>
      <c r="H695" s="7"/>
      <c r="I695" s="7"/>
      <c r="J695" s="8"/>
      <c r="K695" s="9"/>
    </row>
    <row r="696">
      <c r="A696" s="6"/>
      <c r="B696" s="7"/>
      <c r="C696" s="7"/>
      <c r="D696" s="7"/>
      <c r="E696" s="7"/>
      <c r="F696" s="7"/>
      <c r="G696" s="7"/>
      <c r="H696" s="7"/>
      <c r="I696" s="7"/>
      <c r="J696" s="8"/>
      <c r="K696" s="9"/>
    </row>
    <row r="697">
      <c r="A697" s="6"/>
      <c r="B697" s="7"/>
      <c r="C697" s="7"/>
      <c r="D697" s="7"/>
      <c r="E697" s="7"/>
      <c r="F697" s="7"/>
      <c r="G697" s="7"/>
      <c r="H697" s="7"/>
      <c r="I697" s="7"/>
      <c r="J697" s="8"/>
      <c r="K697" s="9"/>
    </row>
    <row r="698">
      <c r="A698" s="6"/>
      <c r="B698" s="7"/>
      <c r="C698" s="7"/>
      <c r="D698" s="7"/>
      <c r="E698" s="7"/>
      <c r="F698" s="7"/>
      <c r="G698" s="7"/>
      <c r="H698" s="7"/>
      <c r="I698" s="7"/>
      <c r="J698" s="8"/>
      <c r="K698" s="9"/>
    </row>
    <row r="699">
      <c r="A699" s="6"/>
      <c r="B699" s="7"/>
      <c r="C699" s="7"/>
      <c r="D699" s="7"/>
      <c r="E699" s="7"/>
      <c r="F699" s="7"/>
      <c r="G699" s="7"/>
      <c r="H699" s="7"/>
      <c r="I699" s="7"/>
      <c r="J699" s="8"/>
      <c r="K699" s="9"/>
    </row>
    <row r="700">
      <c r="A700" s="6"/>
      <c r="B700" s="7"/>
      <c r="C700" s="7"/>
      <c r="D700" s="7"/>
      <c r="E700" s="7"/>
      <c r="F700" s="7"/>
      <c r="G700" s="7"/>
      <c r="H700" s="7"/>
      <c r="I700" s="7"/>
      <c r="J700" s="8"/>
      <c r="K700" s="9"/>
    </row>
    <row r="701">
      <c r="A701" s="6"/>
      <c r="B701" s="7"/>
      <c r="C701" s="7"/>
      <c r="D701" s="7"/>
      <c r="E701" s="7"/>
      <c r="F701" s="7"/>
      <c r="G701" s="7"/>
      <c r="H701" s="7"/>
      <c r="I701" s="7"/>
      <c r="J701" s="8"/>
      <c r="K701" s="9"/>
    </row>
    <row r="702">
      <c r="A702" s="6"/>
      <c r="B702" s="7"/>
      <c r="C702" s="7"/>
      <c r="D702" s="7"/>
      <c r="E702" s="7"/>
      <c r="F702" s="7"/>
      <c r="G702" s="7"/>
      <c r="H702" s="7"/>
      <c r="I702" s="7"/>
      <c r="J702" s="8"/>
      <c r="K702" s="9"/>
    </row>
    <row r="703">
      <c r="A703" s="6"/>
      <c r="B703" s="7"/>
      <c r="C703" s="7"/>
      <c r="D703" s="7"/>
      <c r="E703" s="7"/>
      <c r="F703" s="7"/>
      <c r="G703" s="7"/>
      <c r="H703" s="7"/>
      <c r="I703" s="7"/>
      <c r="J703" s="8"/>
      <c r="K703" s="9"/>
    </row>
    <row r="704">
      <c r="A704" s="6"/>
      <c r="B704" s="7"/>
      <c r="C704" s="7"/>
      <c r="D704" s="7"/>
      <c r="E704" s="7"/>
      <c r="F704" s="7"/>
      <c r="G704" s="7"/>
      <c r="H704" s="7"/>
      <c r="I704" s="7"/>
      <c r="J704" s="8"/>
      <c r="K704" s="9"/>
    </row>
    <row r="705">
      <c r="A705" s="6"/>
      <c r="B705" s="7"/>
      <c r="C705" s="7"/>
      <c r="D705" s="7"/>
      <c r="E705" s="7"/>
      <c r="F705" s="7"/>
      <c r="G705" s="7"/>
      <c r="H705" s="7"/>
      <c r="I705" s="7"/>
      <c r="J705" s="8"/>
      <c r="K705" s="9"/>
    </row>
    <row r="706">
      <c r="A706" s="6"/>
      <c r="B706" s="7"/>
      <c r="C706" s="7"/>
      <c r="D706" s="7"/>
      <c r="E706" s="7"/>
      <c r="F706" s="7"/>
      <c r="G706" s="7"/>
      <c r="H706" s="7"/>
      <c r="I706" s="7"/>
      <c r="J706" s="8"/>
      <c r="K706" s="9"/>
    </row>
    <row r="707">
      <c r="A707" s="6"/>
      <c r="B707" s="7"/>
      <c r="C707" s="7"/>
      <c r="D707" s="7"/>
      <c r="E707" s="7"/>
      <c r="F707" s="7"/>
      <c r="G707" s="7"/>
      <c r="H707" s="7"/>
      <c r="I707" s="7"/>
      <c r="J707" s="8"/>
      <c r="K707" s="9"/>
    </row>
    <row r="708">
      <c r="A708" s="6"/>
      <c r="B708" s="7"/>
      <c r="C708" s="7"/>
      <c r="D708" s="7"/>
      <c r="E708" s="7"/>
      <c r="F708" s="7"/>
      <c r="G708" s="7"/>
      <c r="H708" s="7"/>
      <c r="I708" s="7"/>
      <c r="J708" s="8"/>
      <c r="K708" s="9"/>
    </row>
    <row r="709">
      <c r="A709" s="6"/>
      <c r="B709" s="7"/>
      <c r="C709" s="7"/>
      <c r="D709" s="7"/>
      <c r="E709" s="7"/>
      <c r="F709" s="7"/>
      <c r="G709" s="7"/>
      <c r="H709" s="7"/>
      <c r="I709" s="7"/>
      <c r="J709" s="8"/>
      <c r="K709" s="9"/>
    </row>
    <row r="710">
      <c r="A710" s="6"/>
      <c r="B710" s="7"/>
      <c r="C710" s="7"/>
      <c r="D710" s="7"/>
      <c r="E710" s="7"/>
      <c r="F710" s="7"/>
      <c r="G710" s="7"/>
      <c r="H710" s="7"/>
      <c r="I710" s="7"/>
      <c r="J710" s="8"/>
      <c r="K710" s="9"/>
    </row>
    <row r="711">
      <c r="A711" s="6"/>
      <c r="B711" s="7"/>
      <c r="C711" s="7"/>
      <c r="D711" s="7"/>
      <c r="E711" s="7"/>
      <c r="F711" s="7"/>
      <c r="G711" s="7"/>
      <c r="H711" s="7"/>
      <c r="I711" s="7"/>
      <c r="J711" s="8"/>
      <c r="K711" s="9"/>
    </row>
    <row r="712">
      <c r="A712" s="6"/>
      <c r="B712" s="7"/>
      <c r="C712" s="7"/>
      <c r="D712" s="7"/>
      <c r="E712" s="7"/>
      <c r="F712" s="7"/>
      <c r="G712" s="7"/>
      <c r="H712" s="7"/>
      <c r="I712" s="7"/>
      <c r="J712" s="8"/>
      <c r="K712" s="9"/>
    </row>
    <row r="713">
      <c r="A713" s="6"/>
      <c r="B713" s="7"/>
      <c r="C713" s="7"/>
      <c r="D713" s="7"/>
      <c r="E713" s="7"/>
      <c r="F713" s="7"/>
      <c r="G713" s="7"/>
      <c r="H713" s="7"/>
      <c r="I713" s="7"/>
      <c r="J713" s="8"/>
      <c r="K713" s="9"/>
    </row>
    <row r="714">
      <c r="A714" s="6"/>
      <c r="B714" s="7"/>
      <c r="C714" s="7"/>
      <c r="D714" s="7"/>
      <c r="E714" s="7"/>
      <c r="F714" s="7"/>
      <c r="G714" s="7"/>
      <c r="H714" s="7"/>
      <c r="I714" s="7"/>
      <c r="J714" s="8"/>
      <c r="K714" s="9"/>
    </row>
    <row r="715">
      <c r="A715" s="6"/>
      <c r="B715" s="7"/>
      <c r="C715" s="7"/>
      <c r="D715" s="7"/>
      <c r="E715" s="7"/>
      <c r="F715" s="7"/>
      <c r="G715" s="7"/>
      <c r="H715" s="7"/>
      <c r="I715" s="7"/>
      <c r="J715" s="8"/>
      <c r="K715" s="9"/>
    </row>
    <row r="716">
      <c r="A716" s="6"/>
      <c r="B716" s="7"/>
      <c r="C716" s="7"/>
      <c r="D716" s="7"/>
      <c r="E716" s="7"/>
      <c r="F716" s="7"/>
      <c r="G716" s="7"/>
      <c r="H716" s="7"/>
      <c r="I716" s="7"/>
      <c r="J716" s="8"/>
      <c r="K716" s="9"/>
    </row>
    <row r="717">
      <c r="A717" s="6"/>
      <c r="B717" s="7"/>
      <c r="C717" s="7"/>
      <c r="D717" s="7"/>
      <c r="E717" s="7"/>
      <c r="F717" s="7"/>
      <c r="G717" s="7"/>
      <c r="H717" s="7"/>
      <c r="I717" s="7"/>
      <c r="J717" s="8"/>
      <c r="K717" s="9"/>
    </row>
    <row r="718">
      <c r="A718" s="6"/>
      <c r="B718" s="7"/>
      <c r="C718" s="7"/>
      <c r="D718" s="7"/>
      <c r="E718" s="7"/>
      <c r="F718" s="7"/>
      <c r="G718" s="7"/>
      <c r="H718" s="7"/>
      <c r="I718" s="7"/>
      <c r="J718" s="8"/>
      <c r="K718" s="9"/>
    </row>
    <row r="719">
      <c r="A719" s="6"/>
      <c r="B719" s="7"/>
      <c r="C719" s="7"/>
      <c r="D719" s="7"/>
      <c r="E719" s="7"/>
      <c r="F719" s="7"/>
      <c r="G719" s="7"/>
      <c r="H719" s="7"/>
      <c r="I719" s="7"/>
      <c r="J719" s="8"/>
      <c r="K719" s="9"/>
    </row>
    <row r="720">
      <c r="A720" s="6"/>
      <c r="B720" s="7"/>
      <c r="C720" s="7"/>
      <c r="D720" s="7"/>
      <c r="E720" s="7"/>
      <c r="F720" s="7"/>
      <c r="G720" s="7"/>
      <c r="H720" s="7"/>
      <c r="I720" s="7"/>
      <c r="J720" s="8"/>
      <c r="K720" s="9"/>
    </row>
    <row r="721">
      <c r="A721" s="6"/>
      <c r="B721" s="7"/>
      <c r="C721" s="7"/>
      <c r="D721" s="7"/>
      <c r="E721" s="7"/>
      <c r="F721" s="7"/>
      <c r="G721" s="7"/>
      <c r="H721" s="7"/>
      <c r="I721" s="7"/>
      <c r="J721" s="8"/>
      <c r="K721" s="9"/>
    </row>
    <row r="722">
      <c r="A722" s="6"/>
      <c r="B722" s="7"/>
      <c r="C722" s="7"/>
      <c r="D722" s="7"/>
      <c r="E722" s="7"/>
      <c r="F722" s="7"/>
      <c r="G722" s="7"/>
      <c r="H722" s="7"/>
      <c r="I722" s="7"/>
      <c r="J722" s="8"/>
      <c r="K722" s="9"/>
    </row>
    <row r="723">
      <c r="A723" s="6"/>
      <c r="B723" s="7"/>
      <c r="C723" s="7"/>
      <c r="D723" s="7"/>
      <c r="E723" s="7"/>
      <c r="F723" s="7"/>
      <c r="G723" s="7"/>
      <c r="H723" s="7"/>
      <c r="I723" s="7"/>
      <c r="J723" s="8"/>
      <c r="K723" s="9"/>
    </row>
    <row r="724">
      <c r="A724" s="6"/>
      <c r="B724" s="7"/>
      <c r="C724" s="7"/>
      <c r="D724" s="7"/>
      <c r="E724" s="7"/>
      <c r="F724" s="7"/>
      <c r="G724" s="7"/>
      <c r="H724" s="7"/>
      <c r="I724" s="7"/>
      <c r="J724" s="8"/>
      <c r="K724" s="9"/>
    </row>
    <row r="725">
      <c r="A725" s="6"/>
      <c r="B725" s="7"/>
      <c r="C725" s="7"/>
      <c r="D725" s="7"/>
      <c r="E725" s="7"/>
      <c r="F725" s="7"/>
      <c r="G725" s="7"/>
      <c r="H725" s="7"/>
      <c r="I725" s="7"/>
      <c r="J725" s="8"/>
      <c r="K725" s="9"/>
    </row>
    <row r="726">
      <c r="A726" s="6"/>
      <c r="B726" s="7"/>
      <c r="C726" s="7"/>
      <c r="D726" s="7"/>
      <c r="E726" s="7"/>
      <c r="F726" s="7"/>
      <c r="G726" s="7"/>
      <c r="H726" s="7"/>
      <c r="I726" s="7"/>
      <c r="J726" s="8"/>
      <c r="K726" s="9"/>
    </row>
    <row r="727">
      <c r="A727" s="6"/>
      <c r="B727" s="7"/>
      <c r="C727" s="7"/>
      <c r="D727" s="7"/>
      <c r="E727" s="7"/>
      <c r="F727" s="7"/>
      <c r="G727" s="7"/>
      <c r="H727" s="7"/>
      <c r="I727" s="7"/>
      <c r="J727" s="8"/>
      <c r="K727" s="9"/>
    </row>
    <row r="728">
      <c r="A728" s="6"/>
      <c r="B728" s="7"/>
      <c r="C728" s="7"/>
      <c r="D728" s="7"/>
      <c r="E728" s="7"/>
      <c r="F728" s="7"/>
      <c r="G728" s="7"/>
      <c r="H728" s="7"/>
      <c r="I728" s="7"/>
      <c r="J728" s="8"/>
      <c r="K728" s="9"/>
    </row>
    <row r="729">
      <c r="A729" s="6"/>
      <c r="B729" s="7"/>
      <c r="C729" s="7"/>
      <c r="D729" s="7"/>
      <c r="E729" s="7"/>
      <c r="F729" s="7"/>
      <c r="G729" s="7"/>
      <c r="H729" s="7"/>
      <c r="I729" s="7"/>
      <c r="J729" s="8"/>
      <c r="K729" s="9"/>
    </row>
    <row r="730">
      <c r="A730" s="6"/>
      <c r="B730" s="7"/>
      <c r="C730" s="7"/>
      <c r="D730" s="7"/>
      <c r="E730" s="7"/>
      <c r="F730" s="7"/>
      <c r="G730" s="7"/>
      <c r="H730" s="7"/>
      <c r="I730" s="7"/>
      <c r="J730" s="8"/>
      <c r="K730" s="9"/>
    </row>
    <row r="731">
      <c r="A731" s="6"/>
      <c r="B731" s="7"/>
      <c r="C731" s="7"/>
      <c r="D731" s="7"/>
      <c r="E731" s="7"/>
      <c r="F731" s="7"/>
      <c r="G731" s="7"/>
      <c r="H731" s="7"/>
      <c r="I731" s="7"/>
      <c r="J731" s="8"/>
      <c r="K731" s="9"/>
    </row>
    <row r="732">
      <c r="A732" s="6"/>
      <c r="B732" s="7"/>
      <c r="C732" s="7"/>
      <c r="D732" s="7"/>
      <c r="E732" s="7"/>
      <c r="F732" s="7"/>
      <c r="G732" s="7"/>
      <c r="H732" s="7"/>
      <c r="I732" s="7"/>
      <c r="J732" s="8"/>
      <c r="K732" s="9"/>
    </row>
    <row r="733">
      <c r="A733" s="6"/>
      <c r="B733" s="7"/>
      <c r="C733" s="7"/>
      <c r="D733" s="7"/>
      <c r="E733" s="7"/>
      <c r="F733" s="7"/>
      <c r="G733" s="7"/>
      <c r="H733" s="7"/>
      <c r="I733" s="7"/>
      <c r="J733" s="8"/>
      <c r="K733" s="9"/>
    </row>
    <row r="734">
      <c r="A734" s="6"/>
      <c r="B734" s="7"/>
      <c r="C734" s="7"/>
      <c r="D734" s="7"/>
      <c r="E734" s="7"/>
      <c r="F734" s="7"/>
      <c r="G734" s="7"/>
      <c r="H734" s="7"/>
      <c r="I734" s="7"/>
      <c r="J734" s="8"/>
      <c r="K734" s="9"/>
    </row>
    <row r="735">
      <c r="A735" s="6"/>
      <c r="B735" s="7"/>
      <c r="C735" s="7"/>
      <c r="D735" s="7"/>
      <c r="E735" s="7"/>
      <c r="F735" s="7"/>
      <c r="G735" s="7"/>
      <c r="H735" s="7"/>
      <c r="I735" s="7"/>
      <c r="J735" s="8"/>
      <c r="K735" s="9"/>
    </row>
    <row r="736">
      <c r="A736" s="6"/>
      <c r="B736" s="7"/>
      <c r="C736" s="7"/>
      <c r="D736" s="7"/>
      <c r="E736" s="7"/>
      <c r="F736" s="7"/>
      <c r="G736" s="7"/>
      <c r="H736" s="7"/>
      <c r="I736" s="7"/>
      <c r="J736" s="8"/>
      <c r="K736" s="9"/>
    </row>
    <row r="737">
      <c r="A737" s="6"/>
      <c r="B737" s="7"/>
      <c r="C737" s="7"/>
      <c r="D737" s="7"/>
      <c r="E737" s="7"/>
      <c r="F737" s="7"/>
      <c r="G737" s="7"/>
      <c r="H737" s="7"/>
      <c r="I737" s="7"/>
      <c r="J737" s="8"/>
      <c r="K737" s="9"/>
    </row>
    <row r="738">
      <c r="A738" s="6"/>
      <c r="B738" s="7"/>
      <c r="C738" s="7"/>
      <c r="D738" s="7"/>
      <c r="E738" s="7"/>
      <c r="F738" s="7"/>
      <c r="G738" s="7"/>
      <c r="H738" s="7"/>
      <c r="I738" s="7"/>
      <c r="J738" s="8"/>
      <c r="K738" s="9"/>
    </row>
    <row r="739">
      <c r="A739" s="6"/>
      <c r="B739" s="7"/>
      <c r="C739" s="7"/>
      <c r="D739" s="7"/>
      <c r="E739" s="7"/>
      <c r="F739" s="7"/>
      <c r="G739" s="7"/>
      <c r="H739" s="7"/>
      <c r="I739" s="7"/>
      <c r="J739" s="8"/>
      <c r="K739" s="9"/>
    </row>
    <row r="740">
      <c r="A740" s="6"/>
      <c r="B740" s="7"/>
      <c r="C740" s="7"/>
      <c r="D740" s="7"/>
      <c r="E740" s="7"/>
      <c r="F740" s="7"/>
      <c r="G740" s="7"/>
      <c r="H740" s="7"/>
      <c r="I740" s="7"/>
      <c r="J740" s="8"/>
      <c r="K740" s="9"/>
    </row>
    <row r="741">
      <c r="A741" s="6"/>
      <c r="B741" s="7"/>
      <c r="C741" s="7"/>
      <c r="D741" s="7"/>
      <c r="E741" s="7"/>
      <c r="F741" s="7"/>
      <c r="G741" s="7"/>
      <c r="H741" s="7"/>
      <c r="I741" s="7"/>
      <c r="J741" s="8"/>
      <c r="K741" s="9"/>
    </row>
    <row r="742">
      <c r="A742" s="6"/>
      <c r="B742" s="7"/>
      <c r="C742" s="7"/>
      <c r="D742" s="7"/>
      <c r="E742" s="7"/>
      <c r="F742" s="7"/>
      <c r="G742" s="7"/>
      <c r="H742" s="7"/>
      <c r="I742" s="7"/>
      <c r="J742" s="8"/>
      <c r="K742" s="9"/>
    </row>
    <row r="743">
      <c r="A743" s="6"/>
      <c r="B743" s="7"/>
      <c r="C743" s="7"/>
      <c r="D743" s="7"/>
      <c r="E743" s="7"/>
      <c r="F743" s="7"/>
      <c r="G743" s="7"/>
      <c r="H743" s="7"/>
      <c r="I743" s="7"/>
      <c r="J743" s="8"/>
      <c r="K743" s="9"/>
    </row>
    <row r="744">
      <c r="A744" s="6"/>
      <c r="B744" s="7"/>
      <c r="C744" s="7"/>
      <c r="D744" s="7"/>
      <c r="E744" s="7"/>
      <c r="F744" s="7"/>
      <c r="G744" s="7"/>
      <c r="H744" s="7"/>
      <c r="I744" s="7"/>
      <c r="J744" s="8"/>
      <c r="K744" s="9"/>
    </row>
    <row r="745">
      <c r="A745" s="6"/>
      <c r="B745" s="7"/>
      <c r="C745" s="7"/>
      <c r="D745" s="7"/>
      <c r="E745" s="7"/>
      <c r="F745" s="7"/>
      <c r="G745" s="7"/>
      <c r="H745" s="7"/>
      <c r="I745" s="7"/>
      <c r="J745" s="8"/>
      <c r="K745" s="9"/>
    </row>
    <row r="746">
      <c r="A746" s="6"/>
      <c r="B746" s="7"/>
      <c r="C746" s="7"/>
      <c r="D746" s="7"/>
      <c r="E746" s="7"/>
      <c r="F746" s="7"/>
      <c r="G746" s="7"/>
      <c r="H746" s="7"/>
      <c r="I746" s="7"/>
      <c r="J746" s="8"/>
      <c r="K746" s="9"/>
    </row>
    <row r="747">
      <c r="A747" s="6"/>
      <c r="B747" s="7"/>
      <c r="C747" s="7"/>
      <c r="D747" s="7"/>
      <c r="E747" s="7"/>
      <c r="F747" s="7"/>
      <c r="G747" s="7"/>
      <c r="H747" s="7"/>
      <c r="I747" s="7"/>
      <c r="J747" s="8"/>
      <c r="K747" s="9"/>
    </row>
    <row r="748">
      <c r="A748" s="6"/>
      <c r="B748" s="7"/>
      <c r="C748" s="7"/>
      <c r="D748" s="7"/>
      <c r="E748" s="7"/>
      <c r="F748" s="7"/>
      <c r="G748" s="7"/>
      <c r="H748" s="7"/>
      <c r="I748" s="7"/>
      <c r="J748" s="8"/>
      <c r="K748" s="9"/>
    </row>
    <row r="749">
      <c r="A749" s="6"/>
      <c r="B749" s="7"/>
      <c r="C749" s="7"/>
      <c r="D749" s="7"/>
      <c r="E749" s="7"/>
      <c r="F749" s="7"/>
      <c r="G749" s="7"/>
      <c r="H749" s="7"/>
      <c r="I749" s="7"/>
      <c r="J749" s="8"/>
      <c r="K749" s="9"/>
    </row>
    <row r="750">
      <c r="A750" s="6"/>
      <c r="B750" s="7"/>
      <c r="C750" s="7"/>
      <c r="D750" s="7"/>
      <c r="E750" s="7"/>
      <c r="F750" s="7"/>
      <c r="G750" s="7"/>
      <c r="H750" s="7"/>
      <c r="I750" s="7"/>
      <c r="J750" s="8"/>
      <c r="K750" s="9"/>
    </row>
    <row r="751">
      <c r="A751" s="6"/>
      <c r="B751" s="7"/>
      <c r="C751" s="7"/>
      <c r="D751" s="7"/>
      <c r="E751" s="7"/>
      <c r="F751" s="7"/>
      <c r="G751" s="7"/>
      <c r="H751" s="7"/>
      <c r="I751" s="7"/>
      <c r="J751" s="8"/>
      <c r="K751" s="9"/>
    </row>
    <row r="752">
      <c r="A752" s="6"/>
      <c r="B752" s="7"/>
      <c r="C752" s="7"/>
      <c r="D752" s="7"/>
      <c r="E752" s="7"/>
      <c r="F752" s="7"/>
      <c r="G752" s="7"/>
      <c r="H752" s="7"/>
      <c r="I752" s="7"/>
      <c r="J752" s="8"/>
      <c r="K752" s="9"/>
    </row>
    <row r="753">
      <c r="A753" s="6"/>
      <c r="B753" s="7"/>
      <c r="C753" s="7"/>
      <c r="D753" s="7"/>
      <c r="E753" s="7"/>
      <c r="F753" s="7"/>
      <c r="G753" s="7"/>
      <c r="H753" s="7"/>
      <c r="I753" s="7"/>
      <c r="J753" s="8"/>
      <c r="K753" s="9"/>
    </row>
    <row r="754">
      <c r="A754" s="6"/>
      <c r="B754" s="7"/>
      <c r="C754" s="7"/>
      <c r="D754" s="7"/>
      <c r="E754" s="7"/>
      <c r="F754" s="7"/>
      <c r="G754" s="7"/>
      <c r="H754" s="7"/>
      <c r="I754" s="7"/>
      <c r="J754" s="8"/>
      <c r="K754" s="9"/>
    </row>
    <row r="755">
      <c r="A755" s="6"/>
      <c r="B755" s="7"/>
      <c r="C755" s="7"/>
      <c r="D755" s="7"/>
      <c r="E755" s="7"/>
      <c r="F755" s="7"/>
      <c r="G755" s="7"/>
      <c r="H755" s="7"/>
      <c r="I755" s="7"/>
      <c r="J755" s="8"/>
      <c r="K755" s="9"/>
    </row>
    <row r="756">
      <c r="A756" s="6"/>
      <c r="B756" s="7"/>
      <c r="C756" s="7"/>
      <c r="D756" s="7"/>
      <c r="E756" s="7"/>
      <c r="F756" s="7"/>
      <c r="G756" s="7"/>
      <c r="H756" s="7"/>
      <c r="I756" s="7"/>
      <c r="J756" s="8"/>
      <c r="K756" s="9"/>
    </row>
    <row r="757">
      <c r="A757" s="6"/>
      <c r="B757" s="7"/>
      <c r="C757" s="7"/>
      <c r="D757" s="7"/>
      <c r="E757" s="7"/>
      <c r="F757" s="7"/>
      <c r="G757" s="7"/>
      <c r="H757" s="7"/>
      <c r="I757" s="7"/>
      <c r="J757" s="8"/>
      <c r="K757" s="9"/>
    </row>
    <row r="758">
      <c r="A758" s="6"/>
      <c r="B758" s="7"/>
      <c r="C758" s="7"/>
      <c r="D758" s="7"/>
      <c r="E758" s="7"/>
      <c r="F758" s="7"/>
      <c r="G758" s="7"/>
      <c r="H758" s="7"/>
      <c r="I758" s="7"/>
      <c r="J758" s="8"/>
      <c r="K758" s="9"/>
    </row>
    <row r="759">
      <c r="A759" s="6"/>
      <c r="B759" s="7"/>
      <c r="C759" s="7"/>
      <c r="D759" s="7"/>
      <c r="E759" s="7"/>
      <c r="F759" s="7"/>
      <c r="G759" s="7"/>
      <c r="H759" s="7"/>
      <c r="I759" s="7"/>
      <c r="J759" s="8"/>
      <c r="K759" s="9"/>
    </row>
    <row r="760">
      <c r="A760" s="6"/>
      <c r="B760" s="7"/>
      <c r="C760" s="7"/>
      <c r="D760" s="7"/>
      <c r="E760" s="7"/>
      <c r="F760" s="7"/>
      <c r="G760" s="7"/>
      <c r="H760" s="7"/>
      <c r="I760" s="7"/>
      <c r="J760" s="8"/>
      <c r="K760" s="9"/>
    </row>
    <row r="761">
      <c r="A761" s="6"/>
      <c r="B761" s="7"/>
      <c r="C761" s="7"/>
      <c r="D761" s="7"/>
      <c r="E761" s="7"/>
      <c r="F761" s="7"/>
      <c r="G761" s="7"/>
      <c r="H761" s="7"/>
      <c r="I761" s="7"/>
      <c r="J761" s="8"/>
      <c r="K761" s="9"/>
    </row>
    <row r="762">
      <c r="A762" s="6"/>
      <c r="B762" s="7"/>
      <c r="C762" s="7"/>
      <c r="D762" s="7"/>
      <c r="E762" s="7"/>
      <c r="F762" s="7"/>
      <c r="G762" s="7"/>
      <c r="H762" s="7"/>
      <c r="I762" s="7"/>
      <c r="J762" s="8"/>
      <c r="K762" s="9"/>
    </row>
    <row r="763">
      <c r="A763" s="6"/>
      <c r="B763" s="7"/>
      <c r="C763" s="7"/>
      <c r="D763" s="7"/>
      <c r="E763" s="7"/>
      <c r="F763" s="7"/>
      <c r="G763" s="7"/>
      <c r="H763" s="7"/>
      <c r="I763" s="7"/>
      <c r="J763" s="8"/>
      <c r="K763" s="9"/>
    </row>
    <row r="764">
      <c r="A764" s="6"/>
      <c r="B764" s="7"/>
      <c r="C764" s="7"/>
      <c r="D764" s="7"/>
      <c r="E764" s="7"/>
      <c r="F764" s="7"/>
      <c r="G764" s="7"/>
      <c r="H764" s="7"/>
      <c r="I764" s="7"/>
      <c r="J764" s="8"/>
      <c r="K764" s="9"/>
    </row>
    <row r="765">
      <c r="A765" s="6"/>
      <c r="B765" s="7"/>
      <c r="C765" s="7"/>
      <c r="D765" s="7"/>
      <c r="E765" s="7"/>
      <c r="F765" s="7"/>
      <c r="G765" s="7"/>
      <c r="H765" s="7"/>
      <c r="I765" s="7"/>
      <c r="J765" s="8"/>
      <c r="K765" s="9"/>
    </row>
    <row r="766">
      <c r="A766" s="6"/>
      <c r="B766" s="7"/>
      <c r="C766" s="7"/>
      <c r="D766" s="7"/>
      <c r="E766" s="7"/>
      <c r="F766" s="7"/>
      <c r="G766" s="7"/>
      <c r="H766" s="7"/>
      <c r="I766" s="7"/>
      <c r="J766" s="8"/>
      <c r="K766" s="9"/>
    </row>
    <row r="767">
      <c r="A767" s="6"/>
      <c r="B767" s="7"/>
      <c r="C767" s="7"/>
      <c r="D767" s="7"/>
      <c r="E767" s="7"/>
      <c r="F767" s="7"/>
      <c r="G767" s="7"/>
      <c r="H767" s="7"/>
      <c r="I767" s="7"/>
      <c r="J767" s="8"/>
      <c r="K767" s="9"/>
    </row>
    <row r="768">
      <c r="A768" s="6"/>
      <c r="B768" s="7"/>
      <c r="C768" s="7"/>
      <c r="D768" s="7"/>
      <c r="E768" s="7"/>
      <c r="F768" s="7"/>
      <c r="G768" s="7"/>
      <c r="H768" s="7"/>
      <c r="I768" s="7"/>
      <c r="J768" s="8"/>
      <c r="K768" s="9"/>
    </row>
    <row r="769">
      <c r="A769" s="6"/>
      <c r="B769" s="7"/>
      <c r="C769" s="7"/>
      <c r="D769" s="7"/>
      <c r="E769" s="7"/>
      <c r="F769" s="7"/>
      <c r="G769" s="7"/>
      <c r="H769" s="7"/>
      <c r="I769" s="7"/>
      <c r="J769" s="8"/>
      <c r="K769" s="9"/>
    </row>
    <row r="770">
      <c r="A770" s="6"/>
      <c r="B770" s="7"/>
      <c r="C770" s="7"/>
      <c r="D770" s="7"/>
      <c r="E770" s="7"/>
      <c r="F770" s="7"/>
      <c r="G770" s="7"/>
      <c r="H770" s="7"/>
      <c r="I770" s="7"/>
      <c r="J770" s="8"/>
      <c r="K770" s="9"/>
    </row>
    <row r="771">
      <c r="A771" s="6"/>
      <c r="B771" s="7"/>
      <c r="C771" s="7"/>
      <c r="D771" s="7"/>
      <c r="E771" s="7"/>
      <c r="F771" s="7"/>
      <c r="G771" s="7"/>
      <c r="H771" s="7"/>
      <c r="I771" s="7"/>
      <c r="J771" s="8"/>
      <c r="K771" s="9"/>
    </row>
    <row r="772">
      <c r="A772" s="6"/>
      <c r="B772" s="7"/>
      <c r="C772" s="7"/>
      <c r="D772" s="7"/>
      <c r="E772" s="7"/>
      <c r="F772" s="7"/>
      <c r="G772" s="7"/>
      <c r="H772" s="7"/>
      <c r="I772" s="7"/>
      <c r="J772" s="8"/>
      <c r="K772" s="9"/>
    </row>
    <row r="773">
      <c r="A773" s="6"/>
      <c r="B773" s="7"/>
      <c r="C773" s="7"/>
      <c r="D773" s="7"/>
      <c r="E773" s="7"/>
      <c r="F773" s="7"/>
      <c r="G773" s="7"/>
      <c r="H773" s="7"/>
      <c r="I773" s="7"/>
      <c r="J773" s="8"/>
      <c r="K773" s="9"/>
    </row>
    <row r="774">
      <c r="A774" s="6"/>
      <c r="B774" s="7"/>
      <c r="C774" s="7"/>
      <c r="D774" s="7"/>
      <c r="E774" s="7"/>
      <c r="F774" s="7"/>
      <c r="G774" s="7"/>
      <c r="H774" s="7"/>
      <c r="I774" s="7"/>
      <c r="J774" s="8"/>
      <c r="K774" s="9"/>
    </row>
    <row r="775">
      <c r="A775" s="6"/>
      <c r="B775" s="7"/>
      <c r="C775" s="7"/>
      <c r="D775" s="7"/>
      <c r="E775" s="7"/>
      <c r="F775" s="7"/>
      <c r="G775" s="7"/>
      <c r="H775" s="7"/>
      <c r="I775" s="7"/>
      <c r="J775" s="8"/>
      <c r="K775" s="9"/>
    </row>
    <row r="776">
      <c r="A776" s="6"/>
      <c r="B776" s="7"/>
      <c r="C776" s="7"/>
      <c r="D776" s="7"/>
      <c r="E776" s="7"/>
      <c r="F776" s="7"/>
      <c r="G776" s="7"/>
      <c r="H776" s="7"/>
      <c r="I776" s="7"/>
      <c r="J776" s="8"/>
      <c r="K776" s="9"/>
    </row>
    <row r="777">
      <c r="A777" s="6"/>
      <c r="B777" s="7"/>
      <c r="C777" s="7"/>
      <c r="D777" s="7"/>
      <c r="E777" s="7"/>
      <c r="F777" s="7"/>
      <c r="G777" s="7"/>
      <c r="H777" s="7"/>
      <c r="I777" s="7"/>
      <c r="J777" s="8"/>
      <c r="K777" s="9"/>
    </row>
    <row r="778">
      <c r="A778" s="6"/>
      <c r="B778" s="7"/>
      <c r="C778" s="7"/>
      <c r="D778" s="7"/>
      <c r="E778" s="7"/>
      <c r="F778" s="7"/>
      <c r="G778" s="7"/>
      <c r="H778" s="7"/>
      <c r="I778" s="7"/>
      <c r="J778" s="8"/>
      <c r="K778" s="9"/>
    </row>
    <row r="779">
      <c r="A779" s="6"/>
      <c r="B779" s="7"/>
      <c r="C779" s="7"/>
      <c r="D779" s="7"/>
      <c r="E779" s="7"/>
      <c r="F779" s="7"/>
      <c r="G779" s="7"/>
      <c r="H779" s="7"/>
      <c r="I779" s="7"/>
      <c r="J779" s="8"/>
      <c r="K779" s="9"/>
    </row>
    <row r="780">
      <c r="A780" s="6"/>
      <c r="B780" s="7"/>
      <c r="C780" s="7"/>
      <c r="D780" s="7"/>
      <c r="E780" s="7"/>
      <c r="F780" s="7"/>
      <c r="G780" s="7"/>
      <c r="H780" s="7"/>
      <c r="I780" s="7"/>
      <c r="J780" s="8"/>
      <c r="K780" s="9"/>
    </row>
    <row r="781">
      <c r="A781" s="6"/>
      <c r="B781" s="7"/>
      <c r="C781" s="7"/>
      <c r="D781" s="7"/>
      <c r="E781" s="7"/>
      <c r="F781" s="7"/>
      <c r="G781" s="7"/>
      <c r="H781" s="7"/>
      <c r="I781" s="7"/>
      <c r="J781" s="8"/>
      <c r="K781" s="9"/>
    </row>
    <row r="782">
      <c r="A782" s="6"/>
      <c r="B782" s="7"/>
      <c r="C782" s="7"/>
      <c r="D782" s="7"/>
      <c r="E782" s="7"/>
      <c r="F782" s="7"/>
      <c r="G782" s="7"/>
      <c r="H782" s="7"/>
      <c r="I782" s="7"/>
      <c r="J782" s="8"/>
      <c r="K782" s="9"/>
    </row>
    <row r="783">
      <c r="A783" s="6"/>
      <c r="B783" s="7"/>
      <c r="C783" s="7"/>
      <c r="D783" s="7"/>
      <c r="E783" s="7"/>
      <c r="F783" s="7"/>
      <c r="G783" s="7"/>
      <c r="H783" s="7"/>
      <c r="I783" s="7"/>
      <c r="J783" s="8"/>
      <c r="K783" s="9"/>
    </row>
    <row r="784">
      <c r="A784" s="6"/>
      <c r="B784" s="7"/>
      <c r="C784" s="7"/>
      <c r="D784" s="7"/>
      <c r="E784" s="7"/>
      <c r="F784" s="7"/>
      <c r="G784" s="7"/>
      <c r="H784" s="7"/>
      <c r="I784" s="7"/>
      <c r="J784" s="8"/>
      <c r="K784" s="9"/>
    </row>
    <row r="785">
      <c r="A785" s="6"/>
      <c r="B785" s="7"/>
      <c r="C785" s="7"/>
      <c r="D785" s="7"/>
      <c r="E785" s="7"/>
      <c r="F785" s="7"/>
      <c r="G785" s="7"/>
      <c r="H785" s="7"/>
      <c r="I785" s="7"/>
      <c r="J785" s="8"/>
      <c r="K785" s="9"/>
    </row>
    <row r="786">
      <c r="A786" s="6"/>
      <c r="B786" s="7"/>
      <c r="C786" s="7"/>
      <c r="D786" s="7"/>
      <c r="E786" s="7"/>
      <c r="F786" s="7"/>
      <c r="G786" s="7"/>
      <c r="H786" s="7"/>
      <c r="I786" s="7"/>
      <c r="J786" s="8"/>
      <c r="K786" s="9"/>
    </row>
    <row r="787">
      <c r="A787" s="6"/>
      <c r="B787" s="7"/>
      <c r="C787" s="7"/>
      <c r="D787" s="7"/>
      <c r="E787" s="7"/>
      <c r="F787" s="7"/>
      <c r="G787" s="7"/>
      <c r="H787" s="7"/>
      <c r="I787" s="7"/>
      <c r="J787" s="8"/>
      <c r="K787" s="9"/>
    </row>
    <row r="788">
      <c r="A788" s="6"/>
      <c r="B788" s="7"/>
      <c r="C788" s="7"/>
      <c r="D788" s="7"/>
      <c r="E788" s="7"/>
      <c r="F788" s="7"/>
      <c r="G788" s="7"/>
      <c r="H788" s="7"/>
      <c r="I788" s="7"/>
      <c r="J788" s="8"/>
      <c r="K788" s="9"/>
    </row>
    <row r="789">
      <c r="A789" s="6"/>
      <c r="B789" s="7"/>
      <c r="C789" s="7"/>
      <c r="D789" s="7"/>
      <c r="E789" s="7"/>
      <c r="F789" s="7"/>
      <c r="G789" s="7"/>
      <c r="H789" s="7"/>
      <c r="I789" s="7"/>
      <c r="J789" s="8"/>
      <c r="K789" s="9"/>
    </row>
    <row r="790">
      <c r="A790" s="6"/>
      <c r="B790" s="7"/>
      <c r="C790" s="7"/>
      <c r="D790" s="7"/>
      <c r="E790" s="7"/>
      <c r="F790" s="7"/>
      <c r="G790" s="7"/>
      <c r="H790" s="7"/>
      <c r="I790" s="7"/>
      <c r="J790" s="8"/>
      <c r="K790" s="9"/>
    </row>
    <row r="791">
      <c r="A791" s="6"/>
      <c r="B791" s="7"/>
      <c r="C791" s="7"/>
      <c r="D791" s="7"/>
      <c r="E791" s="7"/>
      <c r="F791" s="7"/>
      <c r="G791" s="7"/>
      <c r="H791" s="7"/>
      <c r="I791" s="7"/>
      <c r="J791" s="8"/>
      <c r="K791" s="9"/>
    </row>
    <row r="792">
      <c r="A792" s="6"/>
      <c r="B792" s="7"/>
      <c r="C792" s="7"/>
      <c r="D792" s="7"/>
      <c r="E792" s="7"/>
      <c r="F792" s="7"/>
      <c r="G792" s="7"/>
      <c r="H792" s="7"/>
      <c r="I792" s="7"/>
      <c r="J792" s="8"/>
      <c r="K792" s="9"/>
    </row>
    <row r="793">
      <c r="A793" s="6"/>
      <c r="B793" s="7"/>
      <c r="C793" s="7"/>
      <c r="D793" s="7"/>
      <c r="E793" s="7"/>
      <c r="F793" s="7"/>
      <c r="G793" s="7"/>
      <c r="H793" s="7"/>
      <c r="I793" s="7"/>
      <c r="J793" s="8"/>
      <c r="K793" s="9"/>
    </row>
    <row r="794">
      <c r="A794" s="6"/>
      <c r="B794" s="7"/>
      <c r="C794" s="7"/>
      <c r="D794" s="7"/>
      <c r="E794" s="7"/>
      <c r="F794" s="7"/>
      <c r="G794" s="7"/>
      <c r="H794" s="7"/>
      <c r="I794" s="7"/>
      <c r="J794" s="8"/>
      <c r="K794" s="9"/>
    </row>
    <row r="795">
      <c r="A795" s="6"/>
      <c r="B795" s="7"/>
      <c r="C795" s="7"/>
      <c r="D795" s="7"/>
      <c r="E795" s="7"/>
      <c r="F795" s="7"/>
      <c r="G795" s="7"/>
      <c r="H795" s="7"/>
      <c r="I795" s="7"/>
      <c r="J795" s="8"/>
      <c r="K795" s="9"/>
    </row>
    <row r="796">
      <c r="A796" s="6"/>
      <c r="B796" s="7"/>
      <c r="C796" s="7"/>
      <c r="D796" s="7"/>
      <c r="E796" s="7"/>
      <c r="F796" s="7"/>
      <c r="G796" s="7"/>
      <c r="H796" s="7"/>
      <c r="I796" s="7"/>
      <c r="J796" s="8"/>
      <c r="K796" s="9"/>
    </row>
    <row r="797">
      <c r="A797" s="6"/>
      <c r="B797" s="7"/>
      <c r="C797" s="7"/>
      <c r="D797" s="7"/>
      <c r="E797" s="7"/>
      <c r="F797" s="7"/>
      <c r="G797" s="7"/>
      <c r="H797" s="7"/>
      <c r="I797" s="7"/>
      <c r="J797" s="8"/>
      <c r="K797" s="9"/>
    </row>
    <row r="798">
      <c r="A798" s="6"/>
      <c r="B798" s="7"/>
      <c r="C798" s="7"/>
      <c r="D798" s="7"/>
      <c r="E798" s="7"/>
      <c r="F798" s="7"/>
      <c r="G798" s="7"/>
      <c r="H798" s="7"/>
      <c r="I798" s="7"/>
      <c r="J798" s="8"/>
      <c r="K798" s="9"/>
    </row>
    <row r="799">
      <c r="A799" s="6"/>
      <c r="B799" s="7"/>
      <c r="C799" s="7"/>
      <c r="D799" s="7"/>
      <c r="E799" s="7"/>
      <c r="F799" s="7"/>
      <c r="G799" s="7"/>
      <c r="H799" s="7"/>
      <c r="I799" s="7"/>
      <c r="J799" s="8"/>
      <c r="K799" s="9"/>
    </row>
    <row r="800">
      <c r="A800" s="6"/>
      <c r="B800" s="7"/>
      <c r="C800" s="7"/>
      <c r="D800" s="7"/>
      <c r="E800" s="7"/>
      <c r="F800" s="7"/>
      <c r="G800" s="7"/>
      <c r="H800" s="7"/>
      <c r="I800" s="7"/>
      <c r="J800" s="8"/>
      <c r="K800" s="9"/>
    </row>
    <row r="801">
      <c r="A801" s="6"/>
      <c r="B801" s="7"/>
      <c r="C801" s="7"/>
      <c r="D801" s="7"/>
      <c r="E801" s="7"/>
      <c r="F801" s="7"/>
      <c r="G801" s="7"/>
      <c r="H801" s="7"/>
      <c r="I801" s="7"/>
      <c r="J801" s="8"/>
      <c r="K801" s="9"/>
    </row>
    <row r="802">
      <c r="A802" s="6"/>
      <c r="B802" s="7"/>
      <c r="C802" s="7"/>
      <c r="D802" s="7"/>
      <c r="E802" s="7"/>
      <c r="F802" s="7"/>
      <c r="G802" s="7"/>
      <c r="H802" s="7"/>
      <c r="I802" s="7"/>
      <c r="J802" s="8"/>
      <c r="K802" s="9"/>
    </row>
    <row r="803">
      <c r="A803" s="6"/>
      <c r="B803" s="7"/>
      <c r="C803" s="7"/>
      <c r="D803" s="7"/>
      <c r="E803" s="7"/>
      <c r="F803" s="7"/>
      <c r="G803" s="7"/>
      <c r="H803" s="7"/>
      <c r="I803" s="7"/>
      <c r="J803" s="8"/>
      <c r="K803" s="9"/>
    </row>
    <row r="804">
      <c r="A804" s="6"/>
      <c r="B804" s="7"/>
      <c r="C804" s="7"/>
      <c r="D804" s="7"/>
      <c r="E804" s="7"/>
      <c r="F804" s="7"/>
      <c r="G804" s="7"/>
      <c r="H804" s="7"/>
      <c r="I804" s="7"/>
      <c r="J804" s="8"/>
      <c r="K804" s="9"/>
    </row>
  </sheetData>
  <autoFilter ref="$A$1:$Z$51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2.0"/>
    <col customWidth="1" min="3" max="3" width="18.25"/>
    <col customWidth="1" min="4" max="4" width="29.75"/>
    <col customWidth="1" min="5" max="5" width="22.13"/>
    <col customWidth="1" min="6" max="6" width="51.38"/>
    <col customWidth="1" min="7" max="7" width="9.5"/>
    <col customWidth="1" min="8" max="8" width="29.25"/>
    <col customWidth="1" min="10" max="10" width="19.75"/>
    <col customWidth="1" min="11" max="11" width="27.88"/>
  </cols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1" t="s">
        <v>7</v>
      </c>
      <c r="I1" s="11" t="s">
        <v>8</v>
      </c>
      <c r="J1" s="12" t="s">
        <v>9</v>
      </c>
      <c r="K1" s="1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/>
      <c r="B2" s="13"/>
      <c r="C2" s="17" t="s">
        <v>11</v>
      </c>
      <c r="D2" s="13" t="s">
        <v>16</v>
      </c>
      <c r="E2" s="39"/>
      <c r="F2" s="17" t="s">
        <v>296</v>
      </c>
      <c r="G2" s="17" t="s">
        <v>14</v>
      </c>
      <c r="H2" s="17" t="s">
        <v>15</v>
      </c>
      <c r="I2" s="17">
        <v>25.0</v>
      </c>
      <c r="J2" s="40"/>
      <c r="K2" s="40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0"/>
      <c r="B3" s="16"/>
      <c r="C3" s="17" t="s">
        <v>11</v>
      </c>
      <c r="D3" s="17" t="s">
        <v>297</v>
      </c>
      <c r="E3" s="42"/>
      <c r="F3" s="17" t="s">
        <v>298</v>
      </c>
      <c r="G3" s="17" t="s">
        <v>14</v>
      </c>
      <c r="H3" s="17" t="s">
        <v>15</v>
      </c>
      <c r="I3" s="17">
        <v>2.0</v>
      </c>
      <c r="J3" s="40"/>
      <c r="K3" s="40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0"/>
      <c r="B4" s="16"/>
      <c r="C4" s="17" t="s">
        <v>11</v>
      </c>
      <c r="D4" s="17" t="s">
        <v>162</v>
      </c>
      <c r="E4" s="42"/>
      <c r="F4" s="17" t="s">
        <v>299</v>
      </c>
      <c r="G4" s="17" t="s">
        <v>22</v>
      </c>
      <c r="H4" s="17" t="s">
        <v>300</v>
      </c>
      <c r="I4" s="17">
        <v>5.0</v>
      </c>
      <c r="J4" s="40"/>
      <c r="K4" s="40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0"/>
      <c r="B5" s="16"/>
      <c r="C5" s="17" t="s">
        <v>11</v>
      </c>
      <c r="D5" s="17" t="s">
        <v>301</v>
      </c>
      <c r="E5" s="42"/>
      <c r="F5" s="17" t="s">
        <v>302</v>
      </c>
      <c r="G5" s="17" t="s">
        <v>14</v>
      </c>
      <c r="H5" s="17" t="s">
        <v>15</v>
      </c>
      <c r="I5" s="17">
        <v>2.0</v>
      </c>
      <c r="J5" s="40"/>
      <c r="K5" s="40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0"/>
      <c r="B6" s="16"/>
      <c r="C6" s="17" t="s">
        <v>11</v>
      </c>
      <c r="D6" s="14" t="s">
        <v>12</v>
      </c>
      <c r="E6" s="42"/>
      <c r="F6" s="17" t="s">
        <v>303</v>
      </c>
      <c r="G6" s="17" t="s">
        <v>14</v>
      </c>
      <c r="H6" s="17" t="s">
        <v>15</v>
      </c>
      <c r="I6" s="17">
        <v>11.0</v>
      </c>
      <c r="J6" s="40"/>
      <c r="K6" s="40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0"/>
      <c r="B7" s="16"/>
      <c r="C7" s="17" t="s">
        <v>11</v>
      </c>
      <c r="D7" s="17" t="s">
        <v>20</v>
      </c>
      <c r="E7" s="42"/>
      <c r="F7" s="17" t="s">
        <v>304</v>
      </c>
      <c r="G7" s="17" t="s">
        <v>14</v>
      </c>
      <c r="H7" s="17" t="s">
        <v>15</v>
      </c>
      <c r="I7" s="17">
        <v>13.0</v>
      </c>
      <c r="J7" s="40"/>
      <c r="K7" s="4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0"/>
      <c r="B8" s="16"/>
      <c r="C8" s="17" t="s">
        <v>11</v>
      </c>
      <c r="D8" s="17" t="s">
        <v>305</v>
      </c>
      <c r="E8" s="17" t="s">
        <v>306</v>
      </c>
      <c r="F8" s="17" t="s">
        <v>307</v>
      </c>
      <c r="G8" s="17" t="s">
        <v>14</v>
      </c>
      <c r="H8" s="17" t="s">
        <v>308</v>
      </c>
      <c r="I8" s="17">
        <v>2.0</v>
      </c>
      <c r="J8" s="40"/>
      <c r="K8" s="40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0"/>
      <c r="B9" s="16"/>
      <c r="C9" s="17" t="s">
        <v>11</v>
      </c>
      <c r="D9" s="17" t="s">
        <v>167</v>
      </c>
      <c r="E9" s="42"/>
      <c r="F9" s="17" t="s">
        <v>309</v>
      </c>
      <c r="G9" s="17" t="s">
        <v>14</v>
      </c>
      <c r="H9" s="17" t="s">
        <v>15</v>
      </c>
      <c r="I9" s="17">
        <v>4.0</v>
      </c>
      <c r="J9" s="40"/>
      <c r="K9" s="40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0"/>
      <c r="B10" s="16"/>
      <c r="C10" s="17" t="s">
        <v>169</v>
      </c>
      <c r="D10" s="17" t="s">
        <v>170</v>
      </c>
      <c r="E10" s="17" t="s">
        <v>171</v>
      </c>
      <c r="F10" s="17" t="s">
        <v>172</v>
      </c>
      <c r="G10" s="17" t="s">
        <v>22</v>
      </c>
      <c r="H10" s="17" t="s">
        <v>173</v>
      </c>
      <c r="I10" s="17">
        <v>1.0</v>
      </c>
      <c r="J10" s="29" t="s">
        <v>174</v>
      </c>
      <c r="K10" s="40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0"/>
      <c r="B11" s="16"/>
      <c r="C11" s="17" t="s">
        <v>53</v>
      </c>
      <c r="D11" s="17" t="s">
        <v>86</v>
      </c>
      <c r="E11" s="20">
        <v>6.2504021621E10</v>
      </c>
      <c r="F11" s="17" t="s">
        <v>310</v>
      </c>
      <c r="G11" s="17" t="s">
        <v>22</v>
      </c>
      <c r="H11" s="17" t="s">
        <v>88</v>
      </c>
      <c r="I11" s="17">
        <v>1.0</v>
      </c>
      <c r="J11" s="29" t="s">
        <v>56</v>
      </c>
      <c r="K11" s="29" t="s">
        <v>56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0"/>
      <c r="B12" s="16"/>
      <c r="C12" s="17" t="s">
        <v>53</v>
      </c>
      <c r="D12" s="17" t="s">
        <v>182</v>
      </c>
      <c r="E12" s="17" t="s">
        <v>183</v>
      </c>
      <c r="F12" s="17" t="s">
        <v>184</v>
      </c>
      <c r="G12" s="17" t="s">
        <v>22</v>
      </c>
      <c r="H12" s="17" t="s">
        <v>185</v>
      </c>
      <c r="I12" s="17">
        <v>1.0</v>
      </c>
      <c r="J12" s="17" t="s">
        <v>61</v>
      </c>
      <c r="K12" s="40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0"/>
      <c r="B13" s="16"/>
      <c r="C13" s="17" t="s">
        <v>53</v>
      </c>
      <c r="D13" s="19" t="s">
        <v>80</v>
      </c>
      <c r="E13" s="13" t="s">
        <v>81</v>
      </c>
      <c r="F13" s="17" t="s">
        <v>186</v>
      </c>
      <c r="G13" s="17" t="s">
        <v>22</v>
      </c>
      <c r="H13" s="13" t="s">
        <v>83</v>
      </c>
      <c r="I13" s="17">
        <v>1.0</v>
      </c>
      <c r="J13" s="40"/>
      <c r="K13" s="40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0"/>
      <c r="B14" s="16"/>
      <c r="C14" s="17" t="s">
        <v>53</v>
      </c>
      <c r="D14" s="17" t="s">
        <v>75</v>
      </c>
      <c r="E14" s="24" t="s">
        <v>76</v>
      </c>
      <c r="F14" s="17" t="s">
        <v>187</v>
      </c>
      <c r="G14" s="17" t="s">
        <v>22</v>
      </c>
      <c r="H14" s="17" t="s">
        <v>78</v>
      </c>
      <c r="I14" s="17">
        <v>1.0</v>
      </c>
      <c r="J14" s="13" t="s">
        <v>79</v>
      </c>
      <c r="K14" s="40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0"/>
      <c r="B15" s="16"/>
      <c r="C15" s="17" t="s">
        <v>53</v>
      </c>
      <c r="D15" s="17" t="s">
        <v>311</v>
      </c>
      <c r="E15" s="13" t="s">
        <v>312</v>
      </c>
      <c r="F15" s="17" t="s">
        <v>313</v>
      </c>
      <c r="G15" s="17" t="s">
        <v>22</v>
      </c>
      <c r="H15" s="17" t="s">
        <v>314</v>
      </c>
      <c r="I15" s="17">
        <v>1.0</v>
      </c>
      <c r="J15" s="29" t="s">
        <v>61</v>
      </c>
      <c r="K15" s="40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0"/>
      <c r="B16" s="16"/>
      <c r="C16" s="17" t="s">
        <v>53</v>
      </c>
      <c r="D16" s="17" t="s">
        <v>188</v>
      </c>
      <c r="E16" s="13" t="s">
        <v>189</v>
      </c>
      <c r="F16" s="17" t="s">
        <v>315</v>
      </c>
      <c r="G16" s="17" t="s">
        <v>22</v>
      </c>
      <c r="H16" s="17" t="s">
        <v>191</v>
      </c>
      <c r="I16" s="17">
        <v>2.0</v>
      </c>
      <c r="J16" s="17" t="s">
        <v>61</v>
      </c>
      <c r="K16" s="29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0"/>
      <c r="B17" s="16"/>
      <c r="C17" s="17" t="s">
        <v>53</v>
      </c>
      <c r="D17" s="17" t="s">
        <v>65</v>
      </c>
      <c r="E17" s="13" t="s">
        <v>66</v>
      </c>
      <c r="F17" s="17" t="s">
        <v>316</v>
      </c>
      <c r="G17" s="17" t="s">
        <v>22</v>
      </c>
      <c r="H17" s="17" t="s">
        <v>68</v>
      </c>
      <c r="I17" s="17">
        <v>3.0</v>
      </c>
      <c r="J17" s="13" t="s">
        <v>61</v>
      </c>
      <c r="K17" s="29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0"/>
      <c r="B18" s="16"/>
      <c r="C18" s="17" t="s">
        <v>53</v>
      </c>
      <c r="D18" s="17" t="s">
        <v>65</v>
      </c>
      <c r="E18" s="13" t="s">
        <v>192</v>
      </c>
      <c r="F18" s="17" t="s">
        <v>193</v>
      </c>
      <c r="G18" s="17" t="s">
        <v>22</v>
      </c>
      <c r="H18" s="17" t="s">
        <v>194</v>
      </c>
      <c r="I18" s="17">
        <v>1.0</v>
      </c>
      <c r="J18" s="13" t="s">
        <v>61</v>
      </c>
      <c r="K18" s="40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0"/>
      <c r="B19" s="16"/>
      <c r="C19" s="17" t="s">
        <v>98</v>
      </c>
      <c r="D19" s="17" t="s">
        <v>196</v>
      </c>
      <c r="E19" s="17" t="s">
        <v>197</v>
      </c>
      <c r="F19" s="17" t="s">
        <v>104</v>
      </c>
      <c r="G19" s="17" t="s">
        <v>14</v>
      </c>
      <c r="H19" s="17" t="s">
        <v>198</v>
      </c>
      <c r="I19" s="17">
        <v>1.0</v>
      </c>
      <c r="J19" s="17" t="s">
        <v>199</v>
      </c>
      <c r="K19" s="40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0"/>
      <c r="B20" s="16"/>
      <c r="C20" s="17" t="s">
        <v>98</v>
      </c>
      <c r="D20" s="17" t="s">
        <v>200</v>
      </c>
      <c r="E20" s="13" t="s">
        <v>201</v>
      </c>
      <c r="F20" s="17" t="s">
        <v>317</v>
      </c>
      <c r="G20" s="17" t="s">
        <v>14</v>
      </c>
      <c r="H20" s="17" t="s">
        <v>203</v>
      </c>
      <c r="I20" s="17">
        <v>3.0</v>
      </c>
      <c r="J20" s="29" t="s">
        <v>123</v>
      </c>
      <c r="K20" s="40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0"/>
      <c r="B21" s="16"/>
      <c r="C21" s="17" t="s">
        <v>98</v>
      </c>
      <c r="D21" s="17" t="s">
        <v>318</v>
      </c>
      <c r="E21" s="17" t="s">
        <v>319</v>
      </c>
      <c r="F21" s="17" t="s">
        <v>320</v>
      </c>
      <c r="G21" s="17" t="s">
        <v>14</v>
      </c>
      <c r="H21" s="17" t="s">
        <v>321</v>
      </c>
      <c r="I21" s="17">
        <v>2.0</v>
      </c>
      <c r="J21" s="29" t="s">
        <v>224</v>
      </c>
      <c r="K21" s="40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0"/>
      <c r="B22" s="16"/>
      <c r="C22" s="17" t="s">
        <v>106</v>
      </c>
      <c r="D22" s="17" t="s">
        <v>204</v>
      </c>
      <c r="E22" s="17" t="s">
        <v>205</v>
      </c>
      <c r="F22" s="17" t="s">
        <v>206</v>
      </c>
      <c r="G22" s="17" t="s">
        <v>14</v>
      </c>
      <c r="H22" s="17" t="s">
        <v>109</v>
      </c>
      <c r="I22" s="17">
        <v>2.0</v>
      </c>
      <c r="J22" s="29" t="s">
        <v>207</v>
      </c>
      <c r="K22" s="40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0"/>
      <c r="B23" s="16"/>
      <c r="C23" s="17" t="s">
        <v>106</v>
      </c>
      <c r="D23" s="17" t="s">
        <v>107</v>
      </c>
      <c r="E23" s="17">
        <v>7.42792023E8</v>
      </c>
      <c r="F23" s="17" t="s">
        <v>322</v>
      </c>
      <c r="G23" s="17" t="s">
        <v>14</v>
      </c>
      <c r="H23" s="17" t="s">
        <v>109</v>
      </c>
      <c r="I23" s="17">
        <v>4.0</v>
      </c>
      <c r="J23" s="29" t="s">
        <v>56</v>
      </c>
      <c r="K23" s="29" t="s">
        <v>56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0"/>
      <c r="B24" s="16"/>
      <c r="C24" s="17" t="s">
        <v>110</v>
      </c>
      <c r="D24" s="17" t="s">
        <v>119</v>
      </c>
      <c r="E24" s="17" t="s">
        <v>120</v>
      </c>
      <c r="F24" s="17" t="s">
        <v>323</v>
      </c>
      <c r="G24" s="17" t="s">
        <v>14</v>
      </c>
      <c r="H24" s="13" t="s">
        <v>122</v>
      </c>
      <c r="I24" s="17">
        <v>5.0</v>
      </c>
      <c r="J24" s="29" t="s">
        <v>123</v>
      </c>
      <c r="K24" s="40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0"/>
      <c r="B25" s="16"/>
      <c r="C25" s="17" t="s">
        <v>110</v>
      </c>
      <c r="D25" s="17" t="s">
        <v>119</v>
      </c>
      <c r="E25" s="17" t="s">
        <v>210</v>
      </c>
      <c r="F25" s="17" t="s">
        <v>211</v>
      </c>
      <c r="G25" s="17" t="s">
        <v>14</v>
      </c>
      <c r="H25" s="17" t="s">
        <v>212</v>
      </c>
      <c r="I25" s="17">
        <v>2.0</v>
      </c>
      <c r="J25" s="29" t="s">
        <v>123</v>
      </c>
      <c r="K25" s="40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0"/>
      <c r="B26" s="16"/>
      <c r="C26" s="17" t="s">
        <v>110</v>
      </c>
      <c r="D26" s="17" t="s">
        <v>324</v>
      </c>
      <c r="E26" s="17" t="s">
        <v>325</v>
      </c>
      <c r="F26" s="17" t="s">
        <v>326</v>
      </c>
      <c r="G26" s="17" t="s">
        <v>14</v>
      </c>
      <c r="H26" s="17" t="s">
        <v>327</v>
      </c>
      <c r="I26" s="17">
        <v>2.0</v>
      </c>
      <c r="J26" s="29" t="s">
        <v>328</v>
      </c>
      <c r="K26" s="40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0"/>
      <c r="B27" s="16"/>
      <c r="C27" s="17" t="s">
        <v>110</v>
      </c>
      <c r="D27" s="17" t="s">
        <v>213</v>
      </c>
      <c r="E27" s="17" t="s">
        <v>214</v>
      </c>
      <c r="F27" s="17" t="s">
        <v>215</v>
      </c>
      <c r="G27" s="17" t="s">
        <v>14</v>
      </c>
      <c r="H27" s="17" t="s">
        <v>216</v>
      </c>
      <c r="I27" s="17">
        <v>1.0</v>
      </c>
      <c r="J27" s="29" t="s">
        <v>123</v>
      </c>
      <c r="K27" s="40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0"/>
      <c r="B28" s="16"/>
      <c r="C28" s="17" t="s">
        <v>110</v>
      </c>
      <c r="D28" s="17" t="s">
        <v>329</v>
      </c>
      <c r="E28" s="17" t="s">
        <v>330</v>
      </c>
      <c r="F28" s="17" t="s">
        <v>331</v>
      </c>
      <c r="G28" s="17" t="s">
        <v>14</v>
      </c>
      <c r="H28" s="17" t="s">
        <v>332</v>
      </c>
      <c r="I28" s="17">
        <v>2.0</v>
      </c>
      <c r="J28" s="29" t="s">
        <v>118</v>
      </c>
      <c r="K28" s="40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0"/>
      <c r="B29" s="16"/>
      <c r="C29" s="17" t="s">
        <v>110</v>
      </c>
      <c r="D29" s="17" t="s">
        <v>217</v>
      </c>
      <c r="E29" s="17" t="s">
        <v>218</v>
      </c>
      <c r="F29" s="17" t="s">
        <v>121</v>
      </c>
      <c r="G29" s="17" t="s">
        <v>14</v>
      </c>
      <c r="H29" s="17" t="s">
        <v>219</v>
      </c>
      <c r="I29" s="17">
        <v>1.0</v>
      </c>
      <c r="J29" s="40"/>
      <c r="K29" s="40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0"/>
      <c r="B30" s="16"/>
      <c r="C30" s="17" t="s">
        <v>110</v>
      </c>
      <c r="D30" s="17" t="s">
        <v>220</v>
      </c>
      <c r="E30" s="17" t="s">
        <v>221</v>
      </c>
      <c r="F30" s="17" t="s">
        <v>333</v>
      </c>
      <c r="G30" s="17" t="s">
        <v>14</v>
      </c>
      <c r="H30" s="17" t="s">
        <v>223</v>
      </c>
      <c r="I30" s="17">
        <v>2.0</v>
      </c>
      <c r="J30" s="29" t="s">
        <v>224</v>
      </c>
      <c r="K30" s="40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0"/>
      <c r="B31" s="16"/>
      <c r="C31" s="17" t="s">
        <v>110</v>
      </c>
      <c r="D31" s="17" t="s">
        <v>230</v>
      </c>
      <c r="E31" s="17" t="s">
        <v>231</v>
      </c>
      <c r="F31" s="17" t="s">
        <v>334</v>
      </c>
      <c r="G31" s="17" t="s">
        <v>14</v>
      </c>
      <c r="H31" s="17" t="s">
        <v>233</v>
      </c>
      <c r="I31" s="17">
        <v>2.0</v>
      </c>
      <c r="J31" s="17" t="s">
        <v>234</v>
      </c>
      <c r="K31" s="40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0"/>
      <c r="B32" s="16"/>
      <c r="C32" s="17" t="s">
        <v>150</v>
      </c>
      <c r="D32" s="13" t="s">
        <v>151</v>
      </c>
      <c r="E32" s="17" t="s">
        <v>152</v>
      </c>
      <c r="F32" s="17" t="s">
        <v>335</v>
      </c>
      <c r="G32" s="17" t="s">
        <v>14</v>
      </c>
      <c r="H32" s="17" t="s">
        <v>36</v>
      </c>
      <c r="I32" s="17">
        <v>3.0</v>
      </c>
      <c r="J32" s="29" t="s">
        <v>56</v>
      </c>
      <c r="K32" s="29" t="s">
        <v>56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0"/>
      <c r="B33" s="16"/>
      <c r="C33" s="17" t="s">
        <v>269</v>
      </c>
      <c r="D33" s="17" t="s">
        <v>336</v>
      </c>
      <c r="E33" s="17" t="s">
        <v>337</v>
      </c>
      <c r="F33" s="17" t="s">
        <v>338</v>
      </c>
      <c r="G33" s="17" t="s">
        <v>14</v>
      </c>
      <c r="H33" s="17" t="s">
        <v>233</v>
      </c>
      <c r="I33" s="17">
        <v>1.0</v>
      </c>
      <c r="J33" s="29" t="s">
        <v>273</v>
      </c>
      <c r="K33" s="40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0"/>
      <c r="B34" s="16"/>
      <c r="C34" s="17" t="s">
        <v>32</v>
      </c>
      <c r="D34" s="17" t="s">
        <v>33</v>
      </c>
      <c r="E34" s="17" t="s">
        <v>34</v>
      </c>
      <c r="F34" s="17" t="s">
        <v>339</v>
      </c>
      <c r="G34" s="17" t="s">
        <v>14</v>
      </c>
      <c r="H34" s="17" t="s">
        <v>36</v>
      </c>
      <c r="I34" s="17">
        <v>30.0</v>
      </c>
      <c r="J34" s="40"/>
      <c r="K34" s="40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0"/>
      <c r="B35" s="16"/>
      <c r="C35" s="17" t="s">
        <v>32</v>
      </c>
      <c r="D35" s="17" t="s">
        <v>240</v>
      </c>
      <c r="E35" s="42"/>
      <c r="F35" s="17" t="s">
        <v>340</v>
      </c>
      <c r="G35" s="17" t="s">
        <v>14</v>
      </c>
      <c r="H35" s="17" t="s">
        <v>36</v>
      </c>
      <c r="I35" s="17">
        <v>4.0</v>
      </c>
      <c r="J35" s="40"/>
      <c r="K35" s="40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0"/>
      <c r="B36" s="16"/>
      <c r="C36" s="17" t="s">
        <v>32</v>
      </c>
      <c r="D36" s="17" t="s">
        <v>341</v>
      </c>
      <c r="E36" s="42"/>
      <c r="F36" s="17" t="s">
        <v>342</v>
      </c>
      <c r="G36" s="17" t="s">
        <v>14</v>
      </c>
      <c r="H36" s="17" t="s">
        <v>36</v>
      </c>
      <c r="I36" s="17">
        <v>2.0</v>
      </c>
      <c r="J36" s="40"/>
      <c r="K36" s="40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0"/>
      <c r="B37" s="16"/>
      <c r="C37" s="17" t="s">
        <v>32</v>
      </c>
      <c r="D37" s="17" t="s">
        <v>242</v>
      </c>
      <c r="E37" s="42"/>
      <c r="F37" s="17" t="s">
        <v>343</v>
      </c>
      <c r="G37" s="17" t="s">
        <v>14</v>
      </c>
      <c r="H37" s="17" t="s">
        <v>36</v>
      </c>
      <c r="I37" s="17">
        <v>2.0</v>
      </c>
      <c r="J37" s="40"/>
      <c r="K37" s="40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0"/>
      <c r="B38" s="16"/>
      <c r="C38" s="17" t="s">
        <v>32</v>
      </c>
      <c r="D38" s="17" t="s">
        <v>37</v>
      </c>
      <c r="E38" s="42"/>
      <c r="F38" s="17" t="s">
        <v>344</v>
      </c>
      <c r="G38" s="17" t="s">
        <v>14</v>
      </c>
      <c r="H38" s="17" t="s">
        <v>36</v>
      </c>
      <c r="I38" s="17">
        <v>8.0</v>
      </c>
      <c r="J38" s="40"/>
      <c r="K38" s="40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0"/>
      <c r="B39" s="16"/>
      <c r="C39" s="17" t="s">
        <v>32</v>
      </c>
      <c r="D39" s="17" t="s">
        <v>41</v>
      </c>
      <c r="E39" s="16" t="s">
        <v>34</v>
      </c>
      <c r="F39" s="17" t="s">
        <v>345</v>
      </c>
      <c r="G39" s="17" t="s">
        <v>14</v>
      </c>
      <c r="H39" s="17" t="s">
        <v>36</v>
      </c>
      <c r="I39" s="17">
        <v>37.0</v>
      </c>
      <c r="J39" s="40"/>
      <c r="K39" s="40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0"/>
      <c r="B40" s="16"/>
      <c r="C40" s="17" t="s">
        <v>32</v>
      </c>
      <c r="D40" s="17" t="s">
        <v>294</v>
      </c>
      <c r="E40" s="42"/>
      <c r="F40" s="17" t="s">
        <v>346</v>
      </c>
      <c r="G40" s="17" t="s">
        <v>14</v>
      </c>
      <c r="H40" s="17" t="s">
        <v>36</v>
      </c>
      <c r="I40" s="17">
        <v>4.0</v>
      </c>
      <c r="J40" s="40"/>
      <c r="K40" s="40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0"/>
      <c r="B41" s="16"/>
      <c r="C41" s="17" t="s">
        <v>32</v>
      </c>
      <c r="D41" s="17" t="s">
        <v>246</v>
      </c>
      <c r="E41" s="42"/>
      <c r="F41" s="17" t="s">
        <v>347</v>
      </c>
      <c r="G41" s="17" t="s">
        <v>14</v>
      </c>
      <c r="H41" s="17" t="s">
        <v>36</v>
      </c>
      <c r="I41" s="17">
        <v>1.0</v>
      </c>
      <c r="J41" s="40"/>
      <c r="K41" s="40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0"/>
      <c r="B42" s="16"/>
      <c r="C42" s="17" t="s">
        <v>32</v>
      </c>
      <c r="D42" s="17" t="s">
        <v>348</v>
      </c>
      <c r="E42" s="42"/>
      <c r="F42" s="17" t="s">
        <v>349</v>
      </c>
      <c r="G42" s="17" t="s">
        <v>14</v>
      </c>
      <c r="H42" s="17" t="s">
        <v>36</v>
      </c>
      <c r="I42" s="17">
        <v>2.0</v>
      </c>
      <c r="J42" s="40"/>
      <c r="K42" s="40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0"/>
      <c r="B43" s="16"/>
      <c r="C43" s="17" t="s">
        <v>32</v>
      </c>
      <c r="D43" s="17" t="s">
        <v>248</v>
      </c>
      <c r="E43" s="42"/>
      <c r="F43" s="17" t="s">
        <v>350</v>
      </c>
      <c r="G43" s="17" t="s">
        <v>14</v>
      </c>
      <c r="H43" s="17" t="s">
        <v>36</v>
      </c>
      <c r="I43" s="17">
        <v>5.0</v>
      </c>
      <c r="J43" s="40"/>
      <c r="K43" s="40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0"/>
      <c r="B44" s="16"/>
      <c r="C44" s="17" t="s">
        <v>32</v>
      </c>
      <c r="D44" s="17" t="s">
        <v>250</v>
      </c>
      <c r="E44" s="42"/>
      <c r="F44" s="17" t="s">
        <v>351</v>
      </c>
      <c r="G44" s="17" t="s">
        <v>14</v>
      </c>
      <c r="H44" s="17" t="s">
        <v>36</v>
      </c>
      <c r="I44" s="17">
        <v>2.0</v>
      </c>
      <c r="J44" s="40"/>
      <c r="K44" s="40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0"/>
      <c r="B45" s="16"/>
      <c r="C45" s="17" t="s">
        <v>32</v>
      </c>
      <c r="D45" s="17" t="s">
        <v>47</v>
      </c>
      <c r="E45" s="17" t="s">
        <v>34</v>
      </c>
      <c r="F45" s="17" t="s">
        <v>352</v>
      </c>
      <c r="G45" s="17" t="s">
        <v>14</v>
      </c>
      <c r="H45" s="17" t="s">
        <v>36</v>
      </c>
      <c r="I45" s="17">
        <v>19.0</v>
      </c>
      <c r="J45" s="40"/>
      <c r="K45" s="40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0"/>
      <c r="B46" s="16"/>
      <c r="C46" s="17" t="s">
        <v>32</v>
      </c>
      <c r="D46" s="17" t="s">
        <v>253</v>
      </c>
      <c r="E46" s="42"/>
      <c r="F46" s="17" t="s">
        <v>254</v>
      </c>
      <c r="G46" s="17" t="s">
        <v>14</v>
      </c>
      <c r="H46" s="17" t="s">
        <v>36</v>
      </c>
      <c r="I46" s="17">
        <v>1.0</v>
      </c>
      <c r="J46" s="40"/>
      <c r="K46" s="40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0"/>
      <c r="B47" s="16"/>
      <c r="C47" s="17" t="s">
        <v>32</v>
      </c>
      <c r="D47" s="17" t="s">
        <v>255</v>
      </c>
      <c r="E47" s="42"/>
      <c r="F47" s="17" t="s">
        <v>353</v>
      </c>
      <c r="G47" s="17" t="s">
        <v>14</v>
      </c>
      <c r="H47" s="17" t="s">
        <v>36</v>
      </c>
      <c r="I47" s="17">
        <v>3.0</v>
      </c>
      <c r="J47" s="40"/>
      <c r="K47" s="40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1"/>
      <c r="B48" s="7"/>
      <c r="C48" s="7"/>
      <c r="D48" s="7"/>
      <c r="E48" s="7"/>
      <c r="F48" s="7"/>
      <c r="G48" s="7"/>
      <c r="H48" s="7"/>
      <c r="I48" s="7"/>
      <c r="J48" s="7"/>
      <c r="K48" s="7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1"/>
      <c r="B49" s="7"/>
      <c r="C49" s="7"/>
      <c r="D49" s="7"/>
      <c r="E49" s="7"/>
      <c r="F49" s="7"/>
      <c r="G49" s="7"/>
      <c r="H49" s="7"/>
      <c r="I49" s="7"/>
      <c r="J49" s="7"/>
      <c r="K49" s="7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6"/>
      <c r="B50" s="7"/>
      <c r="C50" s="7"/>
      <c r="D50" s="7"/>
      <c r="E50" s="7"/>
      <c r="F50" s="7"/>
      <c r="G50" s="7"/>
      <c r="H50" s="7"/>
      <c r="I50" s="7"/>
      <c r="J50" s="8"/>
      <c r="K50" s="8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6"/>
      <c r="B51" s="7"/>
      <c r="C51" s="7"/>
      <c r="D51" s="7"/>
      <c r="E51" s="7"/>
      <c r="F51" s="7"/>
      <c r="G51" s="7"/>
      <c r="H51" s="7"/>
      <c r="I51" s="7"/>
      <c r="J51" s="8"/>
      <c r="K51" s="9"/>
    </row>
    <row r="52">
      <c r="A52" s="6"/>
      <c r="B52" s="7"/>
      <c r="C52" s="7"/>
      <c r="D52" s="7"/>
      <c r="E52" s="7"/>
      <c r="F52" s="7"/>
      <c r="G52" s="7"/>
      <c r="H52" s="7"/>
      <c r="I52" s="7"/>
      <c r="J52" s="8"/>
      <c r="K52" s="9"/>
    </row>
    <row r="53">
      <c r="A53" s="6"/>
      <c r="B53" s="7"/>
      <c r="C53" s="7"/>
      <c r="D53" s="7"/>
      <c r="E53" s="7"/>
      <c r="F53" s="7"/>
      <c r="G53" s="7"/>
      <c r="H53" s="7"/>
      <c r="I53" s="7"/>
      <c r="J53" s="8"/>
      <c r="K53" s="9"/>
    </row>
    <row r="54">
      <c r="A54" s="6"/>
      <c r="B54" s="7"/>
      <c r="C54" s="7"/>
      <c r="D54" s="7"/>
      <c r="E54" s="7"/>
      <c r="F54" s="7"/>
      <c r="G54" s="7"/>
      <c r="H54" s="7"/>
      <c r="I54" s="7"/>
      <c r="J54" s="8"/>
      <c r="K54" s="9"/>
    </row>
    <row r="55">
      <c r="A55" s="6"/>
      <c r="B55" s="7"/>
      <c r="C55" s="7"/>
      <c r="D55" s="7"/>
      <c r="E55" s="7"/>
      <c r="F55" s="7"/>
      <c r="G55" s="7"/>
      <c r="H55" s="7"/>
      <c r="I55" s="7"/>
      <c r="J55" s="8"/>
      <c r="K55" s="9"/>
    </row>
    <row r="56">
      <c r="A56" s="6"/>
      <c r="B56" s="7"/>
      <c r="C56" s="7"/>
      <c r="D56" s="7"/>
      <c r="E56" s="7"/>
      <c r="F56" s="7"/>
      <c r="G56" s="7"/>
      <c r="H56" s="7"/>
      <c r="I56" s="7"/>
      <c r="J56" s="8"/>
      <c r="K56" s="9"/>
    </row>
    <row r="57">
      <c r="A57" s="6"/>
      <c r="B57" s="7"/>
      <c r="C57" s="7"/>
      <c r="D57" s="7"/>
      <c r="E57" s="7"/>
      <c r="F57" s="7"/>
      <c r="G57" s="7"/>
      <c r="H57" s="7"/>
      <c r="I57" s="7"/>
      <c r="J57" s="8"/>
      <c r="K57" s="9"/>
    </row>
    <row r="58">
      <c r="A58" s="6"/>
      <c r="B58" s="7"/>
      <c r="C58" s="7"/>
      <c r="D58" s="7"/>
      <c r="E58" s="7"/>
      <c r="F58" s="7"/>
      <c r="G58" s="7"/>
      <c r="H58" s="7"/>
      <c r="I58" s="7"/>
      <c r="J58" s="8"/>
      <c r="K58" s="9"/>
    </row>
    <row r="59">
      <c r="A59" s="6"/>
      <c r="B59" s="7"/>
      <c r="C59" s="7"/>
      <c r="D59" s="7"/>
      <c r="E59" s="7"/>
      <c r="F59" s="7"/>
      <c r="G59" s="7"/>
      <c r="H59" s="7"/>
      <c r="I59" s="7"/>
      <c r="J59" s="8"/>
      <c r="K59" s="9"/>
    </row>
    <row r="60">
      <c r="A60" s="6"/>
      <c r="B60" s="7"/>
      <c r="C60" s="7"/>
      <c r="D60" s="7"/>
      <c r="E60" s="7"/>
      <c r="F60" s="7"/>
      <c r="G60" s="7"/>
      <c r="H60" s="7"/>
      <c r="I60" s="7"/>
      <c r="J60" s="8"/>
      <c r="K60" s="9"/>
    </row>
    <row r="61">
      <c r="A61" s="6"/>
      <c r="B61" s="7"/>
      <c r="C61" s="7"/>
      <c r="D61" s="7"/>
      <c r="E61" s="7"/>
      <c r="F61" s="7"/>
      <c r="G61" s="7"/>
      <c r="H61" s="7"/>
      <c r="I61" s="7"/>
      <c r="J61" s="8"/>
      <c r="K61" s="9"/>
    </row>
    <row r="62">
      <c r="A62" s="6"/>
      <c r="B62" s="7"/>
      <c r="C62" s="7"/>
      <c r="D62" s="7"/>
      <c r="E62" s="7"/>
      <c r="F62" s="7"/>
      <c r="G62" s="7"/>
      <c r="H62" s="7"/>
      <c r="I62" s="7"/>
      <c r="J62" s="8"/>
      <c r="K62" s="9"/>
    </row>
    <row r="63">
      <c r="A63" s="6"/>
      <c r="B63" s="7"/>
      <c r="C63" s="7"/>
      <c r="D63" s="7"/>
      <c r="E63" s="7"/>
      <c r="F63" s="7"/>
      <c r="G63" s="7"/>
      <c r="H63" s="7"/>
      <c r="I63" s="7"/>
      <c r="J63" s="8"/>
      <c r="K63" s="9"/>
    </row>
    <row r="64">
      <c r="A64" s="6"/>
      <c r="B64" s="7"/>
      <c r="C64" s="7"/>
      <c r="D64" s="7"/>
      <c r="E64" s="7"/>
      <c r="F64" s="7"/>
      <c r="G64" s="7"/>
      <c r="H64" s="7"/>
      <c r="I64" s="7"/>
      <c r="J64" s="8"/>
      <c r="K64" s="9"/>
    </row>
    <row r="65">
      <c r="A65" s="6"/>
      <c r="B65" s="7"/>
      <c r="C65" s="7"/>
      <c r="D65" s="7"/>
      <c r="E65" s="7"/>
      <c r="F65" s="7"/>
      <c r="G65" s="7"/>
      <c r="H65" s="7"/>
      <c r="I65" s="7"/>
      <c r="J65" s="8"/>
      <c r="K65" s="9"/>
    </row>
    <row r="66">
      <c r="A66" s="6"/>
      <c r="B66" s="7"/>
      <c r="C66" s="7"/>
      <c r="D66" s="7"/>
      <c r="E66" s="7"/>
      <c r="F66" s="7"/>
      <c r="G66" s="7"/>
      <c r="H66" s="7"/>
      <c r="I66" s="7"/>
      <c r="J66" s="8"/>
      <c r="K66" s="9"/>
    </row>
    <row r="67">
      <c r="A67" s="6"/>
      <c r="B67" s="7"/>
      <c r="C67" s="7"/>
      <c r="D67" s="7"/>
      <c r="E67" s="7"/>
      <c r="F67" s="7"/>
      <c r="G67" s="7"/>
      <c r="H67" s="7"/>
      <c r="I67" s="7"/>
      <c r="J67" s="8"/>
      <c r="K67" s="9"/>
    </row>
    <row r="68">
      <c r="A68" s="6"/>
      <c r="B68" s="7"/>
      <c r="C68" s="7"/>
      <c r="D68" s="7"/>
      <c r="E68" s="7"/>
      <c r="F68" s="7"/>
      <c r="G68" s="7"/>
      <c r="H68" s="7"/>
      <c r="I68" s="7"/>
      <c r="J68" s="8"/>
      <c r="K68" s="9"/>
    </row>
    <row r="69">
      <c r="A69" s="6"/>
      <c r="B69" s="7"/>
      <c r="C69" s="7"/>
      <c r="D69" s="7"/>
      <c r="E69" s="7"/>
      <c r="F69" s="7"/>
      <c r="G69" s="7"/>
      <c r="H69" s="7"/>
      <c r="I69" s="7"/>
      <c r="J69" s="8"/>
      <c r="K69" s="9"/>
    </row>
    <row r="70">
      <c r="A70" s="6"/>
      <c r="B70" s="7"/>
      <c r="C70" s="7"/>
      <c r="D70" s="7"/>
      <c r="E70" s="7"/>
      <c r="F70" s="7"/>
      <c r="G70" s="7"/>
      <c r="H70" s="7"/>
      <c r="I70" s="7"/>
      <c r="J70" s="8"/>
      <c r="K70" s="9"/>
    </row>
    <row r="71">
      <c r="A71" s="6"/>
      <c r="B71" s="7"/>
      <c r="C71" s="7"/>
      <c r="D71" s="7"/>
      <c r="E71" s="7"/>
      <c r="F71" s="7"/>
      <c r="G71" s="7"/>
      <c r="H71" s="7"/>
      <c r="I71" s="7"/>
      <c r="J71" s="8"/>
      <c r="K71" s="9"/>
    </row>
    <row r="72">
      <c r="A72" s="6"/>
      <c r="B72" s="7"/>
      <c r="C72" s="7"/>
      <c r="D72" s="7"/>
      <c r="E72" s="7"/>
      <c r="F72" s="7"/>
      <c r="G72" s="7"/>
      <c r="H72" s="7"/>
      <c r="I72" s="7"/>
      <c r="J72" s="8"/>
      <c r="K72" s="9"/>
    </row>
    <row r="73">
      <c r="A73" s="6"/>
      <c r="B73" s="7"/>
      <c r="C73" s="7"/>
      <c r="D73" s="7"/>
      <c r="E73" s="7"/>
      <c r="F73" s="7"/>
      <c r="G73" s="7"/>
      <c r="H73" s="7"/>
      <c r="I73" s="7"/>
      <c r="J73" s="8"/>
      <c r="K73" s="9"/>
    </row>
    <row r="74">
      <c r="A74" s="6"/>
      <c r="B74" s="7"/>
      <c r="C74" s="7"/>
      <c r="D74" s="7"/>
      <c r="E74" s="7"/>
      <c r="F74" s="7"/>
      <c r="G74" s="7"/>
      <c r="H74" s="7"/>
      <c r="I74" s="7"/>
      <c r="J74" s="8"/>
      <c r="K74" s="9"/>
    </row>
    <row r="75">
      <c r="A75" s="6"/>
      <c r="B75" s="7"/>
      <c r="C75" s="7"/>
      <c r="D75" s="7"/>
      <c r="E75" s="7"/>
      <c r="F75" s="7"/>
      <c r="G75" s="7"/>
      <c r="H75" s="7"/>
      <c r="I75" s="7"/>
      <c r="J75" s="8"/>
      <c r="K75" s="9"/>
    </row>
    <row r="76">
      <c r="A76" s="6"/>
      <c r="B76" s="7"/>
      <c r="C76" s="7"/>
      <c r="D76" s="7"/>
      <c r="E76" s="7"/>
      <c r="F76" s="7"/>
      <c r="G76" s="7"/>
      <c r="H76" s="7"/>
      <c r="I76" s="7"/>
      <c r="J76" s="8"/>
      <c r="K76" s="9"/>
    </row>
    <row r="77">
      <c r="A77" s="6"/>
      <c r="B77" s="7"/>
      <c r="C77" s="7"/>
      <c r="D77" s="7"/>
      <c r="E77" s="7"/>
      <c r="F77" s="7"/>
      <c r="G77" s="7"/>
      <c r="H77" s="7"/>
      <c r="I77" s="7"/>
      <c r="J77" s="8"/>
      <c r="K77" s="9"/>
    </row>
    <row r="78">
      <c r="A78" s="6"/>
      <c r="B78" s="7"/>
      <c r="C78" s="7"/>
      <c r="D78" s="7"/>
      <c r="E78" s="7"/>
      <c r="F78" s="7"/>
      <c r="G78" s="7"/>
      <c r="H78" s="7"/>
      <c r="I78" s="7"/>
      <c r="J78" s="8"/>
      <c r="K78" s="9"/>
    </row>
    <row r="79">
      <c r="A79" s="6"/>
      <c r="B79" s="7"/>
      <c r="C79" s="7"/>
      <c r="D79" s="7"/>
      <c r="E79" s="7"/>
      <c r="F79" s="7"/>
      <c r="G79" s="7"/>
      <c r="H79" s="7"/>
      <c r="I79" s="7"/>
      <c r="J79" s="8"/>
      <c r="K79" s="9"/>
    </row>
    <row r="80">
      <c r="A80" s="6"/>
      <c r="B80" s="7"/>
      <c r="C80" s="7"/>
      <c r="D80" s="7"/>
      <c r="E80" s="7"/>
      <c r="F80" s="7"/>
      <c r="G80" s="7"/>
      <c r="H80" s="7"/>
      <c r="I80" s="7"/>
      <c r="J80" s="8"/>
      <c r="K80" s="9"/>
    </row>
    <row r="81">
      <c r="A81" s="6"/>
      <c r="B81" s="7"/>
      <c r="C81" s="7"/>
      <c r="D81" s="7"/>
      <c r="E81" s="7"/>
      <c r="F81" s="7"/>
      <c r="G81" s="7"/>
      <c r="H81" s="7"/>
      <c r="I81" s="7"/>
      <c r="J81" s="8"/>
      <c r="K81" s="9"/>
    </row>
    <row r="82">
      <c r="A82" s="6"/>
      <c r="B82" s="7"/>
      <c r="C82" s="7"/>
      <c r="D82" s="7"/>
      <c r="E82" s="7"/>
      <c r="F82" s="7"/>
      <c r="G82" s="7"/>
      <c r="H82" s="7"/>
      <c r="I82" s="7"/>
      <c r="J82" s="8"/>
      <c r="K82" s="9"/>
    </row>
    <row r="83">
      <c r="A83" s="6"/>
      <c r="B83" s="7"/>
      <c r="C83" s="7"/>
      <c r="D83" s="7"/>
      <c r="E83" s="7"/>
      <c r="F83" s="7"/>
      <c r="G83" s="7"/>
      <c r="H83" s="7"/>
      <c r="I83" s="7"/>
      <c r="J83" s="8"/>
      <c r="K83" s="9"/>
    </row>
    <row r="84">
      <c r="A84" s="6"/>
      <c r="B84" s="7"/>
      <c r="C84" s="7"/>
      <c r="D84" s="7"/>
      <c r="E84" s="7"/>
      <c r="F84" s="7"/>
      <c r="G84" s="7"/>
      <c r="H84" s="7"/>
      <c r="I84" s="7"/>
      <c r="J84" s="8"/>
      <c r="K84" s="9"/>
    </row>
    <row r="85">
      <c r="A85" s="6"/>
      <c r="B85" s="7"/>
      <c r="C85" s="7"/>
      <c r="D85" s="7"/>
      <c r="E85" s="7"/>
      <c r="F85" s="7"/>
      <c r="G85" s="7"/>
      <c r="H85" s="7"/>
      <c r="I85" s="7"/>
      <c r="J85" s="8"/>
      <c r="K85" s="9"/>
    </row>
    <row r="86">
      <c r="A86" s="6"/>
      <c r="B86" s="7"/>
      <c r="C86" s="7"/>
      <c r="D86" s="7"/>
      <c r="E86" s="7"/>
      <c r="F86" s="7"/>
      <c r="G86" s="7"/>
      <c r="H86" s="7"/>
      <c r="I86" s="7"/>
      <c r="J86" s="8"/>
      <c r="K86" s="9"/>
    </row>
    <row r="87">
      <c r="A87" s="6"/>
      <c r="B87" s="7"/>
      <c r="C87" s="7"/>
      <c r="D87" s="7"/>
      <c r="E87" s="7"/>
      <c r="F87" s="7"/>
      <c r="G87" s="7"/>
      <c r="H87" s="7"/>
      <c r="I87" s="7"/>
      <c r="J87" s="8"/>
      <c r="K87" s="9"/>
    </row>
    <row r="88">
      <c r="A88" s="6"/>
      <c r="B88" s="7"/>
      <c r="C88" s="7"/>
      <c r="D88" s="7"/>
      <c r="E88" s="7"/>
      <c r="F88" s="7"/>
      <c r="G88" s="7"/>
      <c r="H88" s="7"/>
      <c r="I88" s="7"/>
      <c r="J88" s="8"/>
      <c r="K88" s="9"/>
    </row>
    <row r="89">
      <c r="A89" s="6"/>
      <c r="B89" s="7"/>
      <c r="C89" s="7"/>
      <c r="D89" s="7"/>
      <c r="E89" s="7"/>
      <c r="F89" s="7"/>
      <c r="G89" s="7"/>
      <c r="H89" s="7"/>
      <c r="I89" s="7"/>
      <c r="J89" s="8"/>
      <c r="K89" s="9"/>
    </row>
    <row r="90">
      <c r="A90" s="6"/>
      <c r="B90" s="7"/>
      <c r="C90" s="7"/>
      <c r="D90" s="7"/>
      <c r="E90" s="7"/>
      <c r="F90" s="7"/>
      <c r="G90" s="7"/>
      <c r="H90" s="7"/>
      <c r="I90" s="7"/>
      <c r="J90" s="8"/>
      <c r="K90" s="9"/>
    </row>
    <row r="91">
      <c r="A91" s="6"/>
      <c r="B91" s="7"/>
      <c r="C91" s="7"/>
      <c r="D91" s="7"/>
      <c r="E91" s="7"/>
      <c r="F91" s="7"/>
      <c r="G91" s="7"/>
      <c r="H91" s="7"/>
      <c r="I91" s="7"/>
      <c r="J91" s="8"/>
      <c r="K91" s="9"/>
    </row>
    <row r="92">
      <c r="A92" s="6"/>
      <c r="B92" s="7"/>
      <c r="C92" s="7"/>
      <c r="D92" s="7"/>
      <c r="E92" s="7"/>
      <c r="F92" s="7"/>
      <c r="G92" s="7"/>
      <c r="H92" s="7"/>
      <c r="I92" s="7"/>
      <c r="J92" s="8"/>
      <c r="K92" s="9"/>
    </row>
    <row r="93">
      <c r="A93" s="6"/>
      <c r="B93" s="7"/>
      <c r="C93" s="7"/>
      <c r="D93" s="7"/>
      <c r="E93" s="7"/>
      <c r="F93" s="7"/>
      <c r="G93" s="7"/>
      <c r="H93" s="7"/>
      <c r="I93" s="7"/>
      <c r="J93" s="8"/>
      <c r="K93" s="9"/>
    </row>
    <row r="94">
      <c r="A94" s="6"/>
      <c r="B94" s="7"/>
      <c r="C94" s="7"/>
      <c r="D94" s="7"/>
      <c r="E94" s="7"/>
      <c r="F94" s="7"/>
      <c r="G94" s="7"/>
      <c r="H94" s="7"/>
      <c r="I94" s="7"/>
      <c r="J94" s="8"/>
      <c r="K94" s="9"/>
    </row>
    <row r="95">
      <c r="A95" s="6"/>
      <c r="B95" s="7"/>
      <c r="C95" s="7"/>
      <c r="D95" s="7"/>
      <c r="E95" s="7"/>
      <c r="F95" s="7"/>
      <c r="G95" s="7"/>
      <c r="H95" s="7"/>
      <c r="I95" s="7"/>
      <c r="J95" s="8"/>
      <c r="K95" s="9"/>
    </row>
    <row r="96">
      <c r="A96" s="6"/>
      <c r="B96" s="7"/>
      <c r="C96" s="7"/>
      <c r="D96" s="7"/>
      <c r="E96" s="7"/>
      <c r="F96" s="7"/>
      <c r="G96" s="7"/>
      <c r="H96" s="7"/>
      <c r="I96" s="7"/>
      <c r="J96" s="8"/>
      <c r="K96" s="9"/>
    </row>
    <row r="97">
      <c r="A97" s="6"/>
      <c r="B97" s="7"/>
      <c r="C97" s="7"/>
      <c r="D97" s="7"/>
      <c r="E97" s="7"/>
      <c r="F97" s="7"/>
      <c r="G97" s="7"/>
      <c r="H97" s="7"/>
      <c r="I97" s="7"/>
      <c r="J97" s="8"/>
      <c r="K97" s="9"/>
    </row>
    <row r="98">
      <c r="A98" s="6"/>
      <c r="B98" s="7"/>
      <c r="C98" s="7"/>
      <c r="D98" s="7"/>
      <c r="E98" s="7"/>
      <c r="F98" s="7"/>
      <c r="G98" s="7"/>
      <c r="H98" s="7"/>
      <c r="I98" s="7"/>
      <c r="J98" s="8"/>
      <c r="K98" s="9"/>
    </row>
    <row r="99">
      <c r="A99" s="6"/>
      <c r="B99" s="7"/>
      <c r="C99" s="7"/>
      <c r="D99" s="7"/>
      <c r="E99" s="7"/>
      <c r="F99" s="7"/>
      <c r="G99" s="7"/>
      <c r="H99" s="7"/>
      <c r="I99" s="7"/>
      <c r="J99" s="8"/>
      <c r="K99" s="9"/>
    </row>
    <row r="100">
      <c r="A100" s="6"/>
      <c r="B100" s="7"/>
      <c r="C100" s="7"/>
      <c r="D100" s="7"/>
      <c r="E100" s="7"/>
      <c r="F100" s="7"/>
      <c r="G100" s="7"/>
      <c r="H100" s="7"/>
      <c r="I100" s="7"/>
      <c r="J100" s="8"/>
      <c r="K100" s="9"/>
    </row>
    <row r="101">
      <c r="A101" s="6"/>
      <c r="B101" s="7"/>
      <c r="C101" s="7"/>
      <c r="D101" s="7"/>
      <c r="E101" s="7"/>
      <c r="F101" s="7"/>
      <c r="G101" s="7"/>
      <c r="H101" s="7"/>
      <c r="I101" s="7"/>
      <c r="J101" s="8"/>
      <c r="K101" s="9"/>
    </row>
    <row r="102">
      <c r="A102" s="6"/>
      <c r="B102" s="7"/>
      <c r="C102" s="7"/>
      <c r="D102" s="7"/>
      <c r="E102" s="7"/>
      <c r="F102" s="7"/>
      <c r="G102" s="7"/>
      <c r="H102" s="7"/>
      <c r="I102" s="7"/>
      <c r="J102" s="8"/>
      <c r="K102" s="9"/>
    </row>
    <row r="103">
      <c r="A103" s="6"/>
      <c r="B103" s="7"/>
      <c r="C103" s="7"/>
      <c r="D103" s="7"/>
      <c r="E103" s="7"/>
      <c r="F103" s="7"/>
      <c r="G103" s="7"/>
      <c r="H103" s="7"/>
      <c r="I103" s="7"/>
      <c r="J103" s="8"/>
      <c r="K103" s="9"/>
    </row>
    <row r="104">
      <c r="A104" s="6"/>
      <c r="B104" s="7"/>
      <c r="C104" s="7"/>
      <c r="D104" s="7"/>
      <c r="E104" s="7"/>
      <c r="F104" s="7"/>
      <c r="G104" s="7"/>
      <c r="H104" s="7"/>
      <c r="I104" s="7"/>
      <c r="J104" s="8"/>
      <c r="K104" s="9"/>
    </row>
    <row r="105">
      <c r="A105" s="6"/>
      <c r="B105" s="7"/>
      <c r="C105" s="7"/>
      <c r="D105" s="7"/>
      <c r="E105" s="7"/>
      <c r="F105" s="7"/>
      <c r="G105" s="7"/>
      <c r="H105" s="7"/>
      <c r="I105" s="7"/>
      <c r="J105" s="8"/>
      <c r="K105" s="9"/>
    </row>
    <row r="106">
      <c r="A106" s="6"/>
      <c r="B106" s="7"/>
      <c r="C106" s="7"/>
      <c r="D106" s="7"/>
      <c r="E106" s="7"/>
      <c r="F106" s="7"/>
      <c r="G106" s="7"/>
      <c r="H106" s="7"/>
      <c r="I106" s="7"/>
      <c r="J106" s="8"/>
      <c r="K106" s="9"/>
    </row>
    <row r="107">
      <c r="A107" s="6"/>
      <c r="B107" s="7"/>
      <c r="C107" s="7"/>
      <c r="D107" s="7"/>
      <c r="E107" s="7"/>
      <c r="F107" s="7"/>
      <c r="G107" s="7"/>
      <c r="H107" s="7"/>
      <c r="I107" s="7"/>
      <c r="J107" s="8"/>
      <c r="K107" s="9"/>
    </row>
    <row r="108">
      <c r="A108" s="6"/>
      <c r="B108" s="7"/>
      <c r="C108" s="7"/>
      <c r="D108" s="7"/>
      <c r="E108" s="7"/>
      <c r="F108" s="7"/>
      <c r="G108" s="7"/>
      <c r="H108" s="7"/>
      <c r="I108" s="7"/>
      <c r="J108" s="8"/>
      <c r="K108" s="9"/>
    </row>
    <row r="109">
      <c r="A109" s="6"/>
      <c r="B109" s="7"/>
      <c r="C109" s="7"/>
      <c r="D109" s="7"/>
      <c r="E109" s="7"/>
      <c r="F109" s="7"/>
      <c r="G109" s="7"/>
      <c r="H109" s="7"/>
      <c r="I109" s="7"/>
      <c r="J109" s="8"/>
      <c r="K109" s="9"/>
    </row>
    <row r="110">
      <c r="A110" s="6"/>
      <c r="B110" s="7"/>
      <c r="C110" s="7"/>
      <c r="D110" s="7"/>
      <c r="E110" s="7"/>
      <c r="F110" s="7"/>
      <c r="G110" s="7"/>
      <c r="H110" s="7"/>
      <c r="I110" s="7"/>
      <c r="J110" s="8"/>
      <c r="K110" s="9"/>
    </row>
    <row r="111">
      <c r="A111" s="6"/>
      <c r="B111" s="7"/>
      <c r="C111" s="7"/>
      <c r="D111" s="7"/>
      <c r="E111" s="7"/>
      <c r="F111" s="7"/>
      <c r="G111" s="7"/>
      <c r="H111" s="7"/>
      <c r="I111" s="7"/>
      <c r="J111" s="8"/>
      <c r="K111" s="9"/>
    </row>
    <row r="112">
      <c r="A112" s="6"/>
      <c r="B112" s="7"/>
      <c r="C112" s="7"/>
      <c r="D112" s="7"/>
      <c r="E112" s="7"/>
      <c r="F112" s="7"/>
      <c r="G112" s="7"/>
      <c r="H112" s="7"/>
      <c r="I112" s="7"/>
      <c r="J112" s="8"/>
      <c r="K112" s="9"/>
    </row>
    <row r="113">
      <c r="A113" s="6"/>
      <c r="B113" s="7"/>
      <c r="C113" s="7"/>
      <c r="D113" s="7"/>
      <c r="E113" s="7"/>
      <c r="F113" s="7"/>
      <c r="G113" s="7"/>
      <c r="H113" s="7"/>
      <c r="I113" s="7"/>
      <c r="J113" s="8"/>
      <c r="K113" s="9"/>
    </row>
    <row r="114">
      <c r="A114" s="6"/>
      <c r="B114" s="7"/>
      <c r="C114" s="7"/>
      <c r="D114" s="7"/>
      <c r="E114" s="7"/>
      <c r="F114" s="7"/>
      <c r="G114" s="7"/>
      <c r="H114" s="7"/>
      <c r="I114" s="7"/>
      <c r="J114" s="8"/>
      <c r="K114" s="9"/>
    </row>
    <row r="115">
      <c r="A115" s="6"/>
      <c r="B115" s="7"/>
      <c r="C115" s="7"/>
      <c r="D115" s="7"/>
      <c r="E115" s="7"/>
      <c r="F115" s="7"/>
      <c r="G115" s="7"/>
      <c r="H115" s="7"/>
      <c r="I115" s="7"/>
      <c r="J115" s="8"/>
      <c r="K115" s="9"/>
    </row>
    <row r="116">
      <c r="A116" s="6"/>
      <c r="B116" s="7"/>
      <c r="C116" s="7"/>
      <c r="D116" s="7"/>
      <c r="E116" s="7"/>
      <c r="F116" s="7"/>
      <c r="G116" s="7"/>
      <c r="H116" s="7"/>
      <c r="I116" s="7"/>
      <c r="J116" s="8"/>
      <c r="K116" s="9"/>
    </row>
    <row r="117">
      <c r="A117" s="6"/>
      <c r="B117" s="7"/>
      <c r="C117" s="7"/>
      <c r="D117" s="7"/>
      <c r="E117" s="7"/>
      <c r="F117" s="7"/>
      <c r="G117" s="7"/>
      <c r="H117" s="7"/>
      <c r="I117" s="7"/>
      <c r="J117" s="8"/>
      <c r="K117" s="9"/>
    </row>
    <row r="118">
      <c r="A118" s="6"/>
      <c r="B118" s="7"/>
      <c r="C118" s="7"/>
      <c r="D118" s="7"/>
      <c r="E118" s="7"/>
      <c r="F118" s="7"/>
      <c r="G118" s="7"/>
      <c r="H118" s="7"/>
      <c r="I118" s="7"/>
      <c r="J118" s="8"/>
      <c r="K118" s="9"/>
    </row>
    <row r="119">
      <c r="A119" s="6"/>
      <c r="B119" s="7"/>
      <c r="C119" s="7"/>
      <c r="D119" s="7"/>
      <c r="E119" s="7"/>
      <c r="F119" s="7"/>
      <c r="G119" s="7"/>
      <c r="H119" s="7"/>
      <c r="I119" s="7"/>
      <c r="J119" s="8"/>
      <c r="K119" s="9"/>
    </row>
    <row r="120">
      <c r="A120" s="6"/>
      <c r="B120" s="7"/>
      <c r="C120" s="7"/>
      <c r="D120" s="7"/>
      <c r="E120" s="7"/>
      <c r="F120" s="7"/>
      <c r="G120" s="7"/>
      <c r="H120" s="7"/>
      <c r="I120" s="7"/>
      <c r="J120" s="8"/>
      <c r="K120" s="9"/>
    </row>
    <row r="121">
      <c r="A121" s="6"/>
      <c r="B121" s="7"/>
      <c r="C121" s="7"/>
      <c r="D121" s="7"/>
      <c r="E121" s="7"/>
      <c r="F121" s="7"/>
      <c r="G121" s="7"/>
      <c r="H121" s="7"/>
      <c r="I121" s="7"/>
      <c r="J121" s="8"/>
      <c r="K121" s="9"/>
    </row>
    <row r="122">
      <c r="A122" s="6"/>
      <c r="B122" s="7"/>
      <c r="C122" s="7"/>
      <c r="D122" s="7"/>
      <c r="E122" s="7"/>
      <c r="F122" s="7"/>
      <c r="G122" s="7"/>
      <c r="H122" s="7"/>
      <c r="I122" s="7"/>
      <c r="J122" s="8"/>
      <c r="K122" s="9"/>
    </row>
    <row r="123">
      <c r="A123" s="6"/>
      <c r="B123" s="7"/>
      <c r="C123" s="7"/>
      <c r="D123" s="7"/>
      <c r="E123" s="7"/>
      <c r="F123" s="7"/>
      <c r="G123" s="7"/>
      <c r="H123" s="7"/>
      <c r="I123" s="7"/>
      <c r="J123" s="8"/>
      <c r="K123" s="9"/>
    </row>
    <row r="124">
      <c r="A124" s="6"/>
      <c r="B124" s="7"/>
      <c r="C124" s="7"/>
      <c r="D124" s="7"/>
      <c r="E124" s="7"/>
      <c r="F124" s="7"/>
      <c r="G124" s="7"/>
      <c r="H124" s="7"/>
      <c r="I124" s="7"/>
      <c r="J124" s="8"/>
      <c r="K124" s="9"/>
    </row>
    <row r="125">
      <c r="A125" s="6"/>
      <c r="B125" s="7"/>
      <c r="C125" s="7"/>
      <c r="D125" s="7"/>
      <c r="E125" s="7"/>
      <c r="F125" s="7"/>
      <c r="G125" s="7"/>
      <c r="H125" s="7"/>
      <c r="I125" s="7"/>
      <c r="J125" s="8"/>
      <c r="K125" s="9"/>
    </row>
    <row r="126">
      <c r="A126" s="6"/>
      <c r="B126" s="7"/>
      <c r="C126" s="7"/>
      <c r="D126" s="7"/>
      <c r="E126" s="7"/>
      <c r="F126" s="7"/>
      <c r="G126" s="7"/>
      <c r="H126" s="7"/>
      <c r="I126" s="7"/>
      <c r="J126" s="8"/>
      <c r="K126" s="9"/>
    </row>
    <row r="127">
      <c r="A127" s="6"/>
      <c r="B127" s="7"/>
      <c r="C127" s="7"/>
      <c r="D127" s="7"/>
      <c r="E127" s="7"/>
      <c r="F127" s="7"/>
      <c r="G127" s="7"/>
      <c r="H127" s="7"/>
      <c r="I127" s="7"/>
      <c r="J127" s="8"/>
      <c r="K127" s="9"/>
    </row>
    <row r="128">
      <c r="A128" s="6"/>
      <c r="B128" s="7"/>
      <c r="C128" s="7"/>
      <c r="D128" s="7"/>
      <c r="E128" s="7"/>
      <c r="F128" s="7"/>
      <c r="G128" s="7"/>
      <c r="H128" s="7"/>
      <c r="I128" s="7"/>
      <c r="J128" s="8"/>
      <c r="K128" s="9"/>
    </row>
    <row r="129">
      <c r="A129" s="6"/>
      <c r="B129" s="7"/>
      <c r="C129" s="7"/>
      <c r="D129" s="7"/>
      <c r="E129" s="7"/>
      <c r="F129" s="7"/>
      <c r="G129" s="7"/>
      <c r="H129" s="7"/>
      <c r="I129" s="7"/>
      <c r="J129" s="8"/>
      <c r="K129" s="9"/>
    </row>
    <row r="130">
      <c r="A130" s="6"/>
      <c r="B130" s="7"/>
      <c r="C130" s="7"/>
      <c r="D130" s="7"/>
      <c r="E130" s="7"/>
      <c r="F130" s="7"/>
      <c r="G130" s="7"/>
      <c r="H130" s="7"/>
      <c r="I130" s="7"/>
      <c r="J130" s="8"/>
      <c r="K130" s="9"/>
    </row>
    <row r="131">
      <c r="A131" s="6"/>
      <c r="B131" s="7"/>
      <c r="C131" s="7"/>
      <c r="D131" s="7"/>
      <c r="E131" s="7"/>
      <c r="F131" s="7"/>
      <c r="G131" s="7"/>
      <c r="H131" s="7"/>
      <c r="I131" s="7"/>
      <c r="J131" s="8"/>
      <c r="K131" s="9"/>
    </row>
    <row r="132">
      <c r="A132" s="6"/>
      <c r="B132" s="7"/>
      <c r="C132" s="7"/>
      <c r="D132" s="7"/>
      <c r="E132" s="7"/>
      <c r="F132" s="7"/>
      <c r="G132" s="7"/>
      <c r="H132" s="7"/>
      <c r="I132" s="7"/>
      <c r="J132" s="8"/>
      <c r="K132" s="9"/>
    </row>
    <row r="133">
      <c r="A133" s="6"/>
      <c r="B133" s="7"/>
      <c r="C133" s="7"/>
      <c r="D133" s="7"/>
      <c r="E133" s="7"/>
      <c r="F133" s="7"/>
      <c r="G133" s="7"/>
      <c r="H133" s="7"/>
      <c r="I133" s="7"/>
      <c r="J133" s="8"/>
      <c r="K133" s="9"/>
    </row>
    <row r="134">
      <c r="A134" s="6"/>
      <c r="B134" s="7"/>
      <c r="C134" s="7"/>
      <c r="D134" s="7"/>
      <c r="E134" s="7"/>
      <c r="F134" s="7"/>
      <c r="G134" s="7"/>
      <c r="H134" s="7"/>
      <c r="I134" s="7"/>
      <c r="J134" s="8"/>
      <c r="K134" s="9"/>
    </row>
    <row r="135">
      <c r="A135" s="6"/>
      <c r="B135" s="7"/>
      <c r="C135" s="7"/>
      <c r="D135" s="7"/>
      <c r="E135" s="7"/>
      <c r="F135" s="7"/>
      <c r="G135" s="7"/>
      <c r="H135" s="7"/>
      <c r="I135" s="7"/>
      <c r="J135" s="8"/>
      <c r="K135" s="9"/>
    </row>
    <row r="136">
      <c r="A136" s="6"/>
      <c r="B136" s="7"/>
      <c r="C136" s="7"/>
      <c r="D136" s="7"/>
      <c r="E136" s="7"/>
      <c r="F136" s="7"/>
      <c r="G136" s="7"/>
      <c r="H136" s="7"/>
      <c r="I136" s="7"/>
      <c r="J136" s="8"/>
      <c r="K136" s="9"/>
    </row>
    <row r="137">
      <c r="A137" s="6"/>
      <c r="B137" s="7"/>
      <c r="C137" s="7"/>
      <c r="D137" s="7"/>
      <c r="E137" s="7"/>
      <c r="F137" s="7"/>
      <c r="G137" s="7"/>
      <c r="H137" s="7"/>
      <c r="I137" s="7"/>
      <c r="J137" s="8"/>
      <c r="K137" s="9"/>
    </row>
    <row r="138">
      <c r="A138" s="6"/>
      <c r="B138" s="7"/>
      <c r="C138" s="7"/>
      <c r="D138" s="7"/>
      <c r="E138" s="7"/>
      <c r="F138" s="7"/>
      <c r="G138" s="7"/>
      <c r="H138" s="7"/>
      <c r="I138" s="7"/>
      <c r="J138" s="8"/>
      <c r="K138" s="9"/>
    </row>
    <row r="139">
      <c r="A139" s="6"/>
      <c r="B139" s="7"/>
      <c r="C139" s="7"/>
      <c r="D139" s="7"/>
      <c r="E139" s="7"/>
      <c r="F139" s="7"/>
      <c r="G139" s="7"/>
      <c r="H139" s="7"/>
      <c r="I139" s="7"/>
      <c r="J139" s="8"/>
      <c r="K139" s="9"/>
    </row>
    <row r="140">
      <c r="A140" s="6"/>
      <c r="B140" s="7"/>
      <c r="C140" s="7"/>
      <c r="D140" s="7"/>
      <c r="E140" s="7"/>
      <c r="F140" s="7"/>
      <c r="G140" s="7"/>
      <c r="H140" s="7"/>
      <c r="I140" s="7"/>
      <c r="J140" s="8"/>
      <c r="K140" s="9"/>
    </row>
    <row r="141">
      <c r="A141" s="6"/>
      <c r="B141" s="7"/>
      <c r="C141" s="7"/>
      <c r="D141" s="7"/>
      <c r="E141" s="7"/>
      <c r="F141" s="7"/>
      <c r="G141" s="7"/>
      <c r="H141" s="7"/>
      <c r="I141" s="7"/>
      <c r="J141" s="8"/>
      <c r="K141" s="9"/>
    </row>
    <row r="142">
      <c r="A142" s="6"/>
      <c r="B142" s="7"/>
      <c r="C142" s="7"/>
      <c r="D142" s="7"/>
      <c r="E142" s="7"/>
      <c r="F142" s="7"/>
      <c r="G142" s="7"/>
      <c r="H142" s="7"/>
      <c r="I142" s="7"/>
      <c r="J142" s="8"/>
      <c r="K142" s="9"/>
    </row>
    <row r="143">
      <c r="A143" s="6"/>
      <c r="B143" s="7"/>
      <c r="C143" s="7"/>
      <c r="D143" s="7"/>
      <c r="E143" s="7"/>
      <c r="F143" s="7"/>
      <c r="G143" s="7"/>
      <c r="H143" s="7"/>
      <c r="I143" s="7"/>
      <c r="J143" s="8"/>
      <c r="K143" s="9"/>
    </row>
    <row r="144">
      <c r="A144" s="6"/>
      <c r="B144" s="7"/>
      <c r="C144" s="7"/>
      <c r="D144" s="7"/>
      <c r="E144" s="7"/>
      <c r="F144" s="7"/>
      <c r="G144" s="7"/>
      <c r="H144" s="7"/>
      <c r="I144" s="7"/>
      <c r="J144" s="8"/>
      <c r="K144" s="9"/>
    </row>
    <row r="145">
      <c r="A145" s="6"/>
      <c r="B145" s="7"/>
      <c r="C145" s="7"/>
      <c r="D145" s="7"/>
      <c r="E145" s="7"/>
      <c r="F145" s="7"/>
      <c r="G145" s="7"/>
      <c r="H145" s="7"/>
      <c r="I145" s="7"/>
      <c r="J145" s="8"/>
      <c r="K145" s="9"/>
    </row>
    <row r="146">
      <c r="A146" s="6"/>
      <c r="B146" s="7"/>
      <c r="C146" s="7"/>
      <c r="D146" s="7"/>
      <c r="E146" s="7"/>
      <c r="F146" s="7"/>
      <c r="G146" s="7"/>
      <c r="H146" s="7"/>
      <c r="I146" s="7"/>
      <c r="J146" s="8"/>
      <c r="K146" s="9"/>
    </row>
    <row r="147">
      <c r="A147" s="6"/>
      <c r="B147" s="7"/>
      <c r="C147" s="7"/>
      <c r="D147" s="7"/>
      <c r="E147" s="7"/>
      <c r="F147" s="7"/>
      <c r="G147" s="7"/>
      <c r="H147" s="7"/>
      <c r="I147" s="7"/>
      <c r="J147" s="8"/>
      <c r="K147" s="9"/>
    </row>
    <row r="148">
      <c r="A148" s="6"/>
      <c r="B148" s="7"/>
      <c r="C148" s="7"/>
      <c r="D148" s="7"/>
      <c r="E148" s="7"/>
      <c r="F148" s="7"/>
      <c r="G148" s="7"/>
      <c r="H148" s="7"/>
      <c r="I148" s="7"/>
      <c r="J148" s="8"/>
      <c r="K148" s="9"/>
    </row>
    <row r="149">
      <c r="A149" s="6"/>
      <c r="B149" s="7"/>
      <c r="C149" s="7"/>
      <c r="D149" s="7"/>
      <c r="E149" s="7"/>
      <c r="F149" s="7"/>
      <c r="G149" s="7"/>
      <c r="H149" s="7"/>
      <c r="I149" s="7"/>
      <c r="J149" s="8"/>
      <c r="K149" s="9"/>
    </row>
    <row r="150">
      <c r="A150" s="6"/>
      <c r="B150" s="7"/>
      <c r="C150" s="7"/>
      <c r="D150" s="7"/>
      <c r="E150" s="7"/>
      <c r="F150" s="7"/>
      <c r="G150" s="7"/>
      <c r="H150" s="7"/>
      <c r="I150" s="7"/>
      <c r="J150" s="8"/>
      <c r="K150" s="9"/>
    </row>
    <row r="151">
      <c r="A151" s="6"/>
      <c r="B151" s="7"/>
      <c r="C151" s="7"/>
      <c r="D151" s="7"/>
      <c r="E151" s="7"/>
      <c r="F151" s="7"/>
      <c r="G151" s="7"/>
      <c r="H151" s="7"/>
      <c r="I151" s="7"/>
      <c r="J151" s="8"/>
      <c r="K151" s="9"/>
    </row>
    <row r="152">
      <c r="A152" s="6"/>
      <c r="B152" s="7"/>
      <c r="C152" s="7"/>
      <c r="D152" s="7"/>
      <c r="E152" s="7"/>
      <c r="F152" s="7"/>
      <c r="G152" s="7"/>
      <c r="H152" s="7"/>
      <c r="I152" s="7"/>
      <c r="J152" s="8"/>
      <c r="K152" s="9"/>
    </row>
    <row r="153">
      <c r="A153" s="6"/>
      <c r="B153" s="7"/>
      <c r="C153" s="7"/>
      <c r="D153" s="7"/>
      <c r="E153" s="7"/>
      <c r="F153" s="7"/>
      <c r="G153" s="7"/>
      <c r="H153" s="7"/>
      <c r="I153" s="7"/>
      <c r="J153" s="8"/>
      <c r="K153" s="9"/>
    </row>
    <row r="154">
      <c r="A154" s="6"/>
      <c r="B154" s="7"/>
      <c r="C154" s="7"/>
      <c r="D154" s="7"/>
      <c r="E154" s="7"/>
      <c r="F154" s="7"/>
      <c r="G154" s="7"/>
      <c r="H154" s="7"/>
      <c r="I154" s="7"/>
      <c r="J154" s="8"/>
      <c r="K154" s="9"/>
    </row>
    <row r="155">
      <c r="A155" s="6"/>
      <c r="B155" s="7"/>
      <c r="C155" s="7"/>
      <c r="D155" s="7"/>
      <c r="E155" s="7"/>
      <c r="F155" s="7"/>
      <c r="G155" s="7"/>
      <c r="H155" s="7"/>
      <c r="I155" s="7"/>
      <c r="J155" s="8"/>
      <c r="K155" s="9"/>
    </row>
    <row r="156">
      <c r="A156" s="6"/>
      <c r="B156" s="7"/>
      <c r="C156" s="7"/>
      <c r="D156" s="7"/>
      <c r="E156" s="7"/>
      <c r="F156" s="7"/>
      <c r="G156" s="7"/>
      <c r="H156" s="7"/>
      <c r="I156" s="7"/>
      <c r="J156" s="8"/>
      <c r="K156" s="9"/>
    </row>
    <row r="157">
      <c r="A157" s="6"/>
      <c r="B157" s="7"/>
      <c r="C157" s="7"/>
      <c r="D157" s="7"/>
      <c r="E157" s="7"/>
      <c r="F157" s="7"/>
      <c r="G157" s="7"/>
      <c r="H157" s="7"/>
      <c r="I157" s="7"/>
      <c r="J157" s="8"/>
      <c r="K157" s="9"/>
    </row>
    <row r="158">
      <c r="A158" s="6"/>
      <c r="B158" s="7"/>
      <c r="C158" s="7"/>
      <c r="D158" s="7"/>
      <c r="E158" s="7"/>
      <c r="F158" s="7"/>
      <c r="G158" s="7"/>
      <c r="H158" s="7"/>
      <c r="I158" s="7"/>
      <c r="J158" s="8"/>
      <c r="K158" s="9"/>
    </row>
    <row r="159">
      <c r="A159" s="6"/>
      <c r="B159" s="7"/>
      <c r="C159" s="7"/>
      <c r="D159" s="7"/>
      <c r="E159" s="7"/>
      <c r="F159" s="7"/>
      <c r="G159" s="7"/>
      <c r="H159" s="7"/>
      <c r="I159" s="7"/>
      <c r="J159" s="8"/>
      <c r="K159" s="9"/>
    </row>
    <row r="160">
      <c r="A160" s="6"/>
      <c r="B160" s="7"/>
      <c r="C160" s="7"/>
      <c r="D160" s="7"/>
      <c r="E160" s="7"/>
      <c r="F160" s="7"/>
      <c r="G160" s="7"/>
      <c r="H160" s="7"/>
      <c r="I160" s="7"/>
      <c r="J160" s="8"/>
      <c r="K160" s="9"/>
    </row>
    <row r="161">
      <c r="A161" s="6"/>
      <c r="B161" s="7"/>
      <c r="C161" s="7"/>
      <c r="D161" s="7"/>
      <c r="E161" s="7"/>
      <c r="F161" s="7"/>
      <c r="G161" s="7"/>
      <c r="H161" s="7"/>
      <c r="I161" s="7"/>
      <c r="J161" s="8"/>
      <c r="K161" s="9"/>
    </row>
    <row r="162">
      <c r="A162" s="6"/>
      <c r="B162" s="7"/>
      <c r="C162" s="7"/>
      <c r="D162" s="7"/>
      <c r="E162" s="7"/>
      <c r="F162" s="7"/>
      <c r="G162" s="7"/>
      <c r="H162" s="7"/>
      <c r="I162" s="7"/>
      <c r="J162" s="8"/>
      <c r="K162" s="9"/>
    </row>
    <row r="163">
      <c r="A163" s="6"/>
      <c r="B163" s="7"/>
      <c r="C163" s="7"/>
      <c r="D163" s="7"/>
      <c r="E163" s="7"/>
      <c r="F163" s="7"/>
      <c r="G163" s="7"/>
      <c r="H163" s="7"/>
      <c r="I163" s="7"/>
      <c r="J163" s="8"/>
      <c r="K163" s="9"/>
    </row>
    <row r="164">
      <c r="A164" s="6"/>
      <c r="B164" s="7"/>
      <c r="C164" s="7"/>
      <c r="D164" s="7"/>
      <c r="E164" s="7"/>
      <c r="F164" s="7"/>
      <c r="G164" s="7"/>
      <c r="H164" s="7"/>
      <c r="I164" s="7"/>
      <c r="J164" s="8"/>
      <c r="K164" s="9"/>
    </row>
    <row r="165">
      <c r="A165" s="6"/>
      <c r="B165" s="7"/>
      <c r="C165" s="7"/>
      <c r="D165" s="7"/>
      <c r="E165" s="7"/>
      <c r="F165" s="7"/>
      <c r="G165" s="7"/>
      <c r="H165" s="7"/>
      <c r="I165" s="7"/>
      <c r="J165" s="8"/>
      <c r="K165" s="9"/>
    </row>
    <row r="166">
      <c r="A166" s="6"/>
      <c r="B166" s="7"/>
      <c r="C166" s="7"/>
      <c r="D166" s="7"/>
      <c r="E166" s="7"/>
      <c r="F166" s="7"/>
      <c r="G166" s="7"/>
      <c r="H166" s="7"/>
      <c r="I166" s="7"/>
      <c r="J166" s="8"/>
      <c r="K166" s="9"/>
    </row>
    <row r="167">
      <c r="A167" s="6"/>
      <c r="B167" s="7"/>
      <c r="C167" s="7"/>
      <c r="D167" s="7"/>
      <c r="E167" s="7"/>
      <c r="F167" s="7"/>
      <c r="G167" s="7"/>
      <c r="H167" s="7"/>
      <c r="I167" s="7"/>
      <c r="J167" s="8"/>
      <c r="K167" s="9"/>
    </row>
    <row r="168">
      <c r="A168" s="6"/>
      <c r="B168" s="7"/>
      <c r="C168" s="7"/>
      <c r="D168" s="7"/>
      <c r="E168" s="7"/>
      <c r="F168" s="7"/>
      <c r="G168" s="7"/>
      <c r="H168" s="7"/>
      <c r="I168" s="7"/>
      <c r="J168" s="8"/>
      <c r="K168" s="9"/>
    </row>
    <row r="169">
      <c r="A169" s="6"/>
      <c r="B169" s="7"/>
      <c r="C169" s="7"/>
      <c r="D169" s="7"/>
      <c r="E169" s="7"/>
      <c r="F169" s="7"/>
      <c r="G169" s="7"/>
      <c r="H169" s="7"/>
      <c r="I169" s="7"/>
      <c r="J169" s="8"/>
      <c r="K169" s="9"/>
    </row>
    <row r="170">
      <c r="A170" s="6"/>
      <c r="B170" s="7"/>
      <c r="C170" s="7"/>
      <c r="D170" s="7"/>
      <c r="E170" s="7"/>
      <c r="F170" s="7"/>
      <c r="G170" s="7"/>
      <c r="H170" s="7"/>
      <c r="I170" s="7"/>
      <c r="J170" s="8"/>
      <c r="K170" s="9"/>
    </row>
    <row r="171">
      <c r="A171" s="6"/>
      <c r="B171" s="7"/>
      <c r="C171" s="7"/>
      <c r="D171" s="7"/>
      <c r="E171" s="7"/>
      <c r="F171" s="7"/>
      <c r="G171" s="7"/>
      <c r="H171" s="7"/>
      <c r="I171" s="7"/>
      <c r="J171" s="8"/>
      <c r="K171" s="9"/>
    </row>
    <row r="172">
      <c r="A172" s="6"/>
      <c r="B172" s="7"/>
      <c r="C172" s="7"/>
      <c r="D172" s="7"/>
      <c r="E172" s="7"/>
      <c r="F172" s="7"/>
      <c r="G172" s="7"/>
      <c r="H172" s="7"/>
      <c r="I172" s="7"/>
      <c r="J172" s="8"/>
      <c r="K172" s="9"/>
    </row>
    <row r="173">
      <c r="A173" s="6"/>
      <c r="B173" s="7"/>
      <c r="C173" s="7"/>
      <c r="D173" s="7"/>
      <c r="E173" s="7"/>
      <c r="F173" s="7"/>
      <c r="G173" s="7"/>
      <c r="H173" s="7"/>
      <c r="I173" s="7"/>
      <c r="J173" s="8"/>
      <c r="K173" s="9"/>
    </row>
    <row r="174">
      <c r="A174" s="6"/>
      <c r="B174" s="7"/>
      <c r="C174" s="7"/>
      <c r="D174" s="7"/>
      <c r="E174" s="7"/>
      <c r="F174" s="7"/>
      <c r="G174" s="7"/>
      <c r="H174" s="7"/>
      <c r="I174" s="7"/>
      <c r="J174" s="8"/>
      <c r="K174" s="9"/>
    </row>
    <row r="175">
      <c r="A175" s="6"/>
      <c r="B175" s="7"/>
      <c r="C175" s="7"/>
      <c r="D175" s="7"/>
      <c r="E175" s="7"/>
      <c r="F175" s="7"/>
      <c r="G175" s="7"/>
      <c r="H175" s="7"/>
      <c r="I175" s="7"/>
      <c r="J175" s="8"/>
      <c r="K175" s="9"/>
    </row>
    <row r="176">
      <c r="A176" s="6"/>
      <c r="B176" s="7"/>
      <c r="C176" s="7"/>
      <c r="D176" s="7"/>
      <c r="E176" s="7"/>
      <c r="F176" s="7"/>
      <c r="G176" s="7"/>
      <c r="H176" s="7"/>
      <c r="I176" s="7"/>
      <c r="J176" s="8"/>
      <c r="K176" s="9"/>
    </row>
    <row r="177">
      <c r="A177" s="6"/>
      <c r="B177" s="7"/>
      <c r="C177" s="7"/>
      <c r="D177" s="7"/>
      <c r="E177" s="7"/>
      <c r="F177" s="7"/>
      <c r="G177" s="7"/>
      <c r="H177" s="7"/>
      <c r="I177" s="7"/>
      <c r="J177" s="8"/>
      <c r="K177" s="9"/>
    </row>
    <row r="178">
      <c r="A178" s="6"/>
      <c r="B178" s="7"/>
      <c r="C178" s="7"/>
      <c r="D178" s="7"/>
      <c r="E178" s="7"/>
      <c r="F178" s="7"/>
      <c r="G178" s="7"/>
      <c r="H178" s="7"/>
      <c r="I178" s="7"/>
      <c r="J178" s="8"/>
      <c r="K178" s="9"/>
    </row>
    <row r="179">
      <c r="A179" s="6"/>
      <c r="B179" s="7"/>
      <c r="C179" s="7"/>
      <c r="D179" s="7"/>
      <c r="E179" s="7"/>
      <c r="F179" s="7"/>
      <c r="G179" s="7"/>
      <c r="H179" s="7"/>
      <c r="I179" s="7"/>
      <c r="J179" s="8"/>
      <c r="K179" s="9"/>
    </row>
    <row r="180">
      <c r="A180" s="6"/>
      <c r="B180" s="7"/>
      <c r="C180" s="7"/>
      <c r="D180" s="7"/>
      <c r="E180" s="7"/>
      <c r="F180" s="7"/>
      <c r="G180" s="7"/>
      <c r="H180" s="7"/>
      <c r="I180" s="7"/>
      <c r="J180" s="8"/>
      <c r="K180" s="9"/>
    </row>
    <row r="181">
      <c r="A181" s="6"/>
      <c r="B181" s="7"/>
      <c r="C181" s="7"/>
      <c r="D181" s="7"/>
      <c r="E181" s="7"/>
      <c r="F181" s="7"/>
      <c r="G181" s="7"/>
      <c r="H181" s="7"/>
      <c r="I181" s="7"/>
      <c r="J181" s="8"/>
      <c r="K181" s="9"/>
    </row>
    <row r="182">
      <c r="A182" s="6"/>
      <c r="B182" s="7"/>
      <c r="C182" s="7"/>
      <c r="D182" s="7"/>
      <c r="E182" s="7"/>
      <c r="F182" s="7"/>
      <c r="G182" s="7"/>
      <c r="H182" s="7"/>
      <c r="I182" s="7"/>
      <c r="J182" s="8"/>
      <c r="K182" s="9"/>
    </row>
    <row r="183">
      <c r="A183" s="6"/>
      <c r="B183" s="7"/>
      <c r="C183" s="7"/>
      <c r="D183" s="7"/>
      <c r="E183" s="7"/>
      <c r="F183" s="7"/>
      <c r="G183" s="7"/>
      <c r="H183" s="7"/>
      <c r="I183" s="7"/>
      <c r="J183" s="8"/>
      <c r="K183" s="9"/>
    </row>
    <row r="184">
      <c r="A184" s="6"/>
      <c r="B184" s="7"/>
      <c r="C184" s="7"/>
      <c r="D184" s="7"/>
      <c r="E184" s="7"/>
      <c r="F184" s="7"/>
      <c r="G184" s="7"/>
      <c r="H184" s="7"/>
      <c r="I184" s="7"/>
      <c r="J184" s="8"/>
      <c r="K184" s="9"/>
    </row>
    <row r="185">
      <c r="A185" s="6"/>
      <c r="B185" s="7"/>
      <c r="C185" s="7"/>
      <c r="D185" s="7"/>
      <c r="E185" s="7"/>
      <c r="F185" s="7"/>
      <c r="G185" s="7"/>
      <c r="H185" s="7"/>
      <c r="I185" s="7"/>
      <c r="J185" s="8"/>
      <c r="K185" s="9"/>
    </row>
    <row r="186">
      <c r="A186" s="6"/>
      <c r="B186" s="7"/>
      <c r="C186" s="7"/>
      <c r="D186" s="7"/>
      <c r="E186" s="7"/>
      <c r="F186" s="7"/>
      <c r="G186" s="7"/>
      <c r="H186" s="7"/>
      <c r="I186" s="7"/>
      <c r="J186" s="8"/>
      <c r="K186" s="9"/>
    </row>
    <row r="187">
      <c r="A187" s="6"/>
      <c r="B187" s="7"/>
      <c r="C187" s="7"/>
      <c r="D187" s="7"/>
      <c r="E187" s="7"/>
      <c r="F187" s="7"/>
      <c r="G187" s="7"/>
      <c r="H187" s="7"/>
      <c r="I187" s="7"/>
      <c r="J187" s="8"/>
      <c r="K187" s="9"/>
    </row>
    <row r="188">
      <c r="A188" s="6"/>
      <c r="B188" s="7"/>
      <c r="C188" s="7"/>
      <c r="D188" s="7"/>
      <c r="E188" s="7"/>
      <c r="F188" s="7"/>
      <c r="G188" s="7"/>
      <c r="H188" s="7"/>
      <c r="I188" s="7"/>
      <c r="J188" s="8"/>
      <c r="K188" s="9"/>
    </row>
    <row r="189">
      <c r="A189" s="6"/>
      <c r="B189" s="7"/>
      <c r="C189" s="7"/>
      <c r="D189" s="7"/>
      <c r="E189" s="7"/>
      <c r="F189" s="7"/>
      <c r="G189" s="7"/>
      <c r="H189" s="7"/>
      <c r="I189" s="7"/>
      <c r="J189" s="8"/>
      <c r="K189" s="9"/>
    </row>
    <row r="190">
      <c r="A190" s="6"/>
      <c r="B190" s="7"/>
      <c r="C190" s="7"/>
      <c r="D190" s="7"/>
      <c r="E190" s="7"/>
      <c r="F190" s="7"/>
      <c r="G190" s="7"/>
      <c r="H190" s="7"/>
      <c r="I190" s="7"/>
      <c r="J190" s="8"/>
      <c r="K190" s="9"/>
    </row>
    <row r="191">
      <c r="A191" s="6"/>
      <c r="B191" s="7"/>
      <c r="C191" s="7"/>
      <c r="D191" s="7"/>
      <c r="E191" s="7"/>
      <c r="F191" s="7"/>
      <c r="G191" s="7"/>
      <c r="H191" s="7"/>
      <c r="I191" s="7"/>
      <c r="J191" s="8"/>
      <c r="K191" s="9"/>
    </row>
    <row r="192">
      <c r="A192" s="6"/>
      <c r="B192" s="7"/>
      <c r="C192" s="7"/>
      <c r="D192" s="7"/>
      <c r="E192" s="7"/>
      <c r="F192" s="7"/>
      <c r="G192" s="7"/>
      <c r="H192" s="7"/>
      <c r="I192" s="7"/>
      <c r="J192" s="8"/>
      <c r="K192" s="9"/>
    </row>
    <row r="193">
      <c r="A193" s="6"/>
      <c r="B193" s="7"/>
      <c r="C193" s="7"/>
      <c r="D193" s="7"/>
      <c r="E193" s="7"/>
      <c r="F193" s="7"/>
      <c r="G193" s="7"/>
      <c r="H193" s="7"/>
      <c r="I193" s="7"/>
      <c r="J193" s="8"/>
      <c r="K193" s="9"/>
    </row>
    <row r="194">
      <c r="A194" s="6"/>
      <c r="B194" s="7"/>
      <c r="C194" s="7"/>
      <c r="D194" s="7"/>
      <c r="E194" s="7"/>
      <c r="F194" s="7"/>
      <c r="G194" s="7"/>
      <c r="H194" s="7"/>
      <c r="I194" s="7"/>
      <c r="J194" s="8"/>
      <c r="K194" s="9"/>
    </row>
    <row r="195">
      <c r="A195" s="6"/>
      <c r="B195" s="7"/>
      <c r="C195" s="7"/>
      <c r="D195" s="7"/>
      <c r="E195" s="7"/>
      <c r="F195" s="7"/>
      <c r="G195" s="7"/>
      <c r="H195" s="7"/>
      <c r="I195" s="7"/>
      <c r="J195" s="8"/>
      <c r="K195" s="9"/>
    </row>
    <row r="196">
      <c r="A196" s="6"/>
      <c r="B196" s="7"/>
      <c r="C196" s="7"/>
      <c r="D196" s="7"/>
      <c r="E196" s="7"/>
      <c r="F196" s="7"/>
      <c r="G196" s="7"/>
      <c r="H196" s="7"/>
      <c r="I196" s="7"/>
      <c r="J196" s="8"/>
      <c r="K196" s="9"/>
    </row>
    <row r="197">
      <c r="A197" s="6"/>
      <c r="B197" s="7"/>
      <c r="C197" s="7"/>
      <c r="D197" s="7"/>
      <c r="E197" s="7"/>
      <c r="F197" s="7"/>
      <c r="G197" s="7"/>
      <c r="H197" s="7"/>
      <c r="I197" s="7"/>
      <c r="J197" s="8"/>
      <c r="K197" s="9"/>
    </row>
    <row r="198">
      <c r="A198" s="6"/>
      <c r="B198" s="7"/>
      <c r="C198" s="7"/>
      <c r="D198" s="7"/>
      <c r="E198" s="7"/>
      <c r="F198" s="7"/>
      <c r="G198" s="7"/>
      <c r="H198" s="7"/>
      <c r="I198" s="7"/>
      <c r="J198" s="8"/>
      <c r="K198" s="9"/>
    </row>
    <row r="199">
      <c r="A199" s="6"/>
      <c r="B199" s="7"/>
      <c r="C199" s="7"/>
      <c r="D199" s="7"/>
      <c r="E199" s="7"/>
      <c r="F199" s="7"/>
      <c r="G199" s="7"/>
      <c r="H199" s="7"/>
      <c r="I199" s="7"/>
      <c r="J199" s="8"/>
      <c r="K199" s="9"/>
    </row>
    <row r="200">
      <c r="A200" s="6"/>
      <c r="B200" s="7"/>
      <c r="C200" s="7"/>
      <c r="D200" s="7"/>
      <c r="E200" s="7"/>
      <c r="F200" s="7"/>
      <c r="G200" s="7"/>
      <c r="H200" s="7"/>
      <c r="I200" s="7"/>
      <c r="J200" s="8"/>
      <c r="K200" s="9"/>
    </row>
    <row r="201">
      <c r="A201" s="6"/>
      <c r="B201" s="7"/>
      <c r="C201" s="7"/>
      <c r="D201" s="7"/>
      <c r="E201" s="7"/>
      <c r="F201" s="7"/>
      <c r="G201" s="7"/>
      <c r="H201" s="7"/>
      <c r="I201" s="7"/>
      <c r="J201" s="8"/>
      <c r="K201" s="9"/>
    </row>
    <row r="202">
      <c r="A202" s="6"/>
      <c r="B202" s="7"/>
      <c r="C202" s="7"/>
      <c r="D202" s="7"/>
      <c r="E202" s="7"/>
      <c r="F202" s="7"/>
      <c r="G202" s="7"/>
      <c r="H202" s="7"/>
      <c r="I202" s="7"/>
      <c r="J202" s="8"/>
      <c r="K202" s="9"/>
    </row>
    <row r="203">
      <c r="A203" s="6"/>
      <c r="B203" s="7"/>
      <c r="C203" s="7"/>
      <c r="D203" s="7"/>
      <c r="E203" s="7"/>
      <c r="F203" s="7"/>
      <c r="G203" s="7"/>
      <c r="H203" s="7"/>
      <c r="I203" s="7"/>
      <c r="J203" s="8"/>
      <c r="K203" s="9"/>
    </row>
    <row r="204">
      <c r="A204" s="6"/>
      <c r="B204" s="7"/>
      <c r="C204" s="7"/>
      <c r="D204" s="7"/>
      <c r="E204" s="7"/>
      <c r="F204" s="7"/>
      <c r="G204" s="7"/>
      <c r="H204" s="7"/>
      <c r="I204" s="7"/>
      <c r="J204" s="8"/>
      <c r="K204" s="9"/>
    </row>
    <row r="205">
      <c r="A205" s="6"/>
      <c r="B205" s="7"/>
      <c r="C205" s="7"/>
      <c r="D205" s="7"/>
      <c r="E205" s="7"/>
      <c r="F205" s="7"/>
      <c r="G205" s="7"/>
      <c r="H205" s="7"/>
      <c r="I205" s="7"/>
      <c r="J205" s="8"/>
      <c r="K205" s="9"/>
    </row>
    <row r="206">
      <c r="A206" s="6"/>
      <c r="B206" s="7"/>
      <c r="C206" s="7"/>
      <c r="D206" s="7"/>
      <c r="E206" s="7"/>
      <c r="F206" s="7"/>
      <c r="G206" s="7"/>
      <c r="H206" s="7"/>
      <c r="I206" s="7"/>
      <c r="J206" s="8"/>
      <c r="K206" s="9"/>
    </row>
    <row r="207">
      <c r="A207" s="6"/>
      <c r="B207" s="7"/>
      <c r="C207" s="7"/>
      <c r="D207" s="7"/>
      <c r="E207" s="7"/>
      <c r="F207" s="7"/>
      <c r="G207" s="7"/>
      <c r="H207" s="7"/>
      <c r="I207" s="7"/>
      <c r="J207" s="8"/>
      <c r="K207" s="9"/>
    </row>
    <row r="208">
      <c r="A208" s="6"/>
      <c r="B208" s="7"/>
      <c r="C208" s="7"/>
      <c r="D208" s="7"/>
      <c r="E208" s="7"/>
      <c r="F208" s="7"/>
      <c r="G208" s="7"/>
      <c r="H208" s="7"/>
      <c r="I208" s="7"/>
      <c r="J208" s="8"/>
      <c r="K208" s="9"/>
    </row>
    <row r="209">
      <c r="A209" s="6"/>
      <c r="B209" s="7"/>
      <c r="C209" s="7"/>
      <c r="D209" s="7"/>
      <c r="E209" s="7"/>
      <c r="F209" s="7"/>
      <c r="G209" s="7"/>
      <c r="H209" s="7"/>
      <c r="I209" s="7"/>
      <c r="J209" s="8"/>
      <c r="K209" s="9"/>
    </row>
    <row r="210">
      <c r="A210" s="6"/>
      <c r="B210" s="7"/>
      <c r="C210" s="7"/>
      <c r="D210" s="7"/>
      <c r="E210" s="7"/>
      <c r="F210" s="7"/>
      <c r="G210" s="7"/>
      <c r="H210" s="7"/>
      <c r="I210" s="7"/>
      <c r="J210" s="8"/>
      <c r="K210" s="9"/>
    </row>
    <row r="211">
      <c r="A211" s="6"/>
      <c r="B211" s="7"/>
      <c r="C211" s="7"/>
      <c r="D211" s="7"/>
      <c r="E211" s="7"/>
      <c r="F211" s="7"/>
      <c r="G211" s="7"/>
      <c r="H211" s="7"/>
      <c r="I211" s="7"/>
      <c r="J211" s="8"/>
      <c r="K211" s="9"/>
    </row>
    <row r="212">
      <c r="A212" s="6"/>
      <c r="B212" s="7"/>
      <c r="C212" s="7"/>
      <c r="D212" s="7"/>
      <c r="E212" s="7"/>
      <c r="F212" s="7"/>
      <c r="G212" s="7"/>
      <c r="H212" s="7"/>
      <c r="I212" s="7"/>
      <c r="J212" s="8"/>
      <c r="K212" s="9"/>
    </row>
    <row r="213">
      <c r="A213" s="6"/>
      <c r="B213" s="7"/>
      <c r="C213" s="7"/>
      <c r="D213" s="7"/>
      <c r="E213" s="7"/>
      <c r="F213" s="7"/>
      <c r="G213" s="7"/>
      <c r="H213" s="7"/>
      <c r="I213" s="7"/>
      <c r="J213" s="8"/>
      <c r="K213" s="9"/>
    </row>
    <row r="214">
      <c r="A214" s="6"/>
      <c r="B214" s="7"/>
      <c r="C214" s="7"/>
      <c r="D214" s="7"/>
      <c r="E214" s="7"/>
      <c r="F214" s="7"/>
      <c r="G214" s="7"/>
      <c r="H214" s="7"/>
      <c r="I214" s="7"/>
      <c r="J214" s="8"/>
      <c r="K214" s="9"/>
    </row>
    <row r="215">
      <c r="A215" s="6"/>
      <c r="B215" s="7"/>
      <c r="C215" s="7"/>
      <c r="D215" s="7"/>
      <c r="E215" s="7"/>
      <c r="F215" s="7"/>
      <c r="G215" s="7"/>
      <c r="H215" s="7"/>
      <c r="I215" s="7"/>
      <c r="J215" s="8"/>
      <c r="K215" s="9"/>
    </row>
    <row r="216">
      <c r="A216" s="6"/>
      <c r="B216" s="7"/>
      <c r="C216" s="7"/>
      <c r="D216" s="7"/>
      <c r="E216" s="7"/>
      <c r="F216" s="7"/>
      <c r="G216" s="7"/>
      <c r="H216" s="7"/>
      <c r="I216" s="7"/>
      <c r="J216" s="8"/>
      <c r="K216" s="9"/>
    </row>
    <row r="217">
      <c r="A217" s="6"/>
      <c r="B217" s="7"/>
      <c r="C217" s="7"/>
      <c r="D217" s="7"/>
      <c r="E217" s="7"/>
      <c r="F217" s="7"/>
      <c r="G217" s="7"/>
      <c r="H217" s="7"/>
      <c r="I217" s="7"/>
      <c r="J217" s="8"/>
      <c r="K217" s="9"/>
    </row>
    <row r="218">
      <c r="A218" s="6"/>
      <c r="B218" s="7"/>
      <c r="C218" s="7"/>
      <c r="D218" s="7"/>
      <c r="E218" s="7"/>
      <c r="F218" s="7"/>
      <c r="G218" s="7"/>
      <c r="H218" s="7"/>
      <c r="I218" s="7"/>
      <c r="J218" s="8"/>
      <c r="K218" s="9"/>
    </row>
    <row r="219">
      <c r="A219" s="6"/>
      <c r="B219" s="7"/>
      <c r="C219" s="7"/>
      <c r="D219" s="7"/>
      <c r="E219" s="7"/>
      <c r="F219" s="7"/>
      <c r="G219" s="7"/>
      <c r="H219" s="7"/>
      <c r="I219" s="7"/>
      <c r="J219" s="8"/>
      <c r="K219" s="9"/>
    </row>
    <row r="220">
      <c r="A220" s="6"/>
      <c r="B220" s="7"/>
      <c r="C220" s="7"/>
      <c r="D220" s="7"/>
      <c r="E220" s="7"/>
      <c r="F220" s="7"/>
      <c r="G220" s="7"/>
      <c r="H220" s="7"/>
      <c r="I220" s="7"/>
      <c r="J220" s="8"/>
      <c r="K220" s="9"/>
    </row>
    <row r="221">
      <c r="A221" s="6"/>
      <c r="B221" s="7"/>
      <c r="C221" s="7"/>
      <c r="D221" s="7"/>
      <c r="E221" s="7"/>
      <c r="F221" s="7"/>
      <c r="G221" s="7"/>
      <c r="H221" s="7"/>
      <c r="I221" s="7"/>
      <c r="J221" s="8"/>
      <c r="K221" s="9"/>
    </row>
    <row r="222">
      <c r="A222" s="6"/>
      <c r="B222" s="7"/>
      <c r="C222" s="7"/>
      <c r="D222" s="7"/>
      <c r="E222" s="7"/>
      <c r="F222" s="7"/>
      <c r="G222" s="7"/>
      <c r="H222" s="7"/>
      <c r="I222" s="7"/>
      <c r="J222" s="8"/>
      <c r="K222" s="9"/>
    </row>
    <row r="223">
      <c r="A223" s="6"/>
      <c r="B223" s="7"/>
      <c r="C223" s="7"/>
      <c r="D223" s="7"/>
      <c r="E223" s="7"/>
      <c r="F223" s="7"/>
      <c r="G223" s="7"/>
      <c r="H223" s="7"/>
      <c r="I223" s="7"/>
      <c r="J223" s="8"/>
      <c r="K223" s="9"/>
    </row>
    <row r="224">
      <c r="A224" s="6"/>
      <c r="B224" s="7"/>
      <c r="C224" s="7"/>
      <c r="D224" s="7"/>
      <c r="E224" s="7"/>
      <c r="F224" s="7"/>
      <c r="G224" s="7"/>
      <c r="H224" s="7"/>
      <c r="I224" s="7"/>
      <c r="J224" s="8"/>
      <c r="K224" s="9"/>
    </row>
    <row r="225">
      <c r="A225" s="6"/>
      <c r="B225" s="7"/>
      <c r="C225" s="7"/>
      <c r="D225" s="7"/>
      <c r="E225" s="7"/>
      <c r="F225" s="7"/>
      <c r="G225" s="7"/>
      <c r="H225" s="7"/>
      <c r="I225" s="7"/>
      <c r="J225" s="8"/>
      <c r="K225" s="9"/>
    </row>
    <row r="226">
      <c r="A226" s="6"/>
      <c r="B226" s="7"/>
      <c r="C226" s="7"/>
      <c r="D226" s="7"/>
      <c r="E226" s="7"/>
      <c r="F226" s="7"/>
      <c r="G226" s="7"/>
      <c r="H226" s="7"/>
      <c r="I226" s="7"/>
      <c r="J226" s="8"/>
      <c r="K226" s="9"/>
    </row>
    <row r="227">
      <c r="A227" s="6"/>
      <c r="B227" s="7"/>
      <c r="C227" s="7"/>
      <c r="D227" s="7"/>
      <c r="E227" s="7"/>
      <c r="F227" s="7"/>
      <c r="G227" s="7"/>
      <c r="H227" s="7"/>
      <c r="I227" s="7"/>
      <c r="J227" s="8"/>
      <c r="K227" s="9"/>
    </row>
    <row r="228">
      <c r="A228" s="6"/>
      <c r="B228" s="7"/>
      <c r="C228" s="7"/>
      <c r="D228" s="7"/>
      <c r="E228" s="7"/>
      <c r="F228" s="7"/>
      <c r="G228" s="7"/>
      <c r="H228" s="7"/>
      <c r="I228" s="7"/>
      <c r="J228" s="8"/>
      <c r="K228" s="9"/>
    </row>
    <row r="229">
      <c r="A229" s="6"/>
      <c r="B229" s="7"/>
      <c r="C229" s="7"/>
      <c r="D229" s="7"/>
      <c r="E229" s="7"/>
      <c r="F229" s="7"/>
      <c r="G229" s="7"/>
      <c r="H229" s="7"/>
      <c r="I229" s="7"/>
      <c r="J229" s="8"/>
      <c r="K229" s="9"/>
    </row>
    <row r="230">
      <c r="A230" s="6"/>
      <c r="B230" s="7"/>
      <c r="C230" s="7"/>
      <c r="D230" s="7"/>
      <c r="E230" s="7"/>
      <c r="F230" s="7"/>
      <c r="G230" s="7"/>
      <c r="H230" s="7"/>
      <c r="I230" s="7"/>
      <c r="J230" s="8"/>
      <c r="K230" s="9"/>
    </row>
    <row r="231">
      <c r="A231" s="6"/>
      <c r="B231" s="7"/>
      <c r="C231" s="7"/>
      <c r="D231" s="7"/>
      <c r="E231" s="7"/>
      <c r="F231" s="7"/>
      <c r="G231" s="7"/>
      <c r="H231" s="7"/>
      <c r="I231" s="7"/>
      <c r="J231" s="8"/>
      <c r="K231" s="9"/>
    </row>
    <row r="232">
      <c r="A232" s="6"/>
      <c r="B232" s="7"/>
      <c r="C232" s="7"/>
      <c r="D232" s="7"/>
      <c r="E232" s="7"/>
      <c r="F232" s="7"/>
      <c r="G232" s="7"/>
      <c r="H232" s="7"/>
      <c r="I232" s="7"/>
      <c r="J232" s="8"/>
      <c r="K232" s="9"/>
    </row>
    <row r="233">
      <c r="A233" s="6"/>
      <c r="B233" s="7"/>
      <c r="C233" s="7"/>
      <c r="D233" s="7"/>
      <c r="E233" s="7"/>
      <c r="F233" s="7"/>
      <c r="G233" s="7"/>
      <c r="H233" s="7"/>
      <c r="I233" s="7"/>
      <c r="J233" s="8"/>
      <c r="K233" s="9"/>
    </row>
    <row r="234">
      <c r="A234" s="6"/>
      <c r="B234" s="7"/>
      <c r="C234" s="7"/>
      <c r="D234" s="7"/>
      <c r="E234" s="7"/>
      <c r="F234" s="7"/>
      <c r="G234" s="7"/>
      <c r="H234" s="7"/>
      <c r="I234" s="7"/>
      <c r="J234" s="8"/>
      <c r="K234" s="9"/>
    </row>
    <row r="235">
      <c r="A235" s="6"/>
      <c r="B235" s="7"/>
      <c r="C235" s="7"/>
      <c r="D235" s="7"/>
      <c r="E235" s="7"/>
      <c r="F235" s="7"/>
      <c r="G235" s="7"/>
      <c r="H235" s="7"/>
      <c r="I235" s="7"/>
      <c r="J235" s="8"/>
      <c r="K235" s="9"/>
    </row>
    <row r="236">
      <c r="A236" s="6"/>
      <c r="B236" s="7"/>
      <c r="C236" s="7"/>
      <c r="D236" s="7"/>
      <c r="E236" s="7"/>
      <c r="F236" s="7"/>
      <c r="G236" s="7"/>
      <c r="H236" s="7"/>
      <c r="I236" s="7"/>
      <c r="J236" s="8"/>
      <c r="K236" s="9"/>
    </row>
    <row r="237">
      <c r="A237" s="6"/>
      <c r="B237" s="7"/>
      <c r="C237" s="7"/>
      <c r="D237" s="7"/>
      <c r="E237" s="7"/>
      <c r="F237" s="7"/>
      <c r="G237" s="7"/>
      <c r="H237" s="7"/>
      <c r="I237" s="7"/>
      <c r="J237" s="8"/>
      <c r="K237" s="9"/>
    </row>
    <row r="238">
      <c r="A238" s="6"/>
      <c r="B238" s="7"/>
      <c r="C238" s="7"/>
      <c r="D238" s="7"/>
      <c r="E238" s="7"/>
      <c r="F238" s="7"/>
      <c r="G238" s="7"/>
      <c r="H238" s="7"/>
      <c r="I238" s="7"/>
      <c r="J238" s="8"/>
      <c r="K238" s="9"/>
    </row>
    <row r="239">
      <c r="A239" s="6"/>
      <c r="B239" s="7"/>
      <c r="C239" s="7"/>
      <c r="D239" s="7"/>
      <c r="E239" s="7"/>
      <c r="F239" s="7"/>
      <c r="G239" s="7"/>
      <c r="H239" s="7"/>
      <c r="I239" s="7"/>
      <c r="J239" s="8"/>
      <c r="K239" s="9"/>
    </row>
    <row r="240">
      <c r="A240" s="6"/>
      <c r="B240" s="7"/>
      <c r="C240" s="7"/>
      <c r="D240" s="7"/>
      <c r="E240" s="7"/>
      <c r="F240" s="7"/>
      <c r="G240" s="7"/>
      <c r="H240" s="7"/>
      <c r="I240" s="7"/>
      <c r="J240" s="8"/>
      <c r="K240" s="9"/>
    </row>
    <row r="241">
      <c r="A241" s="6"/>
      <c r="B241" s="7"/>
      <c r="C241" s="7"/>
      <c r="D241" s="7"/>
      <c r="E241" s="7"/>
      <c r="F241" s="7"/>
      <c r="G241" s="7"/>
      <c r="H241" s="7"/>
      <c r="I241" s="7"/>
      <c r="J241" s="8"/>
      <c r="K241" s="9"/>
    </row>
    <row r="242">
      <c r="A242" s="6"/>
      <c r="B242" s="7"/>
      <c r="C242" s="7"/>
      <c r="D242" s="7"/>
      <c r="E242" s="7"/>
      <c r="F242" s="7"/>
      <c r="G242" s="7"/>
      <c r="H242" s="7"/>
      <c r="I242" s="7"/>
      <c r="J242" s="8"/>
      <c r="K242" s="9"/>
    </row>
    <row r="243">
      <c r="A243" s="6"/>
      <c r="B243" s="7"/>
      <c r="C243" s="7"/>
      <c r="D243" s="7"/>
      <c r="E243" s="7"/>
      <c r="F243" s="7"/>
      <c r="G243" s="7"/>
      <c r="H243" s="7"/>
      <c r="I243" s="7"/>
      <c r="J243" s="8"/>
      <c r="K243" s="9"/>
    </row>
    <row r="244">
      <c r="A244" s="6"/>
      <c r="B244" s="7"/>
      <c r="C244" s="7"/>
      <c r="D244" s="7"/>
      <c r="E244" s="7"/>
      <c r="F244" s="7"/>
      <c r="G244" s="7"/>
      <c r="H244" s="7"/>
      <c r="I244" s="7"/>
      <c r="J244" s="8"/>
      <c r="K244" s="9"/>
    </row>
    <row r="245">
      <c r="A245" s="6"/>
      <c r="B245" s="7"/>
      <c r="C245" s="7"/>
      <c r="D245" s="7"/>
      <c r="E245" s="7"/>
      <c r="F245" s="7"/>
      <c r="G245" s="7"/>
      <c r="H245" s="7"/>
      <c r="I245" s="7"/>
      <c r="J245" s="8"/>
      <c r="K245" s="9"/>
    </row>
    <row r="246">
      <c r="A246" s="6"/>
      <c r="B246" s="7"/>
      <c r="C246" s="7"/>
      <c r="D246" s="7"/>
      <c r="E246" s="7"/>
      <c r="F246" s="7"/>
      <c r="G246" s="7"/>
      <c r="H246" s="7"/>
      <c r="I246" s="7"/>
      <c r="J246" s="8"/>
      <c r="K246" s="9"/>
    </row>
    <row r="247">
      <c r="A247" s="6"/>
      <c r="B247" s="7"/>
      <c r="C247" s="7"/>
      <c r="D247" s="7"/>
      <c r="E247" s="7"/>
      <c r="F247" s="7"/>
      <c r="G247" s="7"/>
      <c r="H247" s="7"/>
      <c r="I247" s="7"/>
      <c r="J247" s="8"/>
      <c r="K247" s="9"/>
    </row>
    <row r="248">
      <c r="A248" s="6"/>
      <c r="B248" s="7"/>
      <c r="C248" s="7"/>
      <c r="D248" s="7"/>
      <c r="E248" s="7"/>
      <c r="F248" s="7"/>
      <c r="G248" s="7"/>
      <c r="H248" s="7"/>
      <c r="I248" s="7"/>
      <c r="J248" s="8"/>
      <c r="K248" s="9"/>
    </row>
    <row r="249">
      <c r="A249" s="6"/>
      <c r="B249" s="7"/>
      <c r="C249" s="7"/>
      <c r="D249" s="7"/>
      <c r="E249" s="7"/>
      <c r="F249" s="7"/>
      <c r="G249" s="7"/>
      <c r="H249" s="7"/>
      <c r="I249" s="7"/>
      <c r="J249" s="8"/>
      <c r="K249" s="9"/>
    </row>
    <row r="250">
      <c r="A250" s="6"/>
      <c r="B250" s="7"/>
      <c r="C250" s="7"/>
      <c r="D250" s="7"/>
      <c r="E250" s="7"/>
      <c r="F250" s="7"/>
      <c r="G250" s="7"/>
      <c r="H250" s="7"/>
      <c r="I250" s="7"/>
      <c r="J250" s="8"/>
      <c r="K250" s="9"/>
    </row>
    <row r="251">
      <c r="A251" s="6"/>
      <c r="B251" s="7"/>
      <c r="C251" s="7"/>
      <c r="D251" s="7"/>
      <c r="E251" s="7"/>
      <c r="F251" s="7"/>
      <c r="G251" s="7"/>
      <c r="H251" s="7"/>
      <c r="I251" s="7"/>
      <c r="J251" s="8"/>
      <c r="K251" s="9"/>
    </row>
    <row r="252">
      <c r="A252" s="6"/>
      <c r="B252" s="7"/>
      <c r="C252" s="7"/>
      <c r="D252" s="7"/>
      <c r="E252" s="7"/>
      <c r="F252" s="7"/>
      <c r="G252" s="7"/>
      <c r="H252" s="7"/>
      <c r="I252" s="7"/>
      <c r="J252" s="8"/>
      <c r="K252" s="9"/>
    </row>
    <row r="253">
      <c r="A253" s="6"/>
      <c r="B253" s="7"/>
      <c r="C253" s="7"/>
      <c r="D253" s="7"/>
      <c r="E253" s="7"/>
      <c r="F253" s="7"/>
      <c r="G253" s="7"/>
      <c r="H253" s="7"/>
      <c r="I253" s="7"/>
      <c r="J253" s="8"/>
      <c r="K253" s="9"/>
    </row>
    <row r="254">
      <c r="A254" s="6"/>
      <c r="B254" s="7"/>
      <c r="C254" s="7"/>
      <c r="D254" s="7"/>
      <c r="E254" s="7"/>
      <c r="F254" s="7"/>
      <c r="G254" s="7"/>
      <c r="H254" s="7"/>
      <c r="I254" s="7"/>
      <c r="J254" s="8"/>
      <c r="K254" s="9"/>
    </row>
    <row r="255">
      <c r="A255" s="6"/>
      <c r="B255" s="7"/>
      <c r="C255" s="7"/>
      <c r="D255" s="7"/>
      <c r="E255" s="7"/>
      <c r="F255" s="7"/>
      <c r="G255" s="7"/>
      <c r="H255" s="7"/>
      <c r="I255" s="7"/>
      <c r="J255" s="8"/>
      <c r="K255" s="9"/>
    </row>
    <row r="256">
      <c r="A256" s="6"/>
      <c r="B256" s="7"/>
      <c r="C256" s="7"/>
      <c r="D256" s="7"/>
      <c r="E256" s="7"/>
      <c r="F256" s="7"/>
      <c r="G256" s="7"/>
      <c r="H256" s="7"/>
      <c r="I256" s="7"/>
      <c r="J256" s="8"/>
      <c r="K256" s="9"/>
    </row>
    <row r="257">
      <c r="A257" s="6"/>
      <c r="B257" s="7"/>
      <c r="C257" s="7"/>
      <c r="D257" s="7"/>
      <c r="E257" s="7"/>
      <c r="F257" s="7"/>
      <c r="G257" s="7"/>
      <c r="H257" s="7"/>
      <c r="I257" s="7"/>
      <c r="J257" s="8"/>
      <c r="K257" s="9"/>
    </row>
    <row r="258">
      <c r="A258" s="6"/>
      <c r="B258" s="7"/>
      <c r="C258" s="7"/>
      <c r="D258" s="7"/>
      <c r="E258" s="7"/>
      <c r="F258" s="7"/>
      <c r="G258" s="7"/>
      <c r="H258" s="7"/>
      <c r="I258" s="7"/>
      <c r="J258" s="8"/>
      <c r="K258" s="9"/>
    </row>
    <row r="259">
      <c r="A259" s="6"/>
      <c r="B259" s="7"/>
      <c r="C259" s="7"/>
      <c r="D259" s="7"/>
      <c r="E259" s="7"/>
      <c r="F259" s="7"/>
      <c r="G259" s="7"/>
      <c r="H259" s="7"/>
      <c r="I259" s="7"/>
      <c r="J259" s="8"/>
      <c r="K259" s="9"/>
    </row>
    <row r="260">
      <c r="A260" s="6"/>
      <c r="B260" s="7"/>
      <c r="C260" s="7"/>
      <c r="D260" s="7"/>
      <c r="E260" s="7"/>
      <c r="F260" s="7"/>
      <c r="G260" s="7"/>
      <c r="H260" s="7"/>
      <c r="I260" s="7"/>
      <c r="J260" s="8"/>
      <c r="K260" s="9"/>
    </row>
    <row r="261">
      <c r="A261" s="6"/>
      <c r="B261" s="7"/>
      <c r="C261" s="7"/>
      <c r="D261" s="7"/>
      <c r="E261" s="7"/>
      <c r="F261" s="7"/>
      <c r="G261" s="7"/>
      <c r="H261" s="7"/>
      <c r="I261" s="7"/>
      <c r="J261" s="8"/>
      <c r="K261" s="9"/>
    </row>
    <row r="262">
      <c r="A262" s="6"/>
      <c r="B262" s="7"/>
      <c r="C262" s="7"/>
      <c r="D262" s="7"/>
      <c r="E262" s="7"/>
      <c r="F262" s="7"/>
      <c r="G262" s="7"/>
      <c r="H262" s="7"/>
      <c r="I262" s="7"/>
      <c r="J262" s="8"/>
      <c r="K262" s="9"/>
    </row>
    <row r="263">
      <c r="A263" s="6"/>
      <c r="B263" s="7"/>
      <c r="C263" s="7"/>
      <c r="D263" s="7"/>
      <c r="E263" s="7"/>
      <c r="F263" s="7"/>
      <c r="G263" s="7"/>
      <c r="H263" s="7"/>
      <c r="I263" s="7"/>
      <c r="J263" s="8"/>
      <c r="K263" s="9"/>
    </row>
    <row r="264">
      <c r="A264" s="6"/>
      <c r="B264" s="7"/>
      <c r="C264" s="7"/>
      <c r="D264" s="7"/>
      <c r="E264" s="7"/>
      <c r="F264" s="7"/>
      <c r="G264" s="7"/>
      <c r="H264" s="7"/>
      <c r="I264" s="7"/>
      <c r="J264" s="8"/>
      <c r="K264" s="9"/>
    </row>
    <row r="265">
      <c r="A265" s="6"/>
      <c r="B265" s="7"/>
      <c r="C265" s="7"/>
      <c r="D265" s="7"/>
      <c r="E265" s="7"/>
      <c r="F265" s="7"/>
      <c r="G265" s="7"/>
      <c r="H265" s="7"/>
      <c r="I265" s="7"/>
      <c r="J265" s="8"/>
      <c r="K265" s="9"/>
    </row>
    <row r="266">
      <c r="A266" s="6"/>
      <c r="B266" s="7"/>
      <c r="C266" s="7"/>
      <c r="D266" s="7"/>
      <c r="E266" s="7"/>
      <c r="F266" s="7"/>
      <c r="G266" s="7"/>
      <c r="H266" s="7"/>
      <c r="I266" s="7"/>
      <c r="J266" s="8"/>
      <c r="K266" s="9"/>
    </row>
    <row r="267">
      <c r="A267" s="6"/>
      <c r="B267" s="7"/>
      <c r="C267" s="7"/>
      <c r="D267" s="7"/>
      <c r="E267" s="7"/>
      <c r="F267" s="7"/>
      <c r="G267" s="7"/>
      <c r="H267" s="7"/>
      <c r="I267" s="7"/>
      <c r="J267" s="8"/>
      <c r="K267" s="9"/>
    </row>
    <row r="268">
      <c r="A268" s="6"/>
      <c r="B268" s="7"/>
      <c r="C268" s="7"/>
      <c r="D268" s="7"/>
      <c r="E268" s="7"/>
      <c r="F268" s="7"/>
      <c r="G268" s="7"/>
      <c r="H268" s="7"/>
      <c r="I268" s="7"/>
      <c r="J268" s="8"/>
      <c r="K268" s="9"/>
    </row>
    <row r="269">
      <c r="A269" s="6"/>
      <c r="B269" s="7"/>
      <c r="C269" s="7"/>
      <c r="D269" s="7"/>
      <c r="E269" s="7"/>
      <c r="F269" s="7"/>
      <c r="G269" s="7"/>
      <c r="H269" s="7"/>
      <c r="I269" s="7"/>
      <c r="J269" s="8"/>
      <c r="K269" s="9"/>
    </row>
    <row r="270">
      <c r="A270" s="6"/>
      <c r="B270" s="7"/>
      <c r="C270" s="7"/>
      <c r="D270" s="7"/>
      <c r="E270" s="7"/>
      <c r="F270" s="7"/>
      <c r="G270" s="7"/>
      <c r="H270" s="7"/>
      <c r="I270" s="7"/>
      <c r="J270" s="8"/>
      <c r="K270" s="9"/>
    </row>
    <row r="271">
      <c r="A271" s="6"/>
      <c r="B271" s="7"/>
      <c r="C271" s="7"/>
      <c r="D271" s="7"/>
      <c r="E271" s="7"/>
      <c r="F271" s="7"/>
      <c r="G271" s="7"/>
      <c r="H271" s="7"/>
      <c r="I271" s="7"/>
      <c r="J271" s="8"/>
      <c r="K271" s="9"/>
    </row>
    <row r="272">
      <c r="A272" s="6"/>
      <c r="B272" s="7"/>
      <c r="C272" s="7"/>
      <c r="D272" s="7"/>
      <c r="E272" s="7"/>
      <c r="F272" s="7"/>
      <c r="G272" s="7"/>
      <c r="H272" s="7"/>
      <c r="I272" s="7"/>
      <c r="J272" s="8"/>
      <c r="K272" s="9"/>
    </row>
    <row r="273">
      <c r="A273" s="6"/>
      <c r="B273" s="7"/>
      <c r="C273" s="7"/>
      <c r="D273" s="7"/>
      <c r="E273" s="7"/>
      <c r="F273" s="7"/>
      <c r="G273" s="7"/>
      <c r="H273" s="7"/>
      <c r="I273" s="7"/>
      <c r="J273" s="8"/>
      <c r="K273" s="9"/>
    </row>
    <row r="274">
      <c r="A274" s="6"/>
      <c r="B274" s="7"/>
      <c r="C274" s="7"/>
      <c r="D274" s="7"/>
      <c r="E274" s="7"/>
      <c r="F274" s="7"/>
      <c r="G274" s="7"/>
      <c r="H274" s="7"/>
      <c r="I274" s="7"/>
      <c r="J274" s="8"/>
      <c r="K274" s="9"/>
    </row>
    <row r="275">
      <c r="A275" s="6"/>
      <c r="B275" s="7"/>
      <c r="C275" s="7"/>
      <c r="D275" s="7"/>
      <c r="E275" s="7"/>
      <c r="F275" s="7"/>
      <c r="G275" s="7"/>
      <c r="H275" s="7"/>
      <c r="I275" s="7"/>
      <c r="J275" s="8"/>
      <c r="K275" s="9"/>
    </row>
    <row r="276">
      <c r="A276" s="6"/>
      <c r="B276" s="7"/>
      <c r="C276" s="7"/>
      <c r="D276" s="7"/>
      <c r="E276" s="7"/>
      <c r="F276" s="7"/>
      <c r="G276" s="7"/>
      <c r="H276" s="7"/>
      <c r="I276" s="7"/>
      <c r="J276" s="8"/>
      <c r="K276" s="9"/>
    </row>
    <row r="277">
      <c r="A277" s="6"/>
      <c r="B277" s="7"/>
      <c r="C277" s="7"/>
      <c r="D277" s="7"/>
      <c r="E277" s="7"/>
      <c r="F277" s="7"/>
      <c r="G277" s="7"/>
      <c r="H277" s="7"/>
      <c r="I277" s="7"/>
      <c r="J277" s="8"/>
      <c r="K277" s="9"/>
    </row>
    <row r="278">
      <c r="A278" s="6"/>
      <c r="B278" s="7"/>
      <c r="C278" s="7"/>
      <c r="D278" s="7"/>
      <c r="E278" s="7"/>
      <c r="F278" s="7"/>
      <c r="G278" s="7"/>
      <c r="H278" s="7"/>
      <c r="I278" s="7"/>
      <c r="J278" s="8"/>
      <c r="K278" s="9"/>
    </row>
    <row r="279">
      <c r="A279" s="6"/>
      <c r="B279" s="7"/>
      <c r="C279" s="7"/>
      <c r="D279" s="7"/>
      <c r="E279" s="7"/>
      <c r="F279" s="7"/>
      <c r="G279" s="7"/>
      <c r="H279" s="7"/>
      <c r="I279" s="7"/>
      <c r="J279" s="8"/>
      <c r="K279" s="9"/>
    </row>
    <row r="280">
      <c r="A280" s="6"/>
      <c r="B280" s="7"/>
      <c r="C280" s="7"/>
      <c r="D280" s="7"/>
      <c r="E280" s="7"/>
      <c r="F280" s="7"/>
      <c r="G280" s="7"/>
      <c r="H280" s="7"/>
      <c r="I280" s="7"/>
      <c r="J280" s="8"/>
      <c r="K280" s="9"/>
    </row>
    <row r="281">
      <c r="A281" s="6"/>
      <c r="B281" s="7"/>
      <c r="C281" s="7"/>
      <c r="D281" s="7"/>
      <c r="E281" s="7"/>
      <c r="F281" s="7"/>
      <c r="G281" s="7"/>
      <c r="H281" s="7"/>
      <c r="I281" s="7"/>
      <c r="J281" s="8"/>
      <c r="K281" s="9"/>
    </row>
    <row r="282">
      <c r="A282" s="6"/>
      <c r="B282" s="7"/>
      <c r="C282" s="7"/>
      <c r="D282" s="7"/>
      <c r="E282" s="7"/>
      <c r="F282" s="7"/>
      <c r="G282" s="7"/>
      <c r="H282" s="7"/>
      <c r="I282" s="7"/>
      <c r="J282" s="8"/>
      <c r="K282" s="9"/>
    </row>
    <row r="283">
      <c r="A283" s="6"/>
      <c r="B283" s="7"/>
      <c r="C283" s="7"/>
      <c r="D283" s="7"/>
      <c r="E283" s="7"/>
      <c r="F283" s="7"/>
      <c r="G283" s="7"/>
      <c r="H283" s="7"/>
      <c r="I283" s="7"/>
      <c r="J283" s="8"/>
      <c r="K283" s="9"/>
    </row>
    <row r="284">
      <c r="A284" s="6"/>
      <c r="B284" s="7"/>
      <c r="C284" s="7"/>
      <c r="D284" s="7"/>
      <c r="E284" s="7"/>
      <c r="F284" s="7"/>
      <c r="G284" s="7"/>
      <c r="H284" s="7"/>
      <c r="I284" s="7"/>
      <c r="J284" s="8"/>
      <c r="K284" s="9"/>
    </row>
    <row r="285">
      <c r="A285" s="6"/>
      <c r="B285" s="7"/>
      <c r="C285" s="7"/>
      <c r="D285" s="7"/>
      <c r="E285" s="7"/>
      <c r="F285" s="7"/>
      <c r="G285" s="7"/>
      <c r="H285" s="7"/>
      <c r="I285" s="7"/>
      <c r="J285" s="8"/>
      <c r="K285" s="9"/>
    </row>
    <row r="286">
      <c r="A286" s="6"/>
      <c r="B286" s="7"/>
      <c r="C286" s="7"/>
      <c r="D286" s="7"/>
      <c r="E286" s="7"/>
      <c r="F286" s="7"/>
      <c r="G286" s="7"/>
      <c r="H286" s="7"/>
      <c r="I286" s="7"/>
      <c r="J286" s="8"/>
      <c r="K286" s="9"/>
    </row>
    <row r="287">
      <c r="A287" s="6"/>
      <c r="B287" s="7"/>
      <c r="C287" s="7"/>
      <c r="D287" s="7"/>
      <c r="E287" s="7"/>
      <c r="F287" s="7"/>
      <c r="G287" s="7"/>
      <c r="H287" s="7"/>
      <c r="I287" s="7"/>
      <c r="J287" s="8"/>
      <c r="K287" s="9"/>
    </row>
    <row r="288">
      <c r="A288" s="6"/>
      <c r="B288" s="7"/>
      <c r="C288" s="7"/>
      <c r="D288" s="7"/>
      <c r="E288" s="7"/>
      <c r="F288" s="7"/>
      <c r="G288" s="7"/>
      <c r="H288" s="7"/>
      <c r="I288" s="7"/>
      <c r="J288" s="8"/>
      <c r="K288" s="9"/>
    </row>
    <row r="289">
      <c r="A289" s="6"/>
      <c r="B289" s="7"/>
      <c r="C289" s="7"/>
      <c r="D289" s="7"/>
      <c r="E289" s="7"/>
      <c r="F289" s="7"/>
      <c r="G289" s="7"/>
      <c r="H289" s="7"/>
      <c r="I289" s="7"/>
      <c r="J289" s="8"/>
      <c r="K289" s="9"/>
    </row>
    <row r="290">
      <c r="A290" s="6"/>
      <c r="B290" s="7"/>
      <c r="C290" s="7"/>
      <c r="D290" s="7"/>
      <c r="E290" s="7"/>
      <c r="F290" s="7"/>
      <c r="G290" s="7"/>
      <c r="H290" s="7"/>
      <c r="I290" s="7"/>
      <c r="J290" s="8"/>
      <c r="K290" s="9"/>
    </row>
    <row r="291">
      <c r="A291" s="6"/>
      <c r="B291" s="7"/>
      <c r="C291" s="7"/>
      <c r="D291" s="7"/>
      <c r="E291" s="7"/>
      <c r="F291" s="7"/>
      <c r="G291" s="7"/>
      <c r="H291" s="7"/>
      <c r="I291" s="7"/>
      <c r="J291" s="8"/>
      <c r="K291" s="9"/>
    </row>
    <row r="292">
      <c r="A292" s="6"/>
      <c r="B292" s="7"/>
      <c r="C292" s="7"/>
      <c r="D292" s="7"/>
      <c r="E292" s="7"/>
      <c r="F292" s="7"/>
      <c r="G292" s="7"/>
      <c r="H292" s="7"/>
      <c r="I292" s="7"/>
      <c r="J292" s="8"/>
      <c r="K292" s="9"/>
    </row>
    <row r="293">
      <c r="A293" s="6"/>
      <c r="B293" s="7"/>
      <c r="C293" s="7"/>
      <c r="D293" s="7"/>
      <c r="E293" s="7"/>
      <c r="F293" s="7"/>
      <c r="G293" s="7"/>
      <c r="H293" s="7"/>
      <c r="I293" s="7"/>
      <c r="J293" s="8"/>
      <c r="K293" s="9"/>
    </row>
    <row r="294">
      <c r="A294" s="6"/>
      <c r="B294" s="7"/>
      <c r="C294" s="7"/>
      <c r="D294" s="7"/>
      <c r="E294" s="7"/>
      <c r="F294" s="7"/>
      <c r="G294" s="7"/>
      <c r="H294" s="7"/>
      <c r="I294" s="7"/>
      <c r="J294" s="8"/>
      <c r="K294" s="9"/>
    </row>
    <row r="295">
      <c r="A295" s="6"/>
      <c r="B295" s="7"/>
      <c r="C295" s="7"/>
      <c r="D295" s="7"/>
      <c r="E295" s="7"/>
      <c r="F295" s="7"/>
      <c r="G295" s="7"/>
      <c r="H295" s="7"/>
      <c r="I295" s="7"/>
      <c r="J295" s="8"/>
      <c r="K295" s="9"/>
    </row>
    <row r="296">
      <c r="A296" s="6"/>
      <c r="B296" s="7"/>
      <c r="C296" s="7"/>
      <c r="D296" s="7"/>
      <c r="E296" s="7"/>
      <c r="F296" s="7"/>
      <c r="G296" s="7"/>
      <c r="H296" s="7"/>
      <c r="I296" s="7"/>
      <c r="J296" s="8"/>
      <c r="K296" s="9"/>
    </row>
    <row r="297">
      <c r="A297" s="6"/>
      <c r="B297" s="7"/>
      <c r="C297" s="7"/>
      <c r="D297" s="7"/>
      <c r="E297" s="7"/>
      <c r="F297" s="7"/>
      <c r="G297" s="7"/>
      <c r="H297" s="7"/>
      <c r="I297" s="7"/>
      <c r="J297" s="8"/>
      <c r="K297" s="9"/>
    </row>
    <row r="298">
      <c r="A298" s="6"/>
      <c r="B298" s="7"/>
      <c r="C298" s="7"/>
      <c r="D298" s="7"/>
      <c r="E298" s="7"/>
      <c r="F298" s="7"/>
      <c r="G298" s="7"/>
      <c r="H298" s="7"/>
      <c r="I298" s="7"/>
      <c r="J298" s="8"/>
      <c r="K298" s="9"/>
    </row>
    <row r="299">
      <c r="A299" s="6"/>
      <c r="B299" s="7"/>
      <c r="C299" s="7"/>
      <c r="D299" s="7"/>
      <c r="E299" s="7"/>
      <c r="F299" s="7"/>
      <c r="G299" s="7"/>
      <c r="H299" s="7"/>
      <c r="I299" s="7"/>
      <c r="J299" s="8"/>
      <c r="K299" s="9"/>
    </row>
    <row r="300">
      <c r="A300" s="6"/>
      <c r="B300" s="7"/>
      <c r="C300" s="7"/>
      <c r="D300" s="7"/>
      <c r="E300" s="7"/>
      <c r="F300" s="7"/>
      <c r="G300" s="7"/>
      <c r="H300" s="7"/>
      <c r="I300" s="7"/>
      <c r="J300" s="8"/>
      <c r="K300" s="9"/>
    </row>
    <row r="301">
      <c r="A301" s="6"/>
      <c r="B301" s="7"/>
      <c r="C301" s="7"/>
      <c r="D301" s="7"/>
      <c r="E301" s="7"/>
      <c r="F301" s="7"/>
      <c r="G301" s="7"/>
      <c r="H301" s="7"/>
      <c r="I301" s="7"/>
      <c r="J301" s="8"/>
      <c r="K301" s="9"/>
    </row>
    <row r="302">
      <c r="A302" s="6"/>
      <c r="B302" s="7"/>
      <c r="C302" s="7"/>
      <c r="D302" s="7"/>
      <c r="E302" s="7"/>
      <c r="F302" s="7"/>
      <c r="G302" s="7"/>
      <c r="H302" s="7"/>
      <c r="I302" s="7"/>
      <c r="J302" s="8"/>
      <c r="K302" s="9"/>
    </row>
    <row r="303">
      <c r="A303" s="6"/>
      <c r="B303" s="7"/>
      <c r="C303" s="7"/>
      <c r="D303" s="7"/>
      <c r="E303" s="7"/>
      <c r="F303" s="7"/>
      <c r="G303" s="7"/>
      <c r="H303" s="7"/>
      <c r="I303" s="7"/>
      <c r="J303" s="8"/>
      <c r="K303" s="9"/>
    </row>
    <row r="304">
      <c r="A304" s="6"/>
      <c r="B304" s="7"/>
      <c r="C304" s="7"/>
      <c r="D304" s="7"/>
      <c r="E304" s="7"/>
      <c r="F304" s="7"/>
      <c r="G304" s="7"/>
      <c r="H304" s="7"/>
      <c r="I304" s="7"/>
      <c r="J304" s="8"/>
      <c r="K304" s="9"/>
    </row>
    <row r="305">
      <c r="A305" s="6"/>
      <c r="B305" s="7"/>
      <c r="C305" s="7"/>
      <c r="D305" s="7"/>
      <c r="E305" s="7"/>
      <c r="F305" s="7"/>
      <c r="G305" s="7"/>
      <c r="H305" s="7"/>
      <c r="I305" s="7"/>
      <c r="J305" s="8"/>
      <c r="K305" s="9"/>
    </row>
    <row r="306">
      <c r="A306" s="6"/>
      <c r="B306" s="7"/>
      <c r="C306" s="7"/>
      <c r="D306" s="7"/>
      <c r="E306" s="7"/>
      <c r="F306" s="7"/>
      <c r="G306" s="7"/>
      <c r="H306" s="7"/>
      <c r="I306" s="7"/>
      <c r="J306" s="8"/>
      <c r="K306" s="9"/>
    </row>
    <row r="307">
      <c r="A307" s="6"/>
      <c r="B307" s="7"/>
      <c r="C307" s="7"/>
      <c r="D307" s="7"/>
      <c r="E307" s="7"/>
      <c r="F307" s="7"/>
      <c r="G307" s="7"/>
      <c r="H307" s="7"/>
      <c r="I307" s="7"/>
      <c r="J307" s="8"/>
      <c r="K307" s="9"/>
    </row>
    <row r="308">
      <c r="A308" s="6"/>
      <c r="B308" s="7"/>
      <c r="C308" s="7"/>
      <c r="D308" s="7"/>
      <c r="E308" s="7"/>
      <c r="F308" s="7"/>
      <c r="G308" s="7"/>
      <c r="H308" s="7"/>
      <c r="I308" s="7"/>
      <c r="J308" s="8"/>
      <c r="K308" s="9"/>
    </row>
    <row r="309">
      <c r="A309" s="6"/>
      <c r="B309" s="7"/>
      <c r="C309" s="7"/>
      <c r="D309" s="7"/>
      <c r="E309" s="7"/>
      <c r="F309" s="7"/>
      <c r="G309" s="7"/>
      <c r="H309" s="7"/>
      <c r="I309" s="7"/>
      <c r="J309" s="8"/>
      <c r="K309" s="9"/>
    </row>
    <row r="310">
      <c r="A310" s="6"/>
      <c r="B310" s="7"/>
      <c r="C310" s="7"/>
      <c r="D310" s="7"/>
      <c r="E310" s="7"/>
      <c r="F310" s="7"/>
      <c r="G310" s="7"/>
      <c r="H310" s="7"/>
      <c r="I310" s="7"/>
      <c r="J310" s="8"/>
      <c r="K310" s="9"/>
    </row>
    <row r="311">
      <c r="A311" s="6"/>
      <c r="B311" s="7"/>
      <c r="C311" s="7"/>
      <c r="D311" s="7"/>
      <c r="E311" s="7"/>
      <c r="F311" s="7"/>
      <c r="G311" s="7"/>
      <c r="H311" s="7"/>
      <c r="I311" s="7"/>
      <c r="J311" s="8"/>
      <c r="K311" s="9"/>
    </row>
    <row r="312">
      <c r="A312" s="6"/>
      <c r="B312" s="7"/>
      <c r="C312" s="7"/>
      <c r="D312" s="7"/>
      <c r="E312" s="7"/>
      <c r="F312" s="7"/>
      <c r="G312" s="7"/>
      <c r="H312" s="7"/>
      <c r="I312" s="7"/>
      <c r="J312" s="8"/>
      <c r="K312" s="9"/>
    </row>
    <row r="313">
      <c r="A313" s="6"/>
      <c r="B313" s="7"/>
      <c r="C313" s="7"/>
      <c r="D313" s="7"/>
      <c r="E313" s="7"/>
      <c r="F313" s="7"/>
      <c r="G313" s="7"/>
      <c r="H313" s="7"/>
      <c r="I313" s="7"/>
      <c r="J313" s="8"/>
      <c r="K313" s="9"/>
    </row>
    <row r="314">
      <c r="A314" s="6"/>
      <c r="B314" s="7"/>
      <c r="C314" s="7"/>
      <c r="D314" s="7"/>
      <c r="E314" s="7"/>
      <c r="F314" s="7"/>
      <c r="G314" s="7"/>
      <c r="H314" s="7"/>
      <c r="I314" s="7"/>
      <c r="J314" s="8"/>
      <c r="K314" s="9"/>
    </row>
    <row r="315">
      <c r="A315" s="6"/>
      <c r="B315" s="7"/>
      <c r="C315" s="7"/>
      <c r="D315" s="7"/>
      <c r="E315" s="7"/>
      <c r="F315" s="7"/>
      <c r="G315" s="7"/>
      <c r="H315" s="7"/>
      <c r="I315" s="7"/>
      <c r="J315" s="8"/>
      <c r="K315" s="9"/>
    </row>
    <row r="316">
      <c r="A316" s="6"/>
      <c r="B316" s="7"/>
      <c r="C316" s="7"/>
      <c r="D316" s="7"/>
      <c r="E316" s="7"/>
      <c r="F316" s="7"/>
      <c r="G316" s="7"/>
      <c r="H316" s="7"/>
      <c r="I316" s="7"/>
      <c r="J316" s="8"/>
      <c r="K316" s="9"/>
    </row>
    <row r="317">
      <c r="A317" s="6"/>
      <c r="B317" s="7"/>
      <c r="C317" s="7"/>
      <c r="D317" s="7"/>
      <c r="E317" s="7"/>
      <c r="F317" s="7"/>
      <c r="G317" s="7"/>
      <c r="H317" s="7"/>
      <c r="I317" s="7"/>
      <c r="J317" s="8"/>
      <c r="K317" s="9"/>
    </row>
    <row r="318">
      <c r="A318" s="6"/>
      <c r="B318" s="7"/>
      <c r="C318" s="7"/>
      <c r="D318" s="7"/>
      <c r="E318" s="7"/>
      <c r="F318" s="7"/>
      <c r="G318" s="7"/>
      <c r="H318" s="7"/>
      <c r="I318" s="7"/>
      <c r="J318" s="8"/>
      <c r="K318" s="9"/>
    </row>
    <row r="319">
      <c r="A319" s="6"/>
      <c r="B319" s="7"/>
      <c r="C319" s="7"/>
      <c r="D319" s="7"/>
      <c r="E319" s="7"/>
      <c r="F319" s="7"/>
      <c r="G319" s="7"/>
      <c r="H319" s="7"/>
      <c r="I319" s="7"/>
      <c r="J319" s="8"/>
      <c r="K319" s="9"/>
    </row>
    <row r="320">
      <c r="A320" s="6"/>
      <c r="B320" s="7"/>
      <c r="C320" s="7"/>
      <c r="D320" s="7"/>
      <c r="E320" s="7"/>
      <c r="F320" s="7"/>
      <c r="G320" s="7"/>
      <c r="H320" s="7"/>
      <c r="I320" s="7"/>
      <c r="J320" s="8"/>
      <c r="K320" s="9"/>
    </row>
    <row r="321">
      <c r="A321" s="6"/>
      <c r="B321" s="7"/>
      <c r="C321" s="7"/>
      <c r="D321" s="7"/>
      <c r="E321" s="7"/>
      <c r="F321" s="7"/>
      <c r="G321" s="7"/>
      <c r="H321" s="7"/>
      <c r="I321" s="7"/>
      <c r="J321" s="8"/>
      <c r="K321" s="9"/>
    </row>
    <row r="322">
      <c r="A322" s="6"/>
      <c r="B322" s="7"/>
      <c r="C322" s="7"/>
      <c r="D322" s="7"/>
      <c r="E322" s="7"/>
      <c r="F322" s="7"/>
      <c r="G322" s="7"/>
      <c r="H322" s="7"/>
      <c r="I322" s="7"/>
      <c r="J322" s="8"/>
      <c r="K322" s="9"/>
    </row>
    <row r="323">
      <c r="A323" s="6"/>
      <c r="B323" s="7"/>
      <c r="C323" s="7"/>
      <c r="D323" s="7"/>
      <c r="E323" s="7"/>
      <c r="F323" s="7"/>
      <c r="G323" s="7"/>
      <c r="H323" s="7"/>
      <c r="I323" s="7"/>
      <c r="J323" s="8"/>
      <c r="K323" s="9"/>
    </row>
    <row r="324">
      <c r="A324" s="6"/>
      <c r="B324" s="7"/>
      <c r="C324" s="7"/>
      <c r="D324" s="7"/>
      <c r="E324" s="7"/>
      <c r="F324" s="7"/>
      <c r="G324" s="7"/>
      <c r="H324" s="7"/>
      <c r="I324" s="7"/>
      <c r="J324" s="8"/>
      <c r="K324" s="9"/>
    </row>
    <row r="325">
      <c r="A325" s="6"/>
      <c r="B325" s="7"/>
      <c r="C325" s="7"/>
      <c r="D325" s="7"/>
      <c r="E325" s="7"/>
      <c r="F325" s="7"/>
      <c r="G325" s="7"/>
      <c r="H325" s="7"/>
      <c r="I325" s="7"/>
      <c r="J325" s="8"/>
      <c r="K325" s="9"/>
    </row>
    <row r="326">
      <c r="A326" s="6"/>
      <c r="B326" s="7"/>
      <c r="C326" s="7"/>
      <c r="D326" s="7"/>
      <c r="E326" s="7"/>
      <c r="F326" s="7"/>
      <c r="G326" s="7"/>
      <c r="H326" s="7"/>
      <c r="I326" s="7"/>
      <c r="J326" s="8"/>
      <c r="K326" s="9"/>
    </row>
    <row r="327">
      <c r="A327" s="6"/>
      <c r="B327" s="7"/>
      <c r="C327" s="7"/>
      <c r="D327" s="7"/>
      <c r="E327" s="7"/>
      <c r="F327" s="7"/>
      <c r="G327" s="7"/>
      <c r="H327" s="7"/>
      <c r="I327" s="7"/>
      <c r="J327" s="8"/>
      <c r="K327" s="9"/>
    </row>
    <row r="328">
      <c r="A328" s="6"/>
      <c r="B328" s="7"/>
      <c r="C328" s="7"/>
      <c r="D328" s="7"/>
      <c r="E328" s="7"/>
      <c r="F328" s="7"/>
      <c r="G328" s="7"/>
      <c r="H328" s="7"/>
      <c r="I328" s="7"/>
      <c r="J328" s="8"/>
      <c r="K328" s="9"/>
    </row>
    <row r="329">
      <c r="A329" s="6"/>
      <c r="B329" s="7"/>
      <c r="C329" s="7"/>
      <c r="D329" s="7"/>
      <c r="E329" s="7"/>
      <c r="F329" s="7"/>
      <c r="G329" s="7"/>
      <c r="H329" s="7"/>
      <c r="I329" s="7"/>
      <c r="J329" s="8"/>
      <c r="K329" s="9"/>
    </row>
    <row r="330">
      <c r="A330" s="6"/>
      <c r="B330" s="7"/>
      <c r="C330" s="7"/>
      <c r="D330" s="7"/>
      <c r="E330" s="7"/>
      <c r="F330" s="7"/>
      <c r="G330" s="7"/>
      <c r="H330" s="7"/>
      <c r="I330" s="7"/>
      <c r="J330" s="8"/>
      <c r="K330" s="9"/>
    </row>
    <row r="331">
      <c r="A331" s="6"/>
      <c r="B331" s="7"/>
      <c r="C331" s="7"/>
      <c r="D331" s="7"/>
      <c r="E331" s="7"/>
      <c r="F331" s="7"/>
      <c r="G331" s="7"/>
      <c r="H331" s="7"/>
      <c r="I331" s="7"/>
      <c r="J331" s="8"/>
      <c r="K331" s="9"/>
    </row>
    <row r="332">
      <c r="A332" s="6"/>
      <c r="B332" s="7"/>
      <c r="C332" s="7"/>
      <c r="D332" s="7"/>
      <c r="E332" s="7"/>
      <c r="F332" s="7"/>
      <c r="G332" s="7"/>
      <c r="H332" s="7"/>
      <c r="I332" s="7"/>
      <c r="J332" s="8"/>
      <c r="K332" s="9"/>
    </row>
    <row r="333">
      <c r="A333" s="6"/>
      <c r="B333" s="7"/>
      <c r="C333" s="7"/>
      <c r="D333" s="7"/>
      <c r="E333" s="7"/>
      <c r="F333" s="7"/>
      <c r="G333" s="7"/>
      <c r="H333" s="7"/>
      <c r="I333" s="7"/>
      <c r="J333" s="8"/>
      <c r="K333" s="9"/>
    </row>
    <row r="334">
      <c r="A334" s="6"/>
      <c r="B334" s="7"/>
      <c r="C334" s="7"/>
      <c r="D334" s="7"/>
      <c r="E334" s="7"/>
      <c r="F334" s="7"/>
      <c r="G334" s="7"/>
      <c r="H334" s="7"/>
      <c r="I334" s="7"/>
      <c r="J334" s="8"/>
      <c r="K334" s="9"/>
    </row>
    <row r="335">
      <c r="A335" s="6"/>
      <c r="B335" s="7"/>
      <c r="C335" s="7"/>
      <c r="D335" s="7"/>
      <c r="E335" s="7"/>
      <c r="F335" s="7"/>
      <c r="G335" s="7"/>
      <c r="H335" s="7"/>
      <c r="I335" s="7"/>
      <c r="J335" s="8"/>
      <c r="K335" s="9"/>
    </row>
    <row r="336">
      <c r="A336" s="6"/>
      <c r="B336" s="7"/>
      <c r="C336" s="7"/>
      <c r="D336" s="7"/>
      <c r="E336" s="7"/>
      <c r="F336" s="7"/>
      <c r="G336" s="7"/>
      <c r="H336" s="7"/>
      <c r="I336" s="7"/>
      <c r="J336" s="8"/>
      <c r="K336" s="9"/>
    </row>
    <row r="337">
      <c r="A337" s="6"/>
      <c r="B337" s="7"/>
      <c r="C337" s="7"/>
      <c r="D337" s="7"/>
      <c r="E337" s="7"/>
      <c r="F337" s="7"/>
      <c r="G337" s="7"/>
      <c r="H337" s="7"/>
      <c r="I337" s="7"/>
      <c r="J337" s="8"/>
      <c r="K337" s="9"/>
    </row>
    <row r="338">
      <c r="A338" s="6"/>
      <c r="B338" s="7"/>
      <c r="C338" s="7"/>
      <c r="D338" s="7"/>
      <c r="E338" s="7"/>
      <c r="F338" s="7"/>
      <c r="G338" s="7"/>
      <c r="H338" s="7"/>
      <c r="I338" s="7"/>
      <c r="J338" s="8"/>
      <c r="K338" s="9"/>
    </row>
    <row r="339">
      <c r="A339" s="6"/>
      <c r="B339" s="7"/>
      <c r="C339" s="7"/>
      <c r="D339" s="7"/>
      <c r="E339" s="7"/>
      <c r="F339" s="7"/>
      <c r="G339" s="7"/>
      <c r="H339" s="7"/>
      <c r="I339" s="7"/>
      <c r="J339" s="8"/>
      <c r="K339" s="9"/>
    </row>
    <row r="340">
      <c r="A340" s="6"/>
      <c r="B340" s="7"/>
      <c r="C340" s="7"/>
      <c r="D340" s="7"/>
      <c r="E340" s="7"/>
      <c r="F340" s="7"/>
      <c r="G340" s="7"/>
      <c r="H340" s="7"/>
      <c r="I340" s="7"/>
      <c r="J340" s="8"/>
      <c r="K340" s="9"/>
    </row>
    <row r="341">
      <c r="A341" s="6"/>
      <c r="B341" s="7"/>
      <c r="C341" s="7"/>
      <c r="D341" s="7"/>
      <c r="E341" s="7"/>
      <c r="F341" s="7"/>
      <c r="G341" s="7"/>
      <c r="H341" s="7"/>
      <c r="I341" s="7"/>
      <c r="J341" s="8"/>
      <c r="K341" s="9"/>
    </row>
    <row r="342">
      <c r="A342" s="6"/>
      <c r="B342" s="7"/>
      <c r="C342" s="7"/>
      <c r="D342" s="7"/>
      <c r="E342" s="7"/>
      <c r="F342" s="7"/>
      <c r="G342" s="7"/>
      <c r="H342" s="7"/>
      <c r="I342" s="7"/>
      <c r="J342" s="8"/>
      <c r="K342" s="9"/>
    </row>
    <row r="343">
      <c r="A343" s="6"/>
      <c r="B343" s="7"/>
      <c r="C343" s="7"/>
      <c r="D343" s="7"/>
      <c r="E343" s="7"/>
      <c r="F343" s="7"/>
      <c r="G343" s="7"/>
      <c r="H343" s="7"/>
      <c r="I343" s="7"/>
      <c r="J343" s="8"/>
      <c r="K343" s="9"/>
    </row>
    <row r="344">
      <c r="A344" s="6"/>
      <c r="B344" s="7"/>
      <c r="C344" s="7"/>
      <c r="D344" s="7"/>
      <c r="E344" s="7"/>
      <c r="F344" s="7"/>
      <c r="G344" s="7"/>
      <c r="H344" s="7"/>
      <c r="I344" s="7"/>
      <c r="J344" s="8"/>
      <c r="K344" s="9"/>
    </row>
    <row r="345">
      <c r="A345" s="6"/>
      <c r="B345" s="7"/>
      <c r="C345" s="7"/>
      <c r="D345" s="7"/>
      <c r="E345" s="7"/>
      <c r="F345" s="7"/>
      <c r="G345" s="7"/>
      <c r="H345" s="7"/>
      <c r="I345" s="7"/>
      <c r="J345" s="8"/>
      <c r="K345" s="9"/>
    </row>
    <row r="346">
      <c r="A346" s="6"/>
      <c r="B346" s="7"/>
      <c r="C346" s="7"/>
      <c r="D346" s="7"/>
      <c r="E346" s="7"/>
      <c r="F346" s="7"/>
      <c r="G346" s="7"/>
      <c r="H346" s="7"/>
      <c r="I346" s="7"/>
      <c r="J346" s="8"/>
      <c r="K346" s="9"/>
    </row>
    <row r="347">
      <c r="A347" s="6"/>
      <c r="B347" s="7"/>
      <c r="C347" s="7"/>
      <c r="D347" s="7"/>
      <c r="E347" s="7"/>
      <c r="F347" s="7"/>
      <c r="G347" s="7"/>
      <c r="H347" s="7"/>
      <c r="I347" s="7"/>
      <c r="J347" s="8"/>
      <c r="K347" s="9"/>
    </row>
    <row r="348">
      <c r="A348" s="6"/>
      <c r="B348" s="7"/>
      <c r="C348" s="7"/>
      <c r="D348" s="7"/>
      <c r="E348" s="7"/>
      <c r="F348" s="7"/>
      <c r="G348" s="7"/>
      <c r="H348" s="7"/>
      <c r="I348" s="7"/>
      <c r="J348" s="8"/>
      <c r="K348" s="9"/>
    </row>
    <row r="349">
      <c r="A349" s="6"/>
      <c r="B349" s="7"/>
      <c r="C349" s="7"/>
      <c r="D349" s="7"/>
      <c r="E349" s="7"/>
      <c r="F349" s="7"/>
      <c r="G349" s="7"/>
      <c r="H349" s="7"/>
      <c r="I349" s="7"/>
      <c r="J349" s="8"/>
      <c r="K349" s="9"/>
    </row>
    <row r="350">
      <c r="A350" s="6"/>
      <c r="B350" s="7"/>
      <c r="C350" s="7"/>
      <c r="D350" s="7"/>
      <c r="E350" s="7"/>
      <c r="F350" s="7"/>
      <c r="G350" s="7"/>
      <c r="H350" s="7"/>
      <c r="I350" s="7"/>
      <c r="J350" s="8"/>
      <c r="K350" s="9"/>
    </row>
    <row r="351">
      <c r="A351" s="6"/>
      <c r="B351" s="7"/>
      <c r="C351" s="7"/>
      <c r="D351" s="7"/>
      <c r="E351" s="7"/>
      <c r="F351" s="7"/>
      <c r="G351" s="7"/>
      <c r="H351" s="7"/>
      <c r="I351" s="7"/>
      <c r="J351" s="8"/>
      <c r="K351" s="9"/>
    </row>
    <row r="352">
      <c r="A352" s="6"/>
      <c r="B352" s="7"/>
      <c r="C352" s="7"/>
      <c r="D352" s="7"/>
      <c r="E352" s="7"/>
      <c r="F352" s="7"/>
      <c r="G352" s="7"/>
      <c r="H352" s="7"/>
      <c r="I352" s="7"/>
      <c r="J352" s="8"/>
      <c r="K352" s="9"/>
    </row>
    <row r="353">
      <c r="A353" s="6"/>
      <c r="B353" s="7"/>
      <c r="C353" s="7"/>
      <c r="D353" s="7"/>
      <c r="E353" s="7"/>
      <c r="F353" s="7"/>
      <c r="G353" s="7"/>
      <c r="H353" s="7"/>
      <c r="I353" s="7"/>
      <c r="J353" s="8"/>
      <c r="K353" s="9"/>
    </row>
    <row r="354">
      <c r="A354" s="6"/>
      <c r="B354" s="7"/>
      <c r="C354" s="7"/>
      <c r="D354" s="7"/>
      <c r="E354" s="7"/>
      <c r="F354" s="7"/>
      <c r="G354" s="7"/>
      <c r="H354" s="7"/>
      <c r="I354" s="7"/>
      <c r="J354" s="8"/>
      <c r="K354" s="9"/>
    </row>
    <row r="355">
      <c r="A355" s="6"/>
      <c r="B355" s="7"/>
      <c r="C355" s="7"/>
      <c r="D355" s="7"/>
      <c r="E355" s="7"/>
      <c r="F355" s="7"/>
      <c r="G355" s="7"/>
      <c r="H355" s="7"/>
      <c r="I355" s="7"/>
      <c r="J355" s="8"/>
      <c r="K355" s="9"/>
    </row>
    <row r="356">
      <c r="A356" s="6"/>
      <c r="B356" s="7"/>
      <c r="C356" s="7"/>
      <c r="D356" s="7"/>
      <c r="E356" s="7"/>
      <c r="F356" s="7"/>
      <c r="G356" s="7"/>
      <c r="H356" s="7"/>
      <c r="I356" s="7"/>
      <c r="J356" s="8"/>
      <c r="K356" s="9"/>
    </row>
    <row r="357">
      <c r="A357" s="6"/>
      <c r="B357" s="7"/>
      <c r="C357" s="7"/>
      <c r="D357" s="7"/>
      <c r="E357" s="7"/>
      <c r="F357" s="7"/>
      <c r="G357" s="7"/>
      <c r="H357" s="7"/>
      <c r="I357" s="7"/>
      <c r="J357" s="8"/>
      <c r="K357" s="9"/>
    </row>
    <row r="358">
      <c r="A358" s="6"/>
      <c r="B358" s="7"/>
      <c r="C358" s="7"/>
      <c r="D358" s="7"/>
      <c r="E358" s="7"/>
      <c r="F358" s="7"/>
      <c r="G358" s="7"/>
      <c r="H358" s="7"/>
      <c r="I358" s="7"/>
      <c r="J358" s="8"/>
      <c r="K358" s="9"/>
    </row>
    <row r="359">
      <c r="A359" s="6"/>
      <c r="B359" s="7"/>
      <c r="C359" s="7"/>
      <c r="D359" s="7"/>
      <c r="E359" s="7"/>
      <c r="F359" s="7"/>
      <c r="G359" s="7"/>
      <c r="H359" s="7"/>
      <c r="I359" s="7"/>
      <c r="J359" s="8"/>
      <c r="K359" s="9"/>
    </row>
    <row r="360">
      <c r="A360" s="6"/>
      <c r="B360" s="7"/>
      <c r="C360" s="7"/>
      <c r="D360" s="7"/>
      <c r="E360" s="7"/>
      <c r="F360" s="7"/>
      <c r="G360" s="7"/>
      <c r="H360" s="7"/>
      <c r="I360" s="7"/>
      <c r="J360" s="8"/>
      <c r="K360" s="9"/>
    </row>
    <row r="361">
      <c r="A361" s="6"/>
      <c r="B361" s="7"/>
      <c r="C361" s="7"/>
      <c r="D361" s="7"/>
      <c r="E361" s="7"/>
      <c r="F361" s="7"/>
      <c r="G361" s="7"/>
      <c r="H361" s="7"/>
      <c r="I361" s="7"/>
      <c r="J361" s="8"/>
      <c r="K361" s="9"/>
    </row>
    <row r="362">
      <c r="A362" s="6"/>
      <c r="B362" s="7"/>
      <c r="C362" s="7"/>
      <c r="D362" s="7"/>
      <c r="E362" s="7"/>
      <c r="F362" s="7"/>
      <c r="G362" s="7"/>
      <c r="H362" s="7"/>
      <c r="I362" s="7"/>
      <c r="J362" s="8"/>
      <c r="K362" s="9"/>
    </row>
    <row r="363">
      <c r="A363" s="6"/>
      <c r="B363" s="7"/>
      <c r="C363" s="7"/>
      <c r="D363" s="7"/>
      <c r="E363" s="7"/>
      <c r="F363" s="7"/>
      <c r="G363" s="7"/>
      <c r="H363" s="7"/>
      <c r="I363" s="7"/>
      <c r="J363" s="8"/>
      <c r="K363" s="9"/>
    </row>
    <row r="364">
      <c r="A364" s="6"/>
      <c r="B364" s="7"/>
      <c r="C364" s="7"/>
      <c r="D364" s="7"/>
      <c r="E364" s="7"/>
      <c r="F364" s="7"/>
      <c r="G364" s="7"/>
      <c r="H364" s="7"/>
      <c r="I364" s="7"/>
      <c r="J364" s="8"/>
      <c r="K364" s="9"/>
    </row>
    <row r="365">
      <c r="A365" s="6"/>
      <c r="B365" s="7"/>
      <c r="C365" s="7"/>
      <c r="D365" s="7"/>
      <c r="E365" s="7"/>
      <c r="F365" s="7"/>
      <c r="G365" s="7"/>
      <c r="H365" s="7"/>
      <c r="I365" s="7"/>
      <c r="J365" s="8"/>
      <c r="K365" s="9"/>
    </row>
    <row r="366">
      <c r="A366" s="6"/>
      <c r="B366" s="7"/>
      <c r="C366" s="7"/>
      <c r="D366" s="7"/>
      <c r="E366" s="7"/>
      <c r="F366" s="7"/>
      <c r="G366" s="7"/>
      <c r="H366" s="7"/>
      <c r="I366" s="7"/>
      <c r="J366" s="8"/>
      <c r="K366" s="9"/>
    </row>
    <row r="367">
      <c r="A367" s="6"/>
      <c r="B367" s="7"/>
      <c r="C367" s="7"/>
      <c r="D367" s="7"/>
      <c r="E367" s="7"/>
      <c r="F367" s="7"/>
      <c r="G367" s="7"/>
      <c r="H367" s="7"/>
      <c r="I367" s="7"/>
      <c r="J367" s="8"/>
      <c r="K367" s="9"/>
    </row>
    <row r="368">
      <c r="A368" s="6"/>
      <c r="B368" s="7"/>
      <c r="C368" s="7"/>
      <c r="D368" s="7"/>
      <c r="E368" s="7"/>
      <c r="F368" s="7"/>
      <c r="G368" s="7"/>
      <c r="H368" s="7"/>
      <c r="I368" s="7"/>
      <c r="J368" s="8"/>
      <c r="K368" s="9"/>
    </row>
    <row r="369">
      <c r="A369" s="6"/>
      <c r="B369" s="7"/>
      <c r="C369" s="7"/>
      <c r="D369" s="7"/>
      <c r="E369" s="7"/>
      <c r="F369" s="7"/>
      <c r="G369" s="7"/>
      <c r="H369" s="7"/>
      <c r="I369" s="7"/>
      <c r="J369" s="8"/>
      <c r="K369" s="9"/>
    </row>
    <row r="370">
      <c r="A370" s="6"/>
      <c r="B370" s="7"/>
      <c r="C370" s="7"/>
      <c r="D370" s="7"/>
      <c r="E370" s="7"/>
      <c r="F370" s="7"/>
      <c r="G370" s="7"/>
      <c r="H370" s="7"/>
      <c r="I370" s="7"/>
      <c r="J370" s="8"/>
      <c r="K370" s="9"/>
    </row>
    <row r="371">
      <c r="A371" s="6"/>
      <c r="B371" s="7"/>
      <c r="C371" s="7"/>
      <c r="D371" s="7"/>
      <c r="E371" s="7"/>
      <c r="F371" s="7"/>
      <c r="G371" s="7"/>
      <c r="H371" s="7"/>
      <c r="I371" s="7"/>
      <c r="J371" s="8"/>
      <c r="K371" s="9"/>
    </row>
    <row r="372">
      <c r="A372" s="6"/>
      <c r="B372" s="7"/>
      <c r="C372" s="7"/>
      <c r="D372" s="7"/>
      <c r="E372" s="7"/>
      <c r="F372" s="7"/>
      <c r="G372" s="7"/>
      <c r="H372" s="7"/>
      <c r="I372" s="7"/>
      <c r="J372" s="8"/>
      <c r="K372" s="9"/>
    </row>
    <row r="373">
      <c r="A373" s="6"/>
      <c r="B373" s="7"/>
      <c r="C373" s="7"/>
      <c r="D373" s="7"/>
      <c r="E373" s="7"/>
      <c r="F373" s="7"/>
      <c r="G373" s="7"/>
      <c r="H373" s="7"/>
      <c r="I373" s="7"/>
      <c r="J373" s="8"/>
      <c r="K373" s="9"/>
    </row>
    <row r="374">
      <c r="A374" s="6"/>
      <c r="B374" s="7"/>
      <c r="C374" s="7"/>
      <c r="D374" s="7"/>
      <c r="E374" s="7"/>
      <c r="F374" s="7"/>
      <c r="G374" s="7"/>
      <c r="H374" s="7"/>
      <c r="I374" s="7"/>
      <c r="J374" s="8"/>
      <c r="K374" s="9"/>
    </row>
    <row r="375">
      <c r="A375" s="6"/>
      <c r="B375" s="7"/>
      <c r="C375" s="7"/>
      <c r="D375" s="7"/>
      <c r="E375" s="7"/>
      <c r="F375" s="7"/>
      <c r="G375" s="7"/>
      <c r="H375" s="7"/>
      <c r="I375" s="7"/>
      <c r="J375" s="8"/>
      <c r="K375" s="9"/>
    </row>
    <row r="376">
      <c r="A376" s="6"/>
      <c r="B376" s="7"/>
      <c r="C376" s="7"/>
      <c r="D376" s="7"/>
      <c r="E376" s="7"/>
      <c r="F376" s="7"/>
      <c r="G376" s="7"/>
      <c r="H376" s="7"/>
      <c r="I376" s="7"/>
      <c r="J376" s="8"/>
      <c r="K376" s="9"/>
    </row>
    <row r="377">
      <c r="A377" s="6"/>
      <c r="B377" s="7"/>
      <c r="C377" s="7"/>
      <c r="D377" s="7"/>
      <c r="E377" s="7"/>
      <c r="F377" s="7"/>
      <c r="G377" s="7"/>
      <c r="H377" s="7"/>
      <c r="I377" s="7"/>
      <c r="J377" s="8"/>
      <c r="K377" s="9"/>
    </row>
    <row r="378">
      <c r="A378" s="6"/>
      <c r="B378" s="7"/>
      <c r="C378" s="7"/>
      <c r="D378" s="7"/>
      <c r="E378" s="7"/>
      <c r="F378" s="7"/>
      <c r="G378" s="7"/>
      <c r="H378" s="7"/>
      <c r="I378" s="7"/>
      <c r="J378" s="8"/>
      <c r="K378" s="9"/>
    </row>
    <row r="379">
      <c r="A379" s="6"/>
      <c r="B379" s="7"/>
      <c r="C379" s="7"/>
      <c r="D379" s="7"/>
      <c r="E379" s="7"/>
      <c r="F379" s="7"/>
      <c r="G379" s="7"/>
      <c r="H379" s="7"/>
      <c r="I379" s="7"/>
      <c r="J379" s="8"/>
      <c r="K379" s="9"/>
    </row>
    <row r="380">
      <c r="A380" s="6"/>
      <c r="B380" s="7"/>
      <c r="C380" s="7"/>
      <c r="D380" s="7"/>
      <c r="E380" s="7"/>
      <c r="F380" s="7"/>
      <c r="G380" s="7"/>
      <c r="H380" s="7"/>
      <c r="I380" s="7"/>
      <c r="J380" s="8"/>
      <c r="K380" s="9"/>
    </row>
    <row r="381">
      <c r="A381" s="6"/>
      <c r="B381" s="7"/>
      <c r="C381" s="7"/>
      <c r="D381" s="7"/>
      <c r="E381" s="7"/>
      <c r="F381" s="7"/>
      <c r="G381" s="7"/>
      <c r="H381" s="7"/>
      <c r="I381" s="7"/>
      <c r="J381" s="8"/>
      <c r="K381" s="9"/>
    </row>
    <row r="382">
      <c r="A382" s="6"/>
      <c r="B382" s="7"/>
      <c r="C382" s="7"/>
      <c r="D382" s="7"/>
      <c r="E382" s="7"/>
      <c r="F382" s="7"/>
      <c r="G382" s="7"/>
      <c r="H382" s="7"/>
      <c r="I382" s="7"/>
      <c r="J382" s="8"/>
      <c r="K382" s="9"/>
    </row>
    <row r="383">
      <c r="A383" s="6"/>
      <c r="B383" s="7"/>
      <c r="C383" s="7"/>
      <c r="D383" s="7"/>
      <c r="E383" s="7"/>
      <c r="F383" s="7"/>
      <c r="G383" s="7"/>
      <c r="H383" s="7"/>
      <c r="I383" s="7"/>
      <c r="J383" s="8"/>
      <c r="K383" s="9"/>
    </row>
    <row r="384">
      <c r="A384" s="6"/>
      <c r="B384" s="7"/>
      <c r="C384" s="7"/>
      <c r="D384" s="7"/>
      <c r="E384" s="7"/>
      <c r="F384" s="7"/>
      <c r="G384" s="7"/>
      <c r="H384" s="7"/>
      <c r="I384" s="7"/>
      <c r="J384" s="8"/>
      <c r="K384" s="9"/>
    </row>
    <row r="385">
      <c r="A385" s="6"/>
      <c r="B385" s="7"/>
      <c r="C385" s="7"/>
      <c r="D385" s="7"/>
      <c r="E385" s="7"/>
      <c r="F385" s="7"/>
      <c r="G385" s="7"/>
      <c r="H385" s="7"/>
      <c r="I385" s="7"/>
      <c r="J385" s="8"/>
      <c r="K385" s="9"/>
    </row>
    <row r="386">
      <c r="A386" s="6"/>
      <c r="B386" s="7"/>
      <c r="C386" s="7"/>
      <c r="D386" s="7"/>
      <c r="E386" s="7"/>
      <c r="F386" s="7"/>
      <c r="G386" s="7"/>
      <c r="H386" s="7"/>
      <c r="I386" s="7"/>
      <c r="J386" s="8"/>
      <c r="K386" s="9"/>
    </row>
    <row r="387">
      <c r="A387" s="6"/>
      <c r="B387" s="7"/>
      <c r="C387" s="7"/>
      <c r="D387" s="7"/>
      <c r="E387" s="7"/>
      <c r="F387" s="7"/>
      <c r="G387" s="7"/>
      <c r="H387" s="7"/>
      <c r="I387" s="7"/>
      <c r="J387" s="8"/>
      <c r="K387" s="9"/>
    </row>
    <row r="388">
      <c r="A388" s="6"/>
      <c r="B388" s="7"/>
      <c r="C388" s="7"/>
      <c r="D388" s="7"/>
      <c r="E388" s="7"/>
      <c r="F388" s="7"/>
      <c r="G388" s="7"/>
      <c r="H388" s="7"/>
      <c r="I388" s="7"/>
      <c r="J388" s="8"/>
      <c r="K388" s="9"/>
    </row>
    <row r="389">
      <c r="A389" s="6"/>
      <c r="B389" s="7"/>
      <c r="C389" s="7"/>
      <c r="D389" s="7"/>
      <c r="E389" s="7"/>
      <c r="F389" s="7"/>
      <c r="G389" s="7"/>
      <c r="H389" s="7"/>
      <c r="I389" s="7"/>
      <c r="J389" s="8"/>
      <c r="K389" s="9"/>
    </row>
    <row r="390">
      <c r="A390" s="6"/>
      <c r="B390" s="7"/>
      <c r="C390" s="7"/>
      <c r="D390" s="7"/>
      <c r="E390" s="7"/>
      <c r="F390" s="7"/>
      <c r="G390" s="7"/>
      <c r="H390" s="7"/>
      <c r="I390" s="7"/>
      <c r="J390" s="8"/>
      <c r="K390" s="9"/>
    </row>
    <row r="391">
      <c r="A391" s="6"/>
      <c r="B391" s="7"/>
      <c r="C391" s="7"/>
      <c r="D391" s="7"/>
      <c r="E391" s="7"/>
      <c r="F391" s="7"/>
      <c r="G391" s="7"/>
      <c r="H391" s="7"/>
      <c r="I391" s="7"/>
      <c r="J391" s="8"/>
      <c r="K391" s="9"/>
    </row>
    <row r="392">
      <c r="A392" s="6"/>
      <c r="B392" s="7"/>
      <c r="C392" s="7"/>
      <c r="D392" s="7"/>
      <c r="E392" s="7"/>
      <c r="F392" s="7"/>
      <c r="G392" s="7"/>
      <c r="H392" s="7"/>
      <c r="I392" s="7"/>
      <c r="J392" s="8"/>
      <c r="K392" s="9"/>
    </row>
    <row r="393">
      <c r="A393" s="6"/>
      <c r="B393" s="7"/>
      <c r="C393" s="7"/>
      <c r="D393" s="7"/>
      <c r="E393" s="7"/>
      <c r="F393" s="7"/>
      <c r="G393" s="7"/>
      <c r="H393" s="7"/>
      <c r="I393" s="7"/>
      <c r="J393" s="8"/>
      <c r="K393" s="9"/>
    </row>
    <row r="394">
      <c r="A394" s="6"/>
      <c r="B394" s="7"/>
      <c r="C394" s="7"/>
      <c r="D394" s="7"/>
      <c r="E394" s="7"/>
      <c r="F394" s="7"/>
      <c r="G394" s="7"/>
      <c r="H394" s="7"/>
      <c r="I394" s="7"/>
      <c r="J394" s="8"/>
      <c r="K394" s="9"/>
    </row>
    <row r="395">
      <c r="A395" s="6"/>
      <c r="B395" s="7"/>
      <c r="C395" s="7"/>
      <c r="D395" s="7"/>
      <c r="E395" s="7"/>
      <c r="F395" s="7"/>
      <c r="G395" s="7"/>
      <c r="H395" s="7"/>
      <c r="I395" s="7"/>
      <c r="J395" s="8"/>
      <c r="K395" s="9"/>
    </row>
    <row r="396">
      <c r="A396" s="6"/>
      <c r="B396" s="7"/>
      <c r="C396" s="7"/>
      <c r="D396" s="7"/>
      <c r="E396" s="7"/>
      <c r="F396" s="7"/>
      <c r="G396" s="7"/>
      <c r="H396" s="7"/>
      <c r="I396" s="7"/>
      <c r="J396" s="8"/>
      <c r="K396" s="9"/>
    </row>
    <row r="397">
      <c r="A397" s="6"/>
      <c r="B397" s="7"/>
      <c r="C397" s="7"/>
      <c r="D397" s="7"/>
      <c r="E397" s="7"/>
      <c r="F397" s="7"/>
      <c r="G397" s="7"/>
      <c r="H397" s="7"/>
      <c r="I397" s="7"/>
      <c r="J397" s="8"/>
      <c r="K397" s="9"/>
    </row>
    <row r="398">
      <c r="A398" s="6"/>
      <c r="B398" s="7"/>
      <c r="C398" s="7"/>
      <c r="D398" s="7"/>
      <c r="E398" s="7"/>
      <c r="F398" s="7"/>
      <c r="G398" s="7"/>
      <c r="H398" s="7"/>
      <c r="I398" s="7"/>
      <c r="J398" s="8"/>
      <c r="K398" s="9"/>
    </row>
    <row r="399">
      <c r="A399" s="6"/>
      <c r="B399" s="7"/>
      <c r="C399" s="7"/>
      <c r="D399" s="7"/>
      <c r="E399" s="7"/>
      <c r="F399" s="7"/>
      <c r="G399" s="7"/>
      <c r="H399" s="7"/>
      <c r="I399" s="7"/>
      <c r="J399" s="8"/>
      <c r="K399" s="9"/>
    </row>
    <row r="400">
      <c r="A400" s="6"/>
      <c r="B400" s="7"/>
      <c r="C400" s="7"/>
      <c r="D400" s="7"/>
      <c r="E400" s="7"/>
      <c r="F400" s="7"/>
      <c r="G400" s="7"/>
      <c r="H400" s="7"/>
      <c r="I400" s="7"/>
      <c r="J400" s="8"/>
      <c r="K400" s="9"/>
    </row>
    <row r="401">
      <c r="A401" s="6"/>
      <c r="B401" s="7"/>
      <c r="C401" s="7"/>
      <c r="D401" s="7"/>
      <c r="E401" s="7"/>
      <c r="F401" s="7"/>
      <c r="G401" s="7"/>
      <c r="H401" s="7"/>
      <c r="I401" s="7"/>
      <c r="J401" s="8"/>
      <c r="K401" s="9"/>
    </row>
    <row r="402">
      <c r="A402" s="6"/>
      <c r="B402" s="7"/>
      <c r="C402" s="7"/>
      <c r="D402" s="7"/>
      <c r="E402" s="7"/>
      <c r="F402" s="7"/>
      <c r="G402" s="7"/>
      <c r="H402" s="7"/>
      <c r="I402" s="7"/>
      <c r="J402" s="8"/>
      <c r="K402" s="9"/>
    </row>
    <row r="403">
      <c r="A403" s="6"/>
      <c r="B403" s="7"/>
      <c r="C403" s="7"/>
      <c r="D403" s="7"/>
      <c r="E403" s="7"/>
      <c r="F403" s="7"/>
      <c r="G403" s="7"/>
      <c r="H403" s="7"/>
      <c r="I403" s="7"/>
      <c r="J403" s="8"/>
      <c r="K403" s="9"/>
    </row>
    <row r="404">
      <c r="A404" s="6"/>
      <c r="B404" s="7"/>
      <c r="C404" s="7"/>
      <c r="D404" s="7"/>
      <c r="E404" s="7"/>
      <c r="F404" s="7"/>
      <c r="G404" s="7"/>
      <c r="H404" s="7"/>
      <c r="I404" s="7"/>
      <c r="J404" s="8"/>
      <c r="K404" s="9"/>
    </row>
    <row r="405">
      <c r="A405" s="6"/>
      <c r="B405" s="7"/>
      <c r="C405" s="7"/>
      <c r="D405" s="7"/>
      <c r="E405" s="7"/>
      <c r="F405" s="7"/>
      <c r="G405" s="7"/>
      <c r="H405" s="7"/>
      <c r="I405" s="7"/>
      <c r="J405" s="8"/>
      <c r="K405" s="9"/>
    </row>
    <row r="406">
      <c r="A406" s="6"/>
      <c r="B406" s="7"/>
      <c r="C406" s="7"/>
      <c r="D406" s="7"/>
      <c r="E406" s="7"/>
      <c r="F406" s="7"/>
      <c r="G406" s="7"/>
      <c r="H406" s="7"/>
      <c r="I406" s="7"/>
      <c r="J406" s="8"/>
      <c r="K406" s="9"/>
    </row>
    <row r="407">
      <c r="A407" s="6"/>
      <c r="B407" s="7"/>
      <c r="C407" s="7"/>
      <c r="D407" s="7"/>
      <c r="E407" s="7"/>
      <c r="F407" s="7"/>
      <c r="G407" s="7"/>
      <c r="H407" s="7"/>
      <c r="I407" s="7"/>
      <c r="J407" s="8"/>
      <c r="K407" s="9"/>
    </row>
    <row r="408">
      <c r="A408" s="6"/>
      <c r="B408" s="7"/>
      <c r="C408" s="7"/>
      <c r="D408" s="7"/>
      <c r="E408" s="7"/>
      <c r="F408" s="7"/>
      <c r="G408" s="7"/>
      <c r="H408" s="7"/>
      <c r="I408" s="7"/>
      <c r="J408" s="8"/>
      <c r="K408" s="9"/>
    </row>
    <row r="409">
      <c r="A409" s="6"/>
      <c r="B409" s="7"/>
      <c r="C409" s="7"/>
      <c r="D409" s="7"/>
      <c r="E409" s="7"/>
      <c r="F409" s="7"/>
      <c r="G409" s="7"/>
      <c r="H409" s="7"/>
      <c r="I409" s="7"/>
      <c r="J409" s="8"/>
      <c r="K409" s="9"/>
    </row>
    <row r="410">
      <c r="A410" s="6"/>
      <c r="B410" s="7"/>
      <c r="C410" s="7"/>
      <c r="D410" s="7"/>
      <c r="E410" s="7"/>
      <c r="F410" s="7"/>
      <c r="G410" s="7"/>
      <c r="H410" s="7"/>
      <c r="I410" s="7"/>
      <c r="J410" s="8"/>
      <c r="K410" s="9"/>
    </row>
    <row r="411">
      <c r="A411" s="6"/>
      <c r="B411" s="7"/>
      <c r="C411" s="7"/>
      <c r="D411" s="7"/>
      <c r="E411" s="7"/>
      <c r="F411" s="7"/>
      <c r="G411" s="7"/>
      <c r="H411" s="7"/>
      <c r="I411" s="7"/>
      <c r="J411" s="8"/>
      <c r="K411" s="9"/>
    </row>
    <row r="412">
      <c r="A412" s="6"/>
      <c r="B412" s="7"/>
      <c r="C412" s="7"/>
      <c r="D412" s="7"/>
      <c r="E412" s="7"/>
      <c r="F412" s="7"/>
      <c r="G412" s="7"/>
      <c r="H412" s="7"/>
      <c r="I412" s="7"/>
      <c r="J412" s="8"/>
      <c r="K412" s="9"/>
    </row>
    <row r="413">
      <c r="A413" s="6"/>
      <c r="B413" s="7"/>
      <c r="C413" s="7"/>
      <c r="D413" s="7"/>
      <c r="E413" s="7"/>
      <c r="F413" s="7"/>
      <c r="G413" s="7"/>
      <c r="H413" s="7"/>
      <c r="I413" s="7"/>
      <c r="J413" s="8"/>
      <c r="K413" s="9"/>
    </row>
    <row r="414">
      <c r="A414" s="6"/>
      <c r="B414" s="7"/>
      <c r="C414" s="7"/>
      <c r="D414" s="7"/>
      <c r="E414" s="7"/>
      <c r="F414" s="7"/>
      <c r="G414" s="7"/>
      <c r="H414" s="7"/>
      <c r="I414" s="7"/>
      <c r="J414" s="8"/>
      <c r="K414" s="9"/>
    </row>
    <row r="415">
      <c r="A415" s="6"/>
      <c r="B415" s="7"/>
      <c r="C415" s="7"/>
      <c r="D415" s="7"/>
      <c r="E415" s="7"/>
      <c r="F415" s="7"/>
      <c r="G415" s="7"/>
      <c r="H415" s="7"/>
      <c r="I415" s="7"/>
      <c r="J415" s="8"/>
      <c r="K415" s="9"/>
    </row>
    <row r="416">
      <c r="A416" s="6"/>
      <c r="B416" s="7"/>
      <c r="C416" s="7"/>
      <c r="D416" s="7"/>
      <c r="E416" s="7"/>
      <c r="F416" s="7"/>
      <c r="G416" s="7"/>
      <c r="H416" s="7"/>
      <c r="I416" s="7"/>
      <c r="J416" s="8"/>
      <c r="K416" s="9"/>
    </row>
    <row r="417">
      <c r="A417" s="6"/>
      <c r="B417" s="7"/>
      <c r="C417" s="7"/>
      <c r="D417" s="7"/>
      <c r="E417" s="7"/>
      <c r="F417" s="7"/>
      <c r="G417" s="7"/>
      <c r="H417" s="7"/>
      <c r="I417" s="7"/>
      <c r="J417" s="8"/>
      <c r="K417" s="9"/>
    </row>
    <row r="418">
      <c r="A418" s="6"/>
      <c r="B418" s="7"/>
      <c r="C418" s="7"/>
      <c r="D418" s="7"/>
      <c r="E418" s="7"/>
      <c r="F418" s="7"/>
      <c r="G418" s="7"/>
      <c r="H418" s="7"/>
      <c r="I418" s="7"/>
      <c r="J418" s="8"/>
      <c r="K418" s="9"/>
    </row>
    <row r="419">
      <c r="A419" s="6"/>
      <c r="B419" s="7"/>
      <c r="C419" s="7"/>
      <c r="D419" s="7"/>
      <c r="E419" s="7"/>
      <c r="F419" s="7"/>
      <c r="G419" s="7"/>
      <c r="H419" s="7"/>
      <c r="I419" s="7"/>
      <c r="J419" s="8"/>
      <c r="K419" s="9"/>
    </row>
    <row r="420">
      <c r="A420" s="6"/>
      <c r="B420" s="7"/>
      <c r="C420" s="7"/>
      <c r="D420" s="7"/>
      <c r="E420" s="7"/>
      <c r="F420" s="7"/>
      <c r="G420" s="7"/>
      <c r="H420" s="7"/>
      <c r="I420" s="7"/>
      <c r="J420" s="8"/>
      <c r="K420" s="9"/>
    </row>
    <row r="421">
      <c r="A421" s="6"/>
      <c r="B421" s="7"/>
      <c r="C421" s="7"/>
      <c r="D421" s="7"/>
      <c r="E421" s="7"/>
      <c r="F421" s="7"/>
      <c r="G421" s="7"/>
      <c r="H421" s="7"/>
      <c r="I421" s="7"/>
      <c r="J421" s="8"/>
      <c r="K421" s="9"/>
    </row>
    <row r="422">
      <c r="A422" s="6"/>
      <c r="B422" s="7"/>
      <c r="C422" s="7"/>
      <c r="D422" s="7"/>
      <c r="E422" s="7"/>
      <c r="F422" s="7"/>
      <c r="G422" s="7"/>
      <c r="H422" s="7"/>
      <c r="I422" s="7"/>
      <c r="J422" s="8"/>
      <c r="K422" s="9"/>
    </row>
    <row r="423">
      <c r="A423" s="6"/>
      <c r="B423" s="7"/>
      <c r="C423" s="7"/>
      <c r="D423" s="7"/>
      <c r="E423" s="7"/>
      <c r="F423" s="7"/>
      <c r="G423" s="7"/>
      <c r="H423" s="7"/>
      <c r="I423" s="7"/>
      <c r="J423" s="8"/>
      <c r="K423" s="9"/>
    </row>
    <row r="424">
      <c r="A424" s="6"/>
      <c r="B424" s="7"/>
      <c r="C424" s="7"/>
      <c r="D424" s="7"/>
      <c r="E424" s="7"/>
      <c r="F424" s="7"/>
      <c r="G424" s="7"/>
      <c r="H424" s="7"/>
      <c r="I424" s="7"/>
      <c r="J424" s="8"/>
      <c r="K424" s="9"/>
    </row>
    <row r="425">
      <c r="A425" s="6"/>
      <c r="B425" s="7"/>
      <c r="C425" s="7"/>
      <c r="D425" s="7"/>
      <c r="E425" s="7"/>
      <c r="F425" s="7"/>
      <c r="G425" s="7"/>
      <c r="H425" s="7"/>
      <c r="I425" s="7"/>
      <c r="J425" s="8"/>
      <c r="K425" s="9"/>
    </row>
    <row r="426">
      <c r="A426" s="6"/>
      <c r="B426" s="7"/>
      <c r="C426" s="7"/>
      <c r="D426" s="7"/>
      <c r="E426" s="7"/>
      <c r="F426" s="7"/>
      <c r="G426" s="7"/>
      <c r="H426" s="7"/>
      <c r="I426" s="7"/>
      <c r="J426" s="8"/>
      <c r="K426" s="9"/>
    </row>
    <row r="427">
      <c r="A427" s="6"/>
      <c r="B427" s="7"/>
      <c r="C427" s="7"/>
      <c r="D427" s="7"/>
      <c r="E427" s="7"/>
      <c r="F427" s="7"/>
      <c r="G427" s="7"/>
      <c r="H427" s="7"/>
      <c r="I427" s="7"/>
      <c r="J427" s="8"/>
      <c r="K427" s="9"/>
    </row>
    <row r="428">
      <c r="A428" s="6"/>
      <c r="B428" s="7"/>
      <c r="C428" s="7"/>
      <c r="D428" s="7"/>
      <c r="E428" s="7"/>
      <c r="F428" s="7"/>
      <c r="G428" s="7"/>
      <c r="H428" s="7"/>
      <c r="I428" s="7"/>
      <c r="J428" s="8"/>
      <c r="K428" s="9"/>
    </row>
    <row r="429">
      <c r="A429" s="6"/>
      <c r="B429" s="7"/>
      <c r="C429" s="7"/>
      <c r="D429" s="7"/>
      <c r="E429" s="7"/>
      <c r="F429" s="7"/>
      <c r="G429" s="7"/>
      <c r="H429" s="7"/>
      <c r="I429" s="7"/>
      <c r="J429" s="8"/>
      <c r="K429" s="9"/>
    </row>
    <row r="430">
      <c r="A430" s="6"/>
      <c r="B430" s="7"/>
      <c r="C430" s="7"/>
      <c r="D430" s="7"/>
      <c r="E430" s="7"/>
      <c r="F430" s="7"/>
      <c r="G430" s="7"/>
      <c r="H430" s="7"/>
      <c r="I430" s="7"/>
      <c r="J430" s="8"/>
      <c r="K430" s="9"/>
    </row>
    <row r="431">
      <c r="A431" s="6"/>
      <c r="B431" s="7"/>
      <c r="C431" s="7"/>
      <c r="D431" s="7"/>
      <c r="E431" s="7"/>
      <c r="F431" s="7"/>
      <c r="G431" s="7"/>
      <c r="H431" s="7"/>
      <c r="I431" s="7"/>
      <c r="J431" s="8"/>
      <c r="K431" s="9"/>
    </row>
    <row r="432">
      <c r="A432" s="6"/>
      <c r="B432" s="7"/>
      <c r="C432" s="7"/>
      <c r="D432" s="7"/>
      <c r="E432" s="7"/>
      <c r="F432" s="7"/>
      <c r="G432" s="7"/>
      <c r="H432" s="7"/>
      <c r="I432" s="7"/>
      <c r="J432" s="8"/>
      <c r="K432" s="9"/>
    </row>
    <row r="433">
      <c r="A433" s="6"/>
      <c r="B433" s="7"/>
      <c r="C433" s="7"/>
      <c r="D433" s="7"/>
      <c r="E433" s="7"/>
      <c r="F433" s="7"/>
      <c r="G433" s="7"/>
      <c r="H433" s="7"/>
      <c r="I433" s="7"/>
      <c r="J433" s="8"/>
      <c r="K433" s="9"/>
    </row>
    <row r="434">
      <c r="A434" s="6"/>
      <c r="B434" s="7"/>
      <c r="C434" s="7"/>
      <c r="D434" s="7"/>
      <c r="E434" s="7"/>
      <c r="F434" s="7"/>
      <c r="G434" s="7"/>
      <c r="H434" s="7"/>
      <c r="I434" s="7"/>
      <c r="J434" s="8"/>
      <c r="K434" s="9"/>
    </row>
    <row r="435">
      <c r="A435" s="6"/>
      <c r="B435" s="7"/>
      <c r="C435" s="7"/>
      <c r="D435" s="7"/>
      <c r="E435" s="7"/>
      <c r="F435" s="7"/>
      <c r="G435" s="7"/>
      <c r="H435" s="7"/>
      <c r="I435" s="7"/>
      <c r="J435" s="8"/>
      <c r="K435" s="9"/>
    </row>
    <row r="436">
      <c r="A436" s="6"/>
      <c r="B436" s="7"/>
      <c r="C436" s="7"/>
      <c r="D436" s="7"/>
      <c r="E436" s="7"/>
      <c r="F436" s="7"/>
      <c r="G436" s="7"/>
      <c r="H436" s="7"/>
      <c r="I436" s="7"/>
      <c r="J436" s="8"/>
      <c r="K436" s="9"/>
    </row>
    <row r="437">
      <c r="A437" s="6"/>
      <c r="B437" s="7"/>
      <c r="C437" s="7"/>
      <c r="D437" s="7"/>
      <c r="E437" s="7"/>
      <c r="F437" s="7"/>
      <c r="G437" s="7"/>
      <c r="H437" s="7"/>
      <c r="I437" s="7"/>
      <c r="J437" s="8"/>
      <c r="K437" s="9"/>
    </row>
    <row r="438">
      <c r="A438" s="6"/>
      <c r="B438" s="7"/>
      <c r="C438" s="7"/>
      <c r="D438" s="7"/>
      <c r="E438" s="7"/>
      <c r="F438" s="7"/>
      <c r="G438" s="7"/>
      <c r="H438" s="7"/>
      <c r="I438" s="7"/>
      <c r="J438" s="8"/>
      <c r="K438" s="9"/>
    </row>
    <row r="439">
      <c r="A439" s="6"/>
      <c r="B439" s="7"/>
      <c r="C439" s="7"/>
      <c r="D439" s="7"/>
      <c r="E439" s="7"/>
      <c r="F439" s="7"/>
      <c r="G439" s="7"/>
      <c r="H439" s="7"/>
      <c r="I439" s="7"/>
      <c r="J439" s="8"/>
      <c r="K439" s="9"/>
    </row>
    <row r="440">
      <c r="A440" s="6"/>
      <c r="B440" s="7"/>
      <c r="C440" s="7"/>
      <c r="D440" s="7"/>
      <c r="E440" s="7"/>
      <c r="F440" s="7"/>
      <c r="G440" s="7"/>
      <c r="H440" s="7"/>
      <c r="I440" s="7"/>
      <c r="J440" s="8"/>
      <c r="K440" s="9"/>
    </row>
    <row r="441">
      <c r="A441" s="6"/>
      <c r="B441" s="7"/>
      <c r="C441" s="7"/>
      <c r="D441" s="7"/>
      <c r="E441" s="7"/>
      <c r="F441" s="7"/>
      <c r="G441" s="7"/>
      <c r="H441" s="7"/>
      <c r="I441" s="7"/>
      <c r="J441" s="8"/>
      <c r="K441" s="9"/>
    </row>
    <row r="442">
      <c r="A442" s="6"/>
      <c r="B442" s="7"/>
      <c r="C442" s="7"/>
      <c r="D442" s="7"/>
      <c r="E442" s="7"/>
      <c r="F442" s="7"/>
      <c r="G442" s="7"/>
      <c r="H442" s="7"/>
      <c r="I442" s="7"/>
      <c r="J442" s="8"/>
      <c r="K442" s="9"/>
    </row>
    <row r="443">
      <c r="A443" s="6"/>
      <c r="B443" s="7"/>
      <c r="C443" s="7"/>
      <c r="D443" s="7"/>
      <c r="E443" s="7"/>
      <c r="F443" s="7"/>
      <c r="G443" s="7"/>
      <c r="H443" s="7"/>
      <c r="I443" s="7"/>
      <c r="J443" s="8"/>
      <c r="K443" s="9"/>
    </row>
    <row r="444">
      <c r="A444" s="6"/>
      <c r="B444" s="7"/>
      <c r="C444" s="7"/>
      <c r="D444" s="7"/>
      <c r="E444" s="7"/>
      <c r="F444" s="7"/>
      <c r="G444" s="7"/>
      <c r="H444" s="7"/>
      <c r="I444" s="7"/>
      <c r="J444" s="8"/>
      <c r="K444" s="9"/>
    </row>
    <row r="445">
      <c r="A445" s="6"/>
      <c r="B445" s="7"/>
      <c r="C445" s="7"/>
      <c r="D445" s="7"/>
      <c r="E445" s="7"/>
      <c r="F445" s="7"/>
      <c r="G445" s="7"/>
      <c r="H445" s="7"/>
      <c r="I445" s="7"/>
      <c r="J445" s="8"/>
      <c r="K445" s="9"/>
    </row>
    <row r="446">
      <c r="A446" s="6"/>
      <c r="B446" s="7"/>
      <c r="C446" s="7"/>
      <c r="D446" s="7"/>
      <c r="E446" s="7"/>
      <c r="F446" s="7"/>
      <c r="G446" s="7"/>
      <c r="H446" s="7"/>
      <c r="I446" s="7"/>
      <c r="J446" s="8"/>
      <c r="K446" s="9"/>
    </row>
    <row r="447">
      <c r="A447" s="6"/>
      <c r="B447" s="7"/>
      <c r="C447" s="7"/>
      <c r="D447" s="7"/>
      <c r="E447" s="7"/>
      <c r="F447" s="7"/>
      <c r="G447" s="7"/>
      <c r="H447" s="7"/>
      <c r="I447" s="7"/>
      <c r="J447" s="8"/>
      <c r="K447" s="9"/>
    </row>
    <row r="448">
      <c r="A448" s="6"/>
      <c r="B448" s="7"/>
      <c r="C448" s="7"/>
      <c r="D448" s="7"/>
      <c r="E448" s="7"/>
      <c r="F448" s="7"/>
      <c r="G448" s="7"/>
      <c r="H448" s="7"/>
      <c r="I448" s="7"/>
      <c r="J448" s="8"/>
      <c r="K448" s="9"/>
    </row>
    <row r="449">
      <c r="A449" s="6"/>
      <c r="B449" s="7"/>
      <c r="C449" s="7"/>
      <c r="D449" s="7"/>
      <c r="E449" s="7"/>
      <c r="F449" s="7"/>
      <c r="G449" s="7"/>
      <c r="H449" s="7"/>
      <c r="I449" s="7"/>
      <c r="J449" s="8"/>
      <c r="K449" s="9"/>
    </row>
    <row r="450">
      <c r="A450" s="6"/>
      <c r="B450" s="7"/>
      <c r="C450" s="7"/>
      <c r="D450" s="7"/>
      <c r="E450" s="7"/>
      <c r="F450" s="7"/>
      <c r="G450" s="7"/>
      <c r="H450" s="7"/>
      <c r="I450" s="7"/>
      <c r="J450" s="8"/>
      <c r="K450" s="9"/>
    </row>
    <row r="451">
      <c r="A451" s="6"/>
      <c r="B451" s="7"/>
      <c r="C451" s="7"/>
      <c r="D451" s="7"/>
      <c r="E451" s="7"/>
      <c r="F451" s="7"/>
      <c r="G451" s="7"/>
      <c r="H451" s="7"/>
      <c r="I451" s="7"/>
      <c r="J451" s="8"/>
      <c r="K451" s="9"/>
    </row>
    <row r="452">
      <c r="A452" s="6"/>
      <c r="B452" s="7"/>
      <c r="C452" s="7"/>
      <c r="D452" s="7"/>
      <c r="E452" s="7"/>
      <c r="F452" s="7"/>
      <c r="G452" s="7"/>
      <c r="H452" s="7"/>
      <c r="I452" s="7"/>
      <c r="J452" s="8"/>
      <c r="K452" s="9"/>
    </row>
    <row r="453">
      <c r="A453" s="6"/>
      <c r="B453" s="7"/>
      <c r="C453" s="7"/>
      <c r="D453" s="7"/>
      <c r="E453" s="7"/>
      <c r="F453" s="7"/>
      <c r="G453" s="7"/>
      <c r="H453" s="7"/>
      <c r="I453" s="7"/>
      <c r="J453" s="8"/>
      <c r="K453" s="9"/>
    </row>
    <row r="454">
      <c r="A454" s="6"/>
      <c r="B454" s="7"/>
      <c r="C454" s="7"/>
      <c r="D454" s="7"/>
      <c r="E454" s="7"/>
      <c r="F454" s="7"/>
      <c r="G454" s="7"/>
      <c r="H454" s="7"/>
      <c r="I454" s="7"/>
      <c r="J454" s="8"/>
      <c r="K454" s="9"/>
    </row>
    <row r="455">
      <c r="A455" s="6"/>
      <c r="B455" s="7"/>
      <c r="C455" s="7"/>
      <c r="D455" s="7"/>
      <c r="E455" s="7"/>
      <c r="F455" s="7"/>
      <c r="G455" s="7"/>
      <c r="H455" s="7"/>
      <c r="I455" s="7"/>
      <c r="J455" s="8"/>
      <c r="K455" s="9"/>
    </row>
    <row r="456">
      <c r="A456" s="6"/>
      <c r="B456" s="7"/>
      <c r="C456" s="7"/>
      <c r="D456" s="7"/>
      <c r="E456" s="7"/>
      <c r="F456" s="7"/>
      <c r="G456" s="7"/>
      <c r="H456" s="7"/>
      <c r="I456" s="7"/>
      <c r="J456" s="8"/>
      <c r="K456" s="9"/>
    </row>
    <row r="457">
      <c r="A457" s="6"/>
      <c r="B457" s="7"/>
      <c r="C457" s="7"/>
      <c r="D457" s="7"/>
      <c r="E457" s="7"/>
      <c r="F457" s="7"/>
      <c r="G457" s="7"/>
      <c r="H457" s="7"/>
      <c r="I457" s="7"/>
      <c r="J457" s="8"/>
      <c r="K457" s="9"/>
    </row>
    <row r="458">
      <c r="A458" s="6"/>
      <c r="B458" s="7"/>
      <c r="C458" s="7"/>
      <c r="D458" s="7"/>
      <c r="E458" s="7"/>
      <c r="F458" s="7"/>
      <c r="G458" s="7"/>
      <c r="H458" s="7"/>
      <c r="I458" s="7"/>
      <c r="J458" s="8"/>
      <c r="K458" s="9"/>
    </row>
    <row r="459">
      <c r="A459" s="6"/>
      <c r="B459" s="7"/>
      <c r="C459" s="7"/>
      <c r="D459" s="7"/>
      <c r="E459" s="7"/>
      <c r="F459" s="7"/>
      <c r="G459" s="7"/>
      <c r="H459" s="7"/>
      <c r="I459" s="7"/>
      <c r="J459" s="8"/>
      <c r="K459" s="9"/>
    </row>
    <row r="460">
      <c r="A460" s="6"/>
      <c r="B460" s="7"/>
      <c r="C460" s="7"/>
      <c r="D460" s="7"/>
      <c r="E460" s="7"/>
      <c r="F460" s="7"/>
      <c r="G460" s="7"/>
      <c r="H460" s="7"/>
      <c r="I460" s="7"/>
      <c r="J460" s="8"/>
      <c r="K460" s="9"/>
    </row>
    <row r="461">
      <c r="A461" s="6"/>
      <c r="B461" s="7"/>
      <c r="C461" s="7"/>
      <c r="D461" s="7"/>
      <c r="E461" s="7"/>
      <c r="F461" s="7"/>
      <c r="G461" s="7"/>
      <c r="H461" s="7"/>
      <c r="I461" s="7"/>
      <c r="J461" s="8"/>
      <c r="K461" s="9"/>
    </row>
    <row r="462">
      <c r="A462" s="6"/>
      <c r="B462" s="7"/>
      <c r="C462" s="7"/>
      <c r="D462" s="7"/>
      <c r="E462" s="7"/>
      <c r="F462" s="7"/>
      <c r="G462" s="7"/>
      <c r="H462" s="7"/>
      <c r="I462" s="7"/>
      <c r="J462" s="8"/>
      <c r="K462" s="9"/>
    </row>
    <row r="463">
      <c r="A463" s="6"/>
      <c r="B463" s="7"/>
      <c r="C463" s="7"/>
      <c r="D463" s="7"/>
      <c r="E463" s="7"/>
      <c r="F463" s="7"/>
      <c r="G463" s="7"/>
      <c r="H463" s="7"/>
      <c r="I463" s="7"/>
      <c r="J463" s="8"/>
      <c r="K463" s="9"/>
    </row>
    <row r="464">
      <c r="A464" s="6"/>
      <c r="B464" s="7"/>
      <c r="C464" s="7"/>
      <c r="D464" s="7"/>
      <c r="E464" s="7"/>
      <c r="F464" s="7"/>
      <c r="G464" s="7"/>
      <c r="H464" s="7"/>
      <c r="I464" s="7"/>
      <c r="J464" s="8"/>
      <c r="K464" s="9"/>
    </row>
    <row r="465">
      <c r="A465" s="6"/>
      <c r="B465" s="7"/>
      <c r="C465" s="7"/>
      <c r="D465" s="7"/>
      <c r="E465" s="7"/>
      <c r="F465" s="7"/>
      <c r="G465" s="7"/>
      <c r="H465" s="7"/>
      <c r="I465" s="7"/>
      <c r="J465" s="8"/>
      <c r="K465" s="9"/>
    </row>
    <row r="466">
      <c r="A466" s="6"/>
      <c r="B466" s="7"/>
      <c r="C466" s="7"/>
      <c r="D466" s="7"/>
      <c r="E466" s="7"/>
      <c r="F466" s="7"/>
      <c r="G466" s="7"/>
      <c r="H466" s="7"/>
      <c r="I466" s="7"/>
      <c r="J466" s="8"/>
      <c r="K466" s="9"/>
    </row>
    <row r="467">
      <c r="A467" s="6"/>
      <c r="B467" s="7"/>
      <c r="C467" s="7"/>
      <c r="D467" s="7"/>
      <c r="E467" s="7"/>
      <c r="F467" s="7"/>
      <c r="G467" s="7"/>
      <c r="H467" s="7"/>
      <c r="I467" s="7"/>
      <c r="J467" s="8"/>
      <c r="K467" s="9"/>
    </row>
    <row r="468">
      <c r="A468" s="6"/>
      <c r="B468" s="7"/>
      <c r="C468" s="7"/>
      <c r="D468" s="7"/>
      <c r="E468" s="7"/>
      <c r="F468" s="7"/>
      <c r="G468" s="7"/>
      <c r="H468" s="7"/>
      <c r="I468" s="7"/>
      <c r="J468" s="8"/>
      <c r="K468" s="9"/>
    </row>
    <row r="469">
      <c r="A469" s="6"/>
      <c r="B469" s="7"/>
      <c r="C469" s="7"/>
      <c r="D469" s="7"/>
      <c r="E469" s="7"/>
      <c r="F469" s="7"/>
      <c r="G469" s="7"/>
      <c r="H469" s="7"/>
      <c r="I469" s="7"/>
      <c r="J469" s="8"/>
      <c r="K469" s="9"/>
    </row>
    <row r="470">
      <c r="A470" s="6"/>
      <c r="B470" s="7"/>
      <c r="C470" s="7"/>
      <c r="D470" s="7"/>
      <c r="E470" s="7"/>
      <c r="F470" s="7"/>
      <c r="G470" s="7"/>
      <c r="H470" s="7"/>
      <c r="I470" s="7"/>
      <c r="J470" s="8"/>
      <c r="K470" s="9"/>
    </row>
    <row r="471">
      <c r="A471" s="6"/>
      <c r="B471" s="7"/>
      <c r="C471" s="7"/>
      <c r="D471" s="7"/>
      <c r="E471" s="7"/>
      <c r="F471" s="7"/>
      <c r="G471" s="7"/>
      <c r="H471" s="7"/>
      <c r="I471" s="7"/>
      <c r="J471" s="8"/>
      <c r="K471" s="9"/>
    </row>
    <row r="472">
      <c r="A472" s="6"/>
      <c r="B472" s="7"/>
      <c r="C472" s="7"/>
      <c r="D472" s="7"/>
      <c r="E472" s="7"/>
      <c r="F472" s="7"/>
      <c r="G472" s="7"/>
      <c r="H472" s="7"/>
      <c r="I472" s="7"/>
      <c r="J472" s="8"/>
      <c r="K472" s="9"/>
    </row>
    <row r="473">
      <c r="A473" s="6"/>
      <c r="B473" s="7"/>
      <c r="C473" s="7"/>
      <c r="D473" s="7"/>
      <c r="E473" s="7"/>
      <c r="F473" s="7"/>
      <c r="G473" s="7"/>
      <c r="H473" s="7"/>
      <c r="I473" s="7"/>
      <c r="J473" s="8"/>
      <c r="K473" s="9"/>
    </row>
    <row r="474">
      <c r="A474" s="6"/>
      <c r="B474" s="7"/>
      <c r="C474" s="7"/>
      <c r="D474" s="7"/>
      <c r="E474" s="7"/>
      <c r="F474" s="7"/>
      <c r="G474" s="7"/>
      <c r="H474" s="7"/>
      <c r="I474" s="7"/>
      <c r="J474" s="8"/>
      <c r="K474" s="9"/>
    </row>
    <row r="475">
      <c r="A475" s="6"/>
      <c r="B475" s="7"/>
      <c r="C475" s="7"/>
      <c r="D475" s="7"/>
      <c r="E475" s="7"/>
      <c r="F475" s="7"/>
      <c r="G475" s="7"/>
      <c r="H475" s="7"/>
      <c r="I475" s="7"/>
      <c r="J475" s="8"/>
      <c r="K475" s="9"/>
    </row>
    <row r="476">
      <c r="A476" s="6"/>
      <c r="B476" s="7"/>
      <c r="C476" s="7"/>
      <c r="D476" s="7"/>
      <c r="E476" s="7"/>
      <c r="F476" s="7"/>
      <c r="G476" s="7"/>
      <c r="H476" s="7"/>
      <c r="I476" s="7"/>
      <c r="J476" s="8"/>
      <c r="K476" s="9"/>
    </row>
    <row r="477">
      <c r="A477" s="6"/>
      <c r="B477" s="7"/>
      <c r="C477" s="7"/>
      <c r="D477" s="7"/>
      <c r="E477" s="7"/>
      <c r="F477" s="7"/>
      <c r="G477" s="7"/>
      <c r="H477" s="7"/>
      <c r="I477" s="7"/>
      <c r="J477" s="8"/>
      <c r="K477" s="9"/>
    </row>
    <row r="478">
      <c r="A478" s="6"/>
      <c r="B478" s="7"/>
      <c r="C478" s="7"/>
      <c r="D478" s="7"/>
      <c r="E478" s="7"/>
      <c r="F478" s="7"/>
      <c r="G478" s="7"/>
      <c r="H478" s="7"/>
      <c r="I478" s="7"/>
      <c r="J478" s="8"/>
      <c r="K478" s="9"/>
    </row>
    <row r="479">
      <c r="A479" s="6"/>
      <c r="B479" s="7"/>
      <c r="C479" s="7"/>
      <c r="D479" s="7"/>
      <c r="E479" s="7"/>
      <c r="F479" s="7"/>
      <c r="G479" s="7"/>
      <c r="H479" s="7"/>
      <c r="I479" s="7"/>
      <c r="J479" s="8"/>
      <c r="K479" s="9"/>
    </row>
    <row r="480">
      <c r="A480" s="6"/>
      <c r="B480" s="7"/>
      <c r="C480" s="7"/>
      <c r="D480" s="7"/>
      <c r="E480" s="7"/>
      <c r="F480" s="7"/>
      <c r="G480" s="7"/>
      <c r="H480" s="7"/>
      <c r="I480" s="7"/>
      <c r="J480" s="8"/>
      <c r="K480" s="9"/>
    </row>
    <row r="481">
      <c r="A481" s="6"/>
      <c r="B481" s="7"/>
      <c r="C481" s="7"/>
      <c r="D481" s="7"/>
      <c r="E481" s="7"/>
      <c r="F481" s="7"/>
      <c r="G481" s="7"/>
      <c r="H481" s="7"/>
      <c r="I481" s="7"/>
      <c r="J481" s="8"/>
      <c r="K481" s="9"/>
    </row>
    <row r="482">
      <c r="A482" s="6"/>
      <c r="B482" s="7"/>
      <c r="C482" s="7"/>
      <c r="D482" s="7"/>
      <c r="E482" s="7"/>
      <c r="F482" s="7"/>
      <c r="G482" s="7"/>
      <c r="H482" s="7"/>
      <c r="I482" s="7"/>
      <c r="J482" s="8"/>
      <c r="K482" s="9"/>
    </row>
    <row r="483">
      <c r="A483" s="6"/>
      <c r="B483" s="7"/>
      <c r="C483" s="7"/>
      <c r="D483" s="7"/>
      <c r="E483" s="7"/>
      <c r="F483" s="7"/>
      <c r="G483" s="7"/>
      <c r="H483" s="7"/>
      <c r="I483" s="7"/>
      <c r="J483" s="8"/>
      <c r="K483" s="9"/>
    </row>
    <row r="484">
      <c r="A484" s="6"/>
      <c r="B484" s="7"/>
      <c r="C484" s="7"/>
      <c r="D484" s="7"/>
      <c r="E484" s="7"/>
      <c r="F484" s="7"/>
      <c r="G484" s="7"/>
      <c r="H484" s="7"/>
      <c r="I484" s="7"/>
      <c r="J484" s="8"/>
      <c r="K484" s="9"/>
    </row>
    <row r="485">
      <c r="A485" s="6"/>
      <c r="B485" s="7"/>
      <c r="C485" s="7"/>
      <c r="D485" s="7"/>
      <c r="E485" s="7"/>
      <c r="F485" s="7"/>
      <c r="G485" s="7"/>
      <c r="H485" s="7"/>
      <c r="I485" s="7"/>
      <c r="J485" s="8"/>
      <c r="K485" s="9"/>
    </row>
    <row r="486">
      <c r="A486" s="6"/>
      <c r="B486" s="7"/>
      <c r="C486" s="7"/>
      <c r="D486" s="7"/>
      <c r="E486" s="7"/>
      <c r="F486" s="7"/>
      <c r="G486" s="7"/>
      <c r="H486" s="7"/>
      <c r="I486" s="7"/>
      <c r="J486" s="8"/>
      <c r="K486" s="9"/>
    </row>
    <row r="487">
      <c r="A487" s="6"/>
      <c r="B487" s="7"/>
      <c r="C487" s="7"/>
      <c r="D487" s="7"/>
      <c r="E487" s="7"/>
      <c r="F487" s="7"/>
      <c r="G487" s="7"/>
      <c r="H487" s="7"/>
      <c r="I487" s="7"/>
      <c r="J487" s="8"/>
      <c r="K487" s="9"/>
    </row>
    <row r="488">
      <c r="A488" s="6"/>
      <c r="B488" s="7"/>
      <c r="C488" s="7"/>
      <c r="D488" s="7"/>
      <c r="E488" s="7"/>
      <c r="F488" s="7"/>
      <c r="G488" s="7"/>
      <c r="H488" s="7"/>
      <c r="I488" s="7"/>
      <c r="J488" s="8"/>
      <c r="K488" s="9"/>
    </row>
    <row r="489">
      <c r="A489" s="6"/>
      <c r="B489" s="7"/>
      <c r="C489" s="7"/>
      <c r="D489" s="7"/>
      <c r="E489" s="7"/>
      <c r="F489" s="7"/>
      <c r="G489" s="7"/>
      <c r="H489" s="7"/>
      <c r="I489" s="7"/>
      <c r="J489" s="8"/>
      <c r="K489" s="9"/>
    </row>
    <row r="490">
      <c r="A490" s="6"/>
      <c r="B490" s="7"/>
      <c r="C490" s="7"/>
      <c r="D490" s="7"/>
      <c r="E490" s="7"/>
      <c r="F490" s="7"/>
      <c r="G490" s="7"/>
      <c r="H490" s="7"/>
      <c r="I490" s="7"/>
      <c r="J490" s="8"/>
      <c r="K490" s="9"/>
    </row>
    <row r="491">
      <c r="A491" s="6"/>
      <c r="B491" s="7"/>
      <c r="C491" s="7"/>
      <c r="D491" s="7"/>
      <c r="E491" s="7"/>
      <c r="F491" s="7"/>
      <c r="G491" s="7"/>
      <c r="H491" s="7"/>
      <c r="I491" s="7"/>
      <c r="J491" s="8"/>
      <c r="K491" s="9"/>
    </row>
    <row r="492">
      <c r="A492" s="6"/>
      <c r="B492" s="7"/>
      <c r="C492" s="7"/>
      <c r="D492" s="7"/>
      <c r="E492" s="7"/>
      <c r="F492" s="7"/>
      <c r="G492" s="7"/>
      <c r="H492" s="7"/>
      <c r="I492" s="7"/>
      <c r="J492" s="8"/>
      <c r="K492" s="9"/>
    </row>
    <row r="493">
      <c r="A493" s="6"/>
      <c r="B493" s="7"/>
      <c r="C493" s="7"/>
      <c r="D493" s="7"/>
      <c r="E493" s="7"/>
      <c r="F493" s="7"/>
      <c r="G493" s="7"/>
      <c r="H493" s="7"/>
      <c r="I493" s="7"/>
      <c r="J493" s="8"/>
      <c r="K493" s="9"/>
    </row>
    <row r="494">
      <c r="A494" s="6"/>
      <c r="B494" s="7"/>
      <c r="C494" s="7"/>
      <c r="D494" s="7"/>
      <c r="E494" s="7"/>
      <c r="F494" s="7"/>
      <c r="G494" s="7"/>
      <c r="H494" s="7"/>
      <c r="I494" s="7"/>
      <c r="J494" s="8"/>
      <c r="K494" s="9"/>
    </row>
    <row r="495">
      <c r="A495" s="6"/>
      <c r="B495" s="7"/>
      <c r="C495" s="7"/>
      <c r="D495" s="7"/>
      <c r="E495" s="7"/>
      <c r="F495" s="7"/>
      <c r="G495" s="7"/>
      <c r="H495" s="7"/>
      <c r="I495" s="7"/>
      <c r="J495" s="8"/>
      <c r="K495" s="9"/>
    </row>
    <row r="496">
      <c r="A496" s="6"/>
      <c r="B496" s="7"/>
      <c r="C496" s="7"/>
      <c r="D496" s="7"/>
      <c r="E496" s="7"/>
      <c r="F496" s="7"/>
      <c r="G496" s="7"/>
      <c r="H496" s="7"/>
      <c r="I496" s="7"/>
      <c r="J496" s="8"/>
      <c r="K496" s="9"/>
    </row>
    <row r="497">
      <c r="A497" s="6"/>
      <c r="B497" s="7"/>
      <c r="C497" s="7"/>
      <c r="D497" s="7"/>
      <c r="E497" s="7"/>
      <c r="F497" s="7"/>
      <c r="G497" s="7"/>
      <c r="H497" s="7"/>
      <c r="I497" s="7"/>
      <c r="J497" s="8"/>
      <c r="K497" s="9"/>
    </row>
    <row r="498">
      <c r="A498" s="6"/>
      <c r="B498" s="7"/>
      <c r="C498" s="7"/>
      <c r="D498" s="7"/>
      <c r="E498" s="7"/>
      <c r="F498" s="7"/>
      <c r="G498" s="7"/>
      <c r="H498" s="7"/>
      <c r="I498" s="7"/>
      <c r="J498" s="8"/>
      <c r="K498" s="9"/>
    </row>
    <row r="499">
      <c r="A499" s="6"/>
      <c r="B499" s="7"/>
      <c r="C499" s="7"/>
      <c r="D499" s="7"/>
      <c r="E499" s="7"/>
      <c r="F499" s="7"/>
      <c r="G499" s="7"/>
      <c r="H499" s="7"/>
      <c r="I499" s="7"/>
      <c r="J499" s="8"/>
      <c r="K499" s="9"/>
    </row>
    <row r="500">
      <c r="A500" s="6"/>
      <c r="B500" s="7"/>
      <c r="C500" s="7"/>
      <c r="D500" s="7"/>
      <c r="E500" s="7"/>
      <c r="F500" s="7"/>
      <c r="G500" s="7"/>
      <c r="H500" s="7"/>
      <c r="I500" s="7"/>
      <c r="J500" s="8"/>
      <c r="K500" s="9"/>
    </row>
    <row r="501">
      <c r="A501" s="6"/>
      <c r="B501" s="7"/>
      <c r="C501" s="7"/>
      <c r="D501" s="7"/>
      <c r="E501" s="7"/>
      <c r="F501" s="7"/>
      <c r="G501" s="7"/>
      <c r="H501" s="7"/>
      <c r="I501" s="7"/>
      <c r="J501" s="8"/>
      <c r="K501" s="9"/>
    </row>
    <row r="502">
      <c r="A502" s="6"/>
      <c r="B502" s="7"/>
      <c r="C502" s="7"/>
      <c r="D502" s="7"/>
      <c r="E502" s="7"/>
      <c r="F502" s="7"/>
      <c r="G502" s="7"/>
      <c r="H502" s="7"/>
      <c r="I502" s="7"/>
      <c r="J502" s="8"/>
      <c r="K502" s="9"/>
    </row>
    <row r="503">
      <c r="A503" s="6"/>
      <c r="B503" s="7"/>
      <c r="C503" s="7"/>
      <c r="D503" s="7"/>
      <c r="E503" s="7"/>
      <c r="F503" s="7"/>
      <c r="G503" s="7"/>
      <c r="H503" s="7"/>
      <c r="I503" s="7"/>
      <c r="J503" s="8"/>
      <c r="K503" s="9"/>
    </row>
    <row r="504">
      <c r="A504" s="6"/>
      <c r="B504" s="7"/>
      <c r="C504" s="7"/>
      <c r="D504" s="7"/>
      <c r="E504" s="7"/>
      <c r="F504" s="7"/>
      <c r="G504" s="7"/>
      <c r="H504" s="7"/>
      <c r="I504" s="7"/>
      <c r="J504" s="8"/>
      <c r="K504" s="9"/>
    </row>
    <row r="505">
      <c r="A505" s="6"/>
      <c r="B505" s="7"/>
      <c r="C505" s="7"/>
      <c r="D505" s="7"/>
      <c r="E505" s="7"/>
      <c r="F505" s="7"/>
      <c r="G505" s="7"/>
      <c r="H505" s="7"/>
      <c r="I505" s="7"/>
      <c r="J505" s="8"/>
      <c r="K505" s="9"/>
    </row>
    <row r="506">
      <c r="A506" s="6"/>
      <c r="B506" s="7"/>
      <c r="C506" s="7"/>
      <c r="D506" s="7"/>
      <c r="E506" s="7"/>
      <c r="F506" s="7"/>
      <c r="G506" s="7"/>
      <c r="H506" s="7"/>
      <c r="I506" s="7"/>
      <c r="J506" s="8"/>
      <c r="K506" s="9"/>
    </row>
    <row r="507">
      <c r="A507" s="6"/>
      <c r="B507" s="7"/>
      <c r="C507" s="7"/>
      <c r="D507" s="7"/>
      <c r="E507" s="7"/>
      <c r="F507" s="7"/>
      <c r="G507" s="7"/>
      <c r="H507" s="7"/>
      <c r="I507" s="7"/>
      <c r="J507" s="8"/>
      <c r="K507" s="9"/>
    </row>
    <row r="508">
      <c r="A508" s="6"/>
      <c r="B508" s="7"/>
      <c r="C508" s="7"/>
      <c r="D508" s="7"/>
      <c r="E508" s="7"/>
      <c r="F508" s="7"/>
      <c r="G508" s="7"/>
      <c r="H508" s="7"/>
      <c r="I508" s="7"/>
      <c r="J508" s="8"/>
      <c r="K508" s="9"/>
    </row>
    <row r="509">
      <c r="A509" s="6"/>
      <c r="B509" s="7"/>
      <c r="C509" s="7"/>
      <c r="D509" s="7"/>
      <c r="E509" s="7"/>
      <c r="F509" s="7"/>
      <c r="G509" s="7"/>
      <c r="H509" s="7"/>
      <c r="I509" s="7"/>
      <c r="J509" s="8"/>
      <c r="K509" s="9"/>
    </row>
    <row r="510">
      <c r="A510" s="6"/>
      <c r="B510" s="7"/>
      <c r="C510" s="7"/>
      <c r="D510" s="7"/>
      <c r="E510" s="7"/>
      <c r="F510" s="7"/>
      <c r="G510" s="7"/>
      <c r="H510" s="7"/>
      <c r="I510" s="7"/>
      <c r="J510" s="8"/>
      <c r="K510" s="9"/>
    </row>
    <row r="511">
      <c r="A511" s="6"/>
      <c r="B511" s="7"/>
      <c r="C511" s="7"/>
      <c r="D511" s="7"/>
      <c r="E511" s="7"/>
      <c r="F511" s="7"/>
      <c r="G511" s="7"/>
      <c r="H511" s="7"/>
      <c r="I511" s="7"/>
      <c r="J511" s="8"/>
      <c r="K511" s="9"/>
    </row>
    <row r="512">
      <c r="A512" s="6"/>
      <c r="B512" s="7"/>
      <c r="C512" s="7"/>
      <c r="D512" s="7"/>
      <c r="E512" s="7"/>
      <c r="F512" s="7"/>
      <c r="G512" s="7"/>
      <c r="H512" s="7"/>
      <c r="I512" s="7"/>
      <c r="J512" s="8"/>
      <c r="K512" s="9"/>
    </row>
    <row r="513">
      <c r="A513" s="6"/>
      <c r="B513" s="7"/>
      <c r="C513" s="7"/>
      <c r="D513" s="7"/>
      <c r="E513" s="7"/>
      <c r="F513" s="7"/>
      <c r="G513" s="7"/>
      <c r="H513" s="7"/>
      <c r="I513" s="7"/>
      <c r="J513" s="8"/>
      <c r="K513" s="9"/>
    </row>
    <row r="514">
      <c r="A514" s="6"/>
      <c r="B514" s="7"/>
      <c r="C514" s="7"/>
      <c r="D514" s="7"/>
      <c r="E514" s="7"/>
      <c r="F514" s="7"/>
      <c r="G514" s="7"/>
      <c r="H514" s="7"/>
      <c r="I514" s="7"/>
      <c r="J514" s="8"/>
      <c r="K514" s="9"/>
    </row>
    <row r="515">
      <c r="A515" s="6"/>
      <c r="B515" s="7"/>
      <c r="C515" s="7"/>
      <c r="D515" s="7"/>
      <c r="E515" s="7"/>
      <c r="F515" s="7"/>
      <c r="G515" s="7"/>
      <c r="H515" s="7"/>
      <c r="I515" s="7"/>
      <c r="J515" s="8"/>
      <c r="K515" s="9"/>
    </row>
    <row r="516">
      <c r="A516" s="6"/>
      <c r="B516" s="7"/>
      <c r="C516" s="7"/>
      <c r="D516" s="7"/>
      <c r="E516" s="7"/>
      <c r="F516" s="7"/>
      <c r="G516" s="7"/>
      <c r="H516" s="7"/>
      <c r="I516" s="7"/>
      <c r="J516" s="8"/>
      <c r="K516" s="9"/>
    </row>
    <row r="517">
      <c r="A517" s="6"/>
      <c r="B517" s="7"/>
      <c r="C517" s="7"/>
      <c r="D517" s="7"/>
      <c r="E517" s="7"/>
      <c r="F517" s="7"/>
      <c r="G517" s="7"/>
      <c r="H517" s="7"/>
      <c r="I517" s="7"/>
      <c r="J517" s="8"/>
      <c r="K517" s="9"/>
    </row>
    <row r="518">
      <c r="A518" s="6"/>
      <c r="B518" s="7"/>
      <c r="C518" s="7"/>
      <c r="D518" s="7"/>
      <c r="E518" s="7"/>
      <c r="F518" s="7"/>
      <c r="G518" s="7"/>
      <c r="H518" s="7"/>
      <c r="I518" s="7"/>
      <c r="J518" s="8"/>
      <c r="K518" s="9"/>
    </row>
    <row r="519">
      <c r="A519" s="6"/>
      <c r="B519" s="7"/>
      <c r="C519" s="7"/>
      <c r="D519" s="7"/>
      <c r="E519" s="7"/>
      <c r="F519" s="7"/>
      <c r="G519" s="7"/>
      <c r="H519" s="7"/>
      <c r="I519" s="7"/>
      <c r="J519" s="8"/>
      <c r="K519" s="9"/>
    </row>
    <row r="520">
      <c r="A520" s="6"/>
      <c r="B520" s="7"/>
      <c r="C520" s="7"/>
      <c r="D520" s="7"/>
      <c r="E520" s="7"/>
      <c r="F520" s="7"/>
      <c r="G520" s="7"/>
      <c r="H520" s="7"/>
      <c r="I520" s="7"/>
      <c r="J520" s="8"/>
      <c r="K520" s="9"/>
    </row>
    <row r="521">
      <c r="A521" s="6"/>
      <c r="B521" s="7"/>
      <c r="C521" s="7"/>
      <c r="D521" s="7"/>
      <c r="E521" s="7"/>
      <c r="F521" s="7"/>
      <c r="G521" s="7"/>
      <c r="H521" s="7"/>
      <c r="I521" s="7"/>
      <c r="J521" s="8"/>
      <c r="K521" s="9"/>
    </row>
    <row r="522">
      <c r="A522" s="6"/>
      <c r="B522" s="7"/>
      <c r="C522" s="7"/>
      <c r="D522" s="7"/>
      <c r="E522" s="7"/>
      <c r="F522" s="7"/>
      <c r="G522" s="7"/>
      <c r="H522" s="7"/>
      <c r="I522" s="7"/>
      <c r="J522" s="8"/>
      <c r="K522" s="9"/>
    </row>
    <row r="523">
      <c r="A523" s="6"/>
      <c r="B523" s="7"/>
      <c r="C523" s="7"/>
      <c r="D523" s="7"/>
      <c r="E523" s="7"/>
      <c r="F523" s="7"/>
      <c r="G523" s="7"/>
      <c r="H523" s="7"/>
      <c r="I523" s="7"/>
      <c r="J523" s="8"/>
      <c r="K523" s="9"/>
    </row>
    <row r="524">
      <c r="A524" s="6"/>
      <c r="B524" s="7"/>
      <c r="C524" s="7"/>
      <c r="D524" s="7"/>
      <c r="E524" s="7"/>
      <c r="F524" s="7"/>
      <c r="G524" s="7"/>
      <c r="H524" s="7"/>
      <c r="I524" s="7"/>
      <c r="J524" s="8"/>
      <c r="K524" s="9"/>
    </row>
    <row r="525">
      <c r="A525" s="6"/>
      <c r="B525" s="7"/>
      <c r="C525" s="7"/>
      <c r="D525" s="7"/>
      <c r="E525" s="7"/>
      <c r="F525" s="7"/>
      <c r="G525" s="7"/>
      <c r="H525" s="7"/>
      <c r="I525" s="7"/>
      <c r="J525" s="8"/>
      <c r="K525" s="9"/>
    </row>
    <row r="526">
      <c r="A526" s="6"/>
      <c r="B526" s="7"/>
      <c r="C526" s="7"/>
      <c r="D526" s="7"/>
      <c r="E526" s="7"/>
      <c r="F526" s="7"/>
      <c r="G526" s="7"/>
      <c r="H526" s="7"/>
      <c r="I526" s="7"/>
      <c r="J526" s="8"/>
      <c r="K526" s="9"/>
    </row>
    <row r="527">
      <c r="A527" s="6"/>
      <c r="B527" s="7"/>
      <c r="C527" s="7"/>
      <c r="D527" s="7"/>
      <c r="E527" s="7"/>
      <c r="F527" s="7"/>
      <c r="G527" s="7"/>
      <c r="H527" s="7"/>
      <c r="I527" s="7"/>
      <c r="J527" s="8"/>
      <c r="K527" s="9"/>
    </row>
    <row r="528">
      <c r="A528" s="6"/>
      <c r="B528" s="7"/>
      <c r="C528" s="7"/>
      <c r="D528" s="7"/>
      <c r="E528" s="7"/>
      <c r="F528" s="7"/>
      <c r="G528" s="7"/>
      <c r="H528" s="7"/>
      <c r="I528" s="7"/>
      <c r="J528" s="8"/>
      <c r="K528" s="9"/>
    </row>
    <row r="529">
      <c r="A529" s="6"/>
      <c r="B529" s="7"/>
      <c r="C529" s="7"/>
      <c r="D529" s="7"/>
      <c r="E529" s="7"/>
      <c r="F529" s="7"/>
      <c r="G529" s="7"/>
      <c r="H529" s="7"/>
      <c r="I529" s="7"/>
      <c r="J529" s="8"/>
      <c r="K529" s="9"/>
    </row>
    <row r="530">
      <c r="A530" s="6"/>
      <c r="B530" s="7"/>
      <c r="C530" s="7"/>
      <c r="D530" s="7"/>
      <c r="E530" s="7"/>
      <c r="F530" s="7"/>
      <c r="G530" s="7"/>
      <c r="H530" s="7"/>
      <c r="I530" s="7"/>
      <c r="J530" s="8"/>
      <c r="K530" s="9"/>
    </row>
    <row r="531">
      <c r="A531" s="6"/>
      <c r="B531" s="7"/>
      <c r="C531" s="7"/>
      <c r="D531" s="7"/>
      <c r="E531" s="7"/>
      <c r="F531" s="7"/>
      <c r="G531" s="7"/>
      <c r="H531" s="7"/>
      <c r="I531" s="7"/>
      <c r="J531" s="8"/>
      <c r="K531" s="9"/>
    </row>
    <row r="532">
      <c r="A532" s="6"/>
      <c r="B532" s="7"/>
      <c r="C532" s="7"/>
      <c r="D532" s="7"/>
      <c r="E532" s="7"/>
      <c r="F532" s="7"/>
      <c r="G532" s="7"/>
      <c r="H532" s="7"/>
      <c r="I532" s="7"/>
      <c r="J532" s="8"/>
      <c r="K532" s="9"/>
    </row>
    <row r="533">
      <c r="A533" s="6"/>
      <c r="B533" s="7"/>
      <c r="C533" s="7"/>
      <c r="D533" s="7"/>
      <c r="E533" s="7"/>
      <c r="F533" s="7"/>
      <c r="G533" s="7"/>
      <c r="H533" s="7"/>
      <c r="I533" s="7"/>
      <c r="J533" s="8"/>
      <c r="K533" s="9"/>
    </row>
    <row r="534">
      <c r="A534" s="6"/>
      <c r="B534" s="7"/>
      <c r="C534" s="7"/>
      <c r="D534" s="7"/>
      <c r="E534" s="7"/>
      <c r="F534" s="7"/>
      <c r="G534" s="7"/>
      <c r="H534" s="7"/>
      <c r="I534" s="7"/>
      <c r="J534" s="8"/>
      <c r="K534" s="9"/>
    </row>
    <row r="535">
      <c r="A535" s="6"/>
      <c r="B535" s="7"/>
      <c r="C535" s="7"/>
      <c r="D535" s="7"/>
      <c r="E535" s="7"/>
      <c r="F535" s="7"/>
      <c r="G535" s="7"/>
      <c r="H535" s="7"/>
      <c r="I535" s="7"/>
      <c r="J535" s="8"/>
      <c r="K535" s="9"/>
    </row>
    <row r="536">
      <c r="A536" s="6"/>
      <c r="B536" s="7"/>
      <c r="C536" s="7"/>
      <c r="D536" s="7"/>
      <c r="E536" s="7"/>
      <c r="F536" s="7"/>
      <c r="G536" s="7"/>
      <c r="H536" s="7"/>
      <c r="I536" s="7"/>
      <c r="J536" s="8"/>
      <c r="K536" s="9"/>
    </row>
    <row r="537">
      <c r="A537" s="6"/>
      <c r="B537" s="7"/>
      <c r="C537" s="7"/>
      <c r="D537" s="7"/>
      <c r="E537" s="7"/>
      <c r="F537" s="7"/>
      <c r="G537" s="7"/>
      <c r="H537" s="7"/>
      <c r="I537" s="7"/>
      <c r="J537" s="8"/>
      <c r="K537" s="9"/>
    </row>
    <row r="538">
      <c r="A538" s="6"/>
      <c r="B538" s="7"/>
      <c r="C538" s="7"/>
      <c r="D538" s="7"/>
      <c r="E538" s="7"/>
      <c r="F538" s="7"/>
      <c r="G538" s="7"/>
      <c r="H538" s="7"/>
      <c r="I538" s="7"/>
      <c r="J538" s="8"/>
      <c r="K538" s="9"/>
    </row>
    <row r="539">
      <c r="A539" s="6"/>
      <c r="B539" s="7"/>
      <c r="C539" s="7"/>
      <c r="D539" s="7"/>
      <c r="E539" s="7"/>
      <c r="F539" s="7"/>
      <c r="G539" s="7"/>
      <c r="H539" s="7"/>
      <c r="I539" s="7"/>
      <c r="J539" s="8"/>
      <c r="K539" s="9"/>
    </row>
    <row r="540">
      <c r="A540" s="6"/>
      <c r="B540" s="7"/>
      <c r="C540" s="7"/>
      <c r="D540" s="7"/>
      <c r="E540" s="7"/>
      <c r="F540" s="7"/>
      <c r="G540" s="7"/>
      <c r="H540" s="7"/>
      <c r="I540" s="7"/>
      <c r="J540" s="8"/>
      <c r="K540" s="9"/>
    </row>
    <row r="541">
      <c r="A541" s="6"/>
      <c r="B541" s="7"/>
      <c r="C541" s="7"/>
      <c r="D541" s="7"/>
      <c r="E541" s="7"/>
      <c r="F541" s="7"/>
      <c r="G541" s="7"/>
      <c r="H541" s="7"/>
      <c r="I541" s="7"/>
      <c r="J541" s="8"/>
      <c r="K541" s="9"/>
    </row>
    <row r="542">
      <c r="A542" s="6"/>
      <c r="B542" s="7"/>
      <c r="C542" s="7"/>
      <c r="D542" s="7"/>
      <c r="E542" s="7"/>
      <c r="F542" s="7"/>
      <c r="G542" s="7"/>
      <c r="H542" s="7"/>
      <c r="I542" s="7"/>
      <c r="J542" s="8"/>
      <c r="K542" s="9"/>
    </row>
    <row r="543">
      <c r="A543" s="6"/>
      <c r="B543" s="7"/>
      <c r="C543" s="7"/>
      <c r="D543" s="7"/>
      <c r="E543" s="7"/>
      <c r="F543" s="7"/>
      <c r="G543" s="7"/>
      <c r="H543" s="7"/>
      <c r="I543" s="7"/>
      <c r="J543" s="8"/>
      <c r="K543" s="9"/>
    </row>
    <row r="544">
      <c r="A544" s="6"/>
      <c r="B544" s="7"/>
      <c r="C544" s="7"/>
      <c r="D544" s="7"/>
      <c r="E544" s="7"/>
      <c r="F544" s="7"/>
      <c r="G544" s="7"/>
      <c r="H544" s="7"/>
      <c r="I544" s="7"/>
      <c r="J544" s="8"/>
      <c r="K544" s="9"/>
    </row>
    <row r="545">
      <c r="A545" s="6"/>
      <c r="B545" s="7"/>
      <c r="C545" s="7"/>
      <c r="D545" s="7"/>
      <c r="E545" s="7"/>
      <c r="F545" s="7"/>
      <c r="G545" s="7"/>
      <c r="H545" s="7"/>
      <c r="I545" s="7"/>
      <c r="J545" s="8"/>
      <c r="K545" s="9"/>
    </row>
    <row r="546">
      <c r="A546" s="6"/>
      <c r="B546" s="7"/>
      <c r="C546" s="7"/>
      <c r="D546" s="7"/>
      <c r="E546" s="7"/>
      <c r="F546" s="7"/>
      <c r="G546" s="7"/>
      <c r="H546" s="7"/>
      <c r="I546" s="7"/>
      <c r="J546" s="8"/>
      <c r="K546" s="9"/>
    </row>
    <row r="547">
      <c r="A547" s="6"/>
      <c r="B547" s="7"/>
      <c r="C547" s="7"/>
      <c r="D547" s="7"/>
      <c r="E547" s="7"/>
      <c r="F547" s="7"/>
      <c r="G547" s="7"/>
      <c r="H547" s="7"/>
      <c r="I547" s="7"/>
      <c r="J547" s="8"/>
      <c r="K547" s="9"/>
    </row>
    <row r="548">
      <c r="A548" s="6"/>
      <c r="B548" s="7"/>
      <c r="C548" s="7"/>
      <c r="D548" s="7"/>
      <c r="E548" s="7"/>
      <c r="F548" s="7"/>
      <c r="G548" s="7"/>
      <c r="H548" s="7"/>
      <c r="I548" s="7"/>
      <c r="J548" s="8"/>
      <c r="K548" s="9"/>
    </row>
    <row r="549">
      <c r="A549" s="6"/>
      <c r="B549" s="7"/>
      <c r="C549" s="7"/>
      <c r="D549" s="7"/>
      <c r="E549" s="7"/>
      <c r="F549" s="7"/>
      <c r="G549" s="7"/>
      <c r="H549" s="7"/>
      <c r="I549" s="7"/>
      <c r="J549" s="8"/>
      <c r="K549" s="9"/>
    </row>
    <row r="550">
      <c r="A550" s="6"/>
      <c r="B550" s="7"/>
      <c r="C550" s="7"/>
      <c r="D550" s="7"/>
      <c r="E550" s="7"/>
      <c r="F550" s="7"/>
      <c r="G550" s="7"/>
      <c r="H550" s="7"/>
      <c r="I550" s="7"/>
      <c r="J550" s="8"/>
      <c r="K550" s="9"/>
    </row>
    <row r="551">
      <c r="A551" s="6"/>
      <c r="B551" s="7"/>
      <c r="C551" s="7"/>
      <c r="D551" s="7"/>
      <c r="E551" s="7"/>
      <c r="F551" s="7"/>
      <c r="G551" s="7"/>
      <c r="H551" s="7"/>
      <c r="I551" s="7"/>
      <c r="J551" s="8"/>
      <c r="K551" s="9"/>
    </row>
    <row r="552">
      <c r="A552" s="6"/>
      <c r="B552" s="7"/>
      <c r="C552" s="7"/>
      <c r="D552" s="7"/>
      <c r="E552" s="7"/>
      <c r="F552" s="7"/>
      <c r="G552" s="7"/>
      <c r="H552" s="7"/>
      <c r="I552" s="7"/>
      <c r="J552" s="8"/>
      <c r="K552" s="9"/>
    </row>
    <row r="553">
      <c r="A553" s="6"/>
      <c r="B553" s="7"/>
      <c r="C553" s="7"/>
      <c r="D553" s="7"/>
      <c r="E553" s="7"/>
      <c r="F553" s="7"/>
      <c r="G553" s="7"/>
      <c r="H553" s="7"/>
      <c r="I553" s="7"/>
      <c r="J553" s="8"/>
      <c r="K553" s="9"/>
    </row>
    <row r="554">
      <c r="A554" s="6"/>
      <c r="B554" s="7"/>
      <c r="C554" s="7"/>
      <c r="D554" s="7"/>
      <c r="E554" s="7"/>
      <c r="F554" s="7"/>
      <c r="G554" s="7"/>
      <c r="H554" s="7"/>
      <c r="I554" s="7"/>
      <c r="J554" s="8"/>
      <c r="K554" s="9"/>
    </row>
    <row r="555">
      <c r="A555" s="6"/>
      <c r="B555" s="7"/>
      <c r="C555" s="7"/>
      <c r="D555" s="7"/>
      <c r="E555" s="7"/>
      <c r="F555" s="7"/>
      <c r="G555" s="7"/>
      <c r="H555" s="7"/>
      <c r="I555" s="7"/>
      <c r="J555" s="8"/>
      <c r="K555" s="9"/>
    </row>
    <row r="556">
      <c r="A556" s="6"/>
      <c r="B556" s="7"/>
      <c r="C556" s="7"/>
      <c r="D556" s="7"/>
      <c r="E556" s="7"/>
      <c r="F556" s="7"/>
      <c r="G556" s="7"/>
      <c r="H556" s="7"/>
      <c r="I556" s="7"/>
      <c r="J556" s="8"/>
      <c r="K556" s="9"/>
    </row>
    <row r="557">
      <c r="A557" s="6"/>
      <c r="B557" s="7"/>
      <c r="C557" s="7"/>
      <c r="D557" s="7"/>
      <c r="E557" s="7"/>
      <c r="F557" s="7"/>
      <c r="G557" s="7"/>
      <c r="H557" s="7"/>
      <c r="I557" s="7"/>
      <c r="J557" s="8"/>
      <c r="K557" s="9"/>
    </row>
    <row r="558">
      <c r="A558" s="6"/>
      <c r="B558" s="7"/>
      <c r="C558" s="7"/>
      <c r="D558" s="7"/>
      <c r="E558" s="7"/>
      <c r="F558" s="7"/>
      <c r="G558" s="7"/>
      <c r="H558" s="7"/>
      <c r="I558" s="7"/>
      <c r="J558" s="8"/>
      <c r="K558" s="9"/>
    </row>
    <row r="559">
      <c r="A559" s="6"/>
      <c r="B559" s="7"/>
      <c r="C559" s="7"/>
      <c r="D559" s="7"/>
      <c r="E559" s="7"/>
      <c r="F559" s="7"/>
      <c r="G559" s="7"/>
      <c r="H559" s="7"/>
      <c r="I559" s="7"/>
      <c r="J559" s="8"/>
      <c r="K559" s="9"/>
    </row>
    <row r="560">
      <c r="A560" s="6"/>
      <c r="B560" s="7"/>
      <c r="C560" s="7"/>
      <c r="D560" s="7"/>
      <c r="E560" s="7"/>
      <c r="F560" s="7"/>
      <c r="G560" s="7"/>
      <c r="H560" s="7"/>
      <c r="I560" s="7"/>
      <c r="J560" s="8"/>
      <c r="K560" s="9"/>
    </row>
    <row r="561">
      <c r="A561" s="6"/>
      <c r="B561" s="7"/>
      <c r="C561" s="7"/>
      <c r="D561" s="7"/>
      <c r="E561" s="7"/>
      <c r="F561" s="7"/>
      <c r="G561" s="7"/>
      <c r="H561" s="7"/>
      <c r="I561" s="7"/>
      <c r="J561" s="8"/>
      <c r="K561" s="9"/>
    </row>
    <row r="562">
      <c r="A562" s="6"/>
      <c r="B562" s="7"/>
      <c r="C562" s="7"/>
      <c r="D562" s="7"/>
      <c r="E562" s="7"/>
      <c r="F562" s="7"/>
      <c r="G562" s="7"/>
      <c r="H562" s="7"/>
      <c r="I562" s="7"/>
      <c r="J562" s="8"/>
      <c r="K562" s="9"/>
    </row>
    <row r="563">
      <c r="A563" s="6"/>
      <c r="B563" s="7"/>
      <c r="C563" s="7"/>
      <c r="D563" s="7"/>
      <c r="E563" s="7"/>
      <c r="F563" s="7"/>
      <c r="G563" s="7"/>
      <c r="H563" s="7"/>
      <c r="I563" s="7"/>
      <c r="J563" s="8"/>
      <c r="K563" s="9"/>
    </row>
    <row r="564">
      <c r="A564" s="6"/>
      <c r="B564" s="7"/>
      <c r="C564" s="7"/>
      <c r="D564" s="7"/>
      <c r="E564" s="7"/>
      <c r="F564" s="7"/>
      <c r="G564" s="7"/>
      <c r="H564" s="7"/>
      <c r="I564" s="7"/>
      <c r="J564" s="8"/>
      <c r="K564" s="9"/>
    </row>
    <row r="565">
      <c r="A565" s="6"/>
      <c r="B565" s="7"/>
      <c r="C565" s="7"/>
      <c r="D565" s="7"/>
      <c r="E565" s="7"/>
      <c r="F565" s="7"/>
      <c r="G565" s="7"/>
      <c r="H565" s="7"/>
      <c r="I565" s="7"/>
      <c r="J565" s="8"/>
      <c r="K565" s="9"/>
    </row>
    <row r="566">
      <c r="A566" s="6"/>
      <c r="B566" s="7"/>
      <c r="C566" s="7"/>
      <c r="D566" s="7"/>
      <c r="E566" s="7"/>
      <c r="F566" s="7"/>
      <c r="G566" s="7"/>
      <c r="H566" s="7"/>
      <c r="I566" s="7"/>
      <c r="J566" s="8"/>
      <c r="K566" s="9"/>
    </row>
    <row r="567">
      <c r="A567" s="6"/>
      <c r="B567" s="7"/>
      <c r="C567" s="7"/>
      <c r="D567" s="7"/>
      <c r="E567" s="7"/>
      <c r="F567" s="7"/>
      <c r="G567" s="7"/>
      <c r="H567" s="7"/>
      <c r="I567" s="7"/>
      <c r="J567" s="8"/>
      <c r="K567" s="9"/>
    </row>
    <row r="568">
      <c r="A568" s="6"/>
      <c r="B568" s="7"/>
      <c r="C568" s="7"/>
      <c r="D568" s="7"/>
      <c r="E568" s="7"/>
      <c r="F568" s="7"/>
      <c r="G568" s="7"/>
      <c r="H568" s="7"/>
      <c r="I568" s="7"/>
      <c r="J568" s="8"/>
      <c r="K568" s="9"/>
    </row>
    <row r="569">
      <c r="A569" s="6"/>
      <c r="B569" s="7"/>
      <c r="C569" s="7"/>
      <c r="D569" s="7"/>
      <c r="E569" s="7"/>
      <c r="F569" s="7"/>
      <c r="G569" s="7"/>
      <c r="H569" s="7"/>
      <c r="I569" s="7"/>
      <c r="J569" s="8"/>
      <c r="K569" s="9"/>
    </row>
    <row r="570">
      <c r="A570" s="6"/>
      <c r="B570" s="7"/>
      <c r="C570" s="7"/>
      <c r="D570" s="7"/>
      <c r="E570" s="7"/>
      <c r="F570" s="7"/>
      <c r="G570" s="7"/>
      <c r="H570" s="7"/>
      <c r="I570" s="7"/>
      <c r="J570" s="8"/>
      <c r="K570" s="9"/>
    </row>
    <row r="571">
      <c r="A571" s="6"/>
      <c r="B571" s="7"/>
      <c r="C571" s="7"/>
      <c r="D571" s="7"/>
      <c r="E571" s="7"/>
      <c r="F571" s="7"/>
      <c r="G571" s="7"/>
      <c r="H571" s="7"/>
      <c r="I571" s="7"/>
      <c r="J571" s="8"/>
      <c r="K571" s="9"/>
    </row>
    <row r="572">
      <c r="A572" s="6"/>
      <c r="B572" s="7"/>
      <c r="C572" s="7"/>
      <c r="D572" s="7"/>
      <c r="E572" s="7"/>
      <c r="F572" s="7"/>
      <c r="G572" s="7"/>
      <c r="H572" s="7"/>
      <c r="I572" s="7"/>
      <c r="J572" s="8"/>
      <c r="K572" s="9"/>
    </row>
    <row r="573">
      <c r="A573" s="6"/>
      <c r="B573" s="7"/>
      <c r="C573" s="7"/>
      <c r="D573" s="7"/>
      <c r="E573" s="7"/>
      <c r="F573" s="7"/>
      <c r="G573" s="7"/>
      <c r="H573" s="7"/>
      <c r="I573" s="7"/>
      <c r="J573" s="8"/>
      <c r="K573" s="9"/>
    </row>
    <row r="574">
      <c r="A574" s="6"/>
      <c r="B574" s="7"/>
      <c r="C574" s="7"/>
      <c r="D574" s="7"/>
      <c r="E574" s="7"/>
      <c r="F574" s="7"/>
      <c r="G574" s="7"/>
      <c r="H574" s="7"/>
      <c r="I574" s="7"/>
      <c r="J574" s="8"/>
      <c r="K574" s="9"/>
    </row>
    <row r="575">
      <c r="A575" s="6"/>
      <c r="B575" s="7"/>
      <c r="C575" s="7"/>
      <c r="D575" s="7"/>
      <c r="E575" s="7"/>
      <c r="F575" s="7"/>
      <c r="G575" s="7"/>
      <c r="H575" s="7"/>
      <c r="I575" s="7"/>
      <c r="J575" s="8"/>
      <c r="K575" s="9"/>
    </row>
    <row r="576">
      <c r="A576" s="6"/>
      <c r="B576" s="7"/>
      <c r="C576" s="7"/>
      <c r="D576" s="7"/>
      <c r="E576" s="7"/>
      <c r="F576" s="7"/>
      <c r="G576" s="7"/>
      <c r="H576" s="7"/>
      <c r="I576" s="7"/>
      <c r="J576" s="8"/>
      <c r="K576" s="9"/>
    </row>
    <row r="577">
      <c r="A577" s="6"/>
      <c r="B577" s="7"/>
      <c r="C577" s="7"/>
      <c r="D577" s="7"/>
      <c r="E577" s="7"/>
      <c r="F577" s="7"/>
      <c r="G577" s="7"/>
      <c r="H577" s="7"/>
      <c r="I577" s="7"/>
      <c r="J577" s="8"/>
      <c r="K577" s="9"/>
    </row>
    <row r="578">
      <c r="A578" s="6"/>
      <c r="B578" s="7"/>
      <c r="C578" s="7"/>
      <c r="D578" s="7"/>
      <c r="E578" s="7"/>
      <c r="F578" s="7"/>
      <c r="G578" s="7"/>
      <c r="H578" s="7"/>
      <c r="I578" s="7"/>
      <c r="J578" s="8"/>
      <c r="K578" s="9"/>
    </row>
    <row r="579">
      <c r="A579" s="6"/>
      <c r="B579" s="7"/>
      <c r="C579" s="7"/>
      <c r="D579" s="7"/>
      <c r="E579" s="7"/>
      <c r="F579" s="7"/>
      <c r="G579" s="7"/>
      <c r="H579" s="7"/>
      <c r="I579" s="7"/>
      <c r="J579" s="8"/>
      <c r="K579" s="9"/>
    </row>
    <row r="580">
      <c r="A580" s="6"/>
      <c r="B580" s="7"/>
      <c r="C580" s="7"/>
      <c r="D580" s="7"/>
      <c r="E580" s="7"/>
      <c r="F580" s="7"/>
      <c r="G580" s="7"/>
      <c r="H580" s="7"/>
      <c r="I580" s="7"/>
      <c r="J580" s="8"/>
      <c r="K580" s="9"/>
    </row>
    <row r="581">
      <c r="A581" s="6"/>
      <c r="B581" s="7"/>
      <c r="C581" s="7"/>
      <c r="D581" s="7"/>
      <c r="E581" s="7"/>
      <c r="F581" s="7"/>
      <c r="G581" s="7"/>
      <c r="H581" s="7"/>
      <c r="I581" s="7"/>
      <c r="J581" s="8"/>
      <c r="K581" s="9"/>
    </row>
    <row r="582">
      <c r="A582" s="6"/>
      <c r="B582" s="7"/>
      <c r="C582" s="7"/>
      <c r="D582" s="7"/>
      <c r="E582" s="7"/>
      <c r="F582" s="7"/>
      <c r="G582" s="7"/>
      <c r="H582" s="7"/>
      <c r="I582" s="7"/>
      <c r="J582" s="8"/>
      <c r="K582" s="9"/>
    </row>
    <row r="583">
      <c r="A583" s="6"/>
      <c r="B583" s="7"/>
      <c r="C583" s="7"/>
      <c r="D583" s="7"/>
      <c r="E583" s="7"/>
      <c r="F583" s="7"/>
      <c r="G583" s="7"/>
      <c r="H583" s="7"/>
      <c r="I583" s="7"/>
      <c r="J583" s="8"/>
      <c r="K583" s="9"/>
    </row>
    <row r="584">
      <c r="A584" s="6"/>
      <c r="B584" s="7"/>
      <c r="C584" s="7"/>
      <c r="D584" s="7"/>
      <c r="E584" s="7"/>
      <c r="F584" s="7"/>
      <c r="G584" s="7"/>
      <c r="H584" s="7"/>
      <c r="I584" s="7"/>
      <c r="J584" s="8"/>
      <c r="K584" s="9"/>
    </row>
    <row r="585">
      <c r="A585" s="6"/>
      <c r="B585" s="7"/>
      <c r="C585" s="7"/>
      <c r="D585" s="7"/>
      <c r="E585" s="7"/>
      <c r="F585" s="7"/>
      <c r="G585" s="7"/>
      <c r="H585" s="7"/>
      <c r="I585" s="7"/>
      <c r="J585" s="8"/>
      <c r="K585" s="9"/>
    </row>
    <row r="586">
      <c r="A586" s="6"/>
      <c r="B586" s="7"/>
      <c r="C586" s="7"/>
      <c r="D586" s="7"/>
      <c r="E586" s="7"/>
      <c r="F586" s="7"/>
      <c r="G586" s="7"/>
      <c r="H586" s="7"/>
      <c r="I586" s="7"/>
      <c r="J586" s="8"/>
      <c r="K586" s="9"/>
    </row>
    <row r="587">
      <c r="A587" s="6"/>
      <c r="B587" s="7"/>
      <c r="C587" s="7"/>
      <c r="D587" s="7"/>
      <c r="E587" s="7"/>
      <c r="F587" s="7"/>
      <c r="G587" s="7"/>
      <c r="H587" s="7"/>
      <c r="I587" s="7"/>
      <c r="J587" s="8"/>
      <c r="K587" s="9"/>
    </row>
    <row r="588">
      <c r="A588" s="6"/>
      <c r="B588" s="7"/>
      <c r="C588" s="7"/>
      <c r="D588" s="7"/>
      <c r="E588" s="7"/>
      <c r="F588" s="7"/>
      <c r="G588" s="7"/>
      <c r="H588" s="7"/>
      <c r="I588" s="7"/>
      <c r="J588" s="8"/>
      <c r="K588" s="9"/>
    </row>
    <row r="589">
      <c r="A589" s="6"/>
      <c r="B589" s="7"/>
      <c r="C589" s="7"/>
      <c r="D589" s="7"/>
      <c r="E589" s="7"/>
      <c r="F589" s="7"/>
      <c r="G589" s="7"/>
      <c r="H589" s="7"/>
      <c r="I589" s="7"/>
      <c r="J589" s="8"/>
      <c r="K589" s="9"/>
    </row>
    <row r="590">
      <c r="A590" s="6"/>
      <c r="B590" s="7"/>
      <c r="C590" s="7"/>
      <c r="D590" s="7"/>
      <c r="E590" s="7"/>
      <c r="F590" s="7"/>
      <c r="G590" s="7"/>
      <c r="H590" s="7"/>
      <c r="I590" s="7"/>
      <c r="J590" s="8"/>
      <c r="K590" s="9"/>
    </row>
    <row r="591">
      <c r="A591" s="6"/>
      <c r="B591" s="7"/>
      <c r="C591" s="7"/>
      <c r="D591" s="7"/>
      <c r="E591" s="7"/>
      <c r="F591" s="7"/>
      <c r="G591" s="7"/>
      <c r="H591" s="7"/>
      <c r="I591" s="7"/>
      <c r="J591" s="8"/>
      <c r="K591" s="9"/>
    </row>
    <row r="592">
      <c r="A592" s="6"/>
      <c r="B592" s="7"/>
      <c r="C592" s="7"/>
      <c r="D592" s="7"/>
      <c r="E592" s="7"/>
      <c r="F592" s="7"/>
      <c r="G592" s="7"/>
      <c r="H592" s="7"/>
      <c r="I592" s="7"/>
      <c r="J592" s="8"/>
      <c r="K592" s="9"/>
    </row>
    <row r="593">
      <c r="A593" s="6"/>
      <c r="B593" s="7"/>
      <c r="C593" s="7"/>
      <c r="D593" s="7"/>
      <c r="E593" s="7"/>
      <c r="F593" s="7"/>
      <c r="G593" s="7"/>
      <c r="H593" s="7"/>
      <c r="I593" s="7"/>
      <c r="J593" s="8"/>
      <c r="K593" s="9"/>
    </row>
    <row r="594">
      <c r="A594" s="6"/>
      <c r="B594" s="7"/>
      <c r="C594" s="7"/>
      <c r="D594" s="7"/>
      <c r="E594" s="7"/>
      <c r="F594" s="7"/>
      <c r="G594" s="7"/>
      <c r="H594" s="7"/>
      <c r="I594" s="7"/>
      <c r="J594" s="8"/>
      <c r="K594" s="9"/>
    </row>
    <row r="595">
      <c r="A595" s="6"/>
      <c r="B595" s="7"/>
      <c r="C595" s="7"/>
      <c r="D595" s="7"/>
      <c r="E595" s="7"/>
      <c r="F595" s="7"/>
      <c r="G595" s="7"/>
      <c r="H595" s="7"/>
      <c r="I595" s="7"/>
      <c r="J595" s="8"/>
      <c r="K595" s="9"/>
    </row>
    <row r="596">
      <c r="A596" s="6"/>
      <c r="B596" s="7"/>
      <c r="C596" s="7"/>
      <c r="D596" s="7"/>
      <c r="E596" s="7"/>
      <c r="F596" s="7"/>
      <c r="G596" s="7"/>
      <c r="H596" s="7"/>
      <c r="I596" s="7"/>
      <c r="J596" s="8"/>
      <c r="K596" s="9"/>
    </row>
    <row r="597">
      <c r="A597" s="6"/>
      <c r="B597" s="7"/>
      <c r="C597" s="7"/>
      <c r="D597" s="7"/>
      <c r="E597" s="7"/>
      <c r="F597" s="7"/>
      <c r="G597" s="7"/>
      <c r="H597" s="7"/>
      <c r="I597" s="7"/>
      <c r="J597" s="8"/>
      <c r="K597" s="9"/>
    </row>
    <row r="598">
      <c r="A598" s="6"/>
      <c r="B598" s="7"/>
      <c r="C598" s="7"/>
      <c r="D598" s="7"/>
      <c r="E598" s="7"/>
      <c r="F598" s="7"/>
      <c r="G598" s="7"/>
      <c r="H598" s="7"/>
      <c r="I598" s="7"/>
      <c r="J598" s="8"/>
      <c r="K598" s="9"/>
    </row>
    <row r="599">
      <c r="A599" s="6"/>
      <c r="B599" s="7"/>
      <c r="C599" s="7"/>
      <c r="D599" s="7"/>
      <c r="E599" s="7"/>
      <c r="F599" s="7"/>
      <c r="G599" s="7"/>
      <c r="H599" s="7"/>
      <c r="I599" s="7"/>
      <c r="J599" s="8"/>
      <c r="K599" s="9"/>
    </row>
    <row r="600">
      <c r="A600" s="6"/>
      <c r="B600" s="7"/>
      <c r="C600" s="7"/>
      <c r="D600" s="7"/>
      <c r="E600" s="7"/>
      <c r="F600" s="7"/>
      <c r="G600" s="7"/>
      <c r="H600" s="7"/>
      <c r="I600" s="7"/>
      <c r="J600" s="8"/>
      <c r="K600" s="9"/>
    </row>
    <row r="601">
      <c r="A601" s="6"/>
      <c r="B601" s="7"/>
      <c r="C601" s="7"/>
      <c r="D601" s="7"/>
      <c r="E601" s="7"/>
      <c r="F601" s="7"/>
      <c r="G601" s="7"/>
      <c r="H601" s="7"/>
      <c r="I601" s="7"/>
      <c r="J601" s="8"/>
      <c r="K601" s="9"/>
    </row>
    <row r="602">
      <c r="A602" s="6"/>
      <c r="B602" s="7"/>
      <c r="C602" s="7"/>
      <c r="D602" s="7"/>
      <c r="E602" s="7"/>
      <c r="F602" s="7"/>
      <c r="G602" s="7"/>
      <c r="H602" s="7"/>
      <c r="I602" s="7"/>
      <c r="J602" s="8"/>
      <c r="K602" s="9"/>
    </row>
    <row r="603">
      <c r="A603" s="6"/>
      <c r="B603" s="7"/>
      <c r="C603" s="7"/>
      <c r="D603" s="7"/>
      <c r="E603" s="7"/>
      <c r="F603" s="7"/>
      <c r="G603" s="7"/>
      <c r="H603" s="7"/>
      <c r="I603" s="7"/>
      <c r="J603" s="8"/>
      <c r="K603" s="9"/>
    </row>
    <row r="604">
      <c r="A604" s="6"/>
      <c r="B604" s="7"/>
      <c r="C604" s="7"/>
      <c r="D604" s="7"/>
      <c r="E604" s="7"/>
      <c r="F604" s="7"/>
      <c r="G604" s="7"/>
      <c r="H604" s="7"/>
      <c r="I604" s="7"/>
      <c r="J604" s="8"/>
      <c r="K604" s="9"/>
    </row>
    <row r="605">
      <c r="A605" s="6"/>
      <c r="B605" s="7"/>
      <c r="C605" s="7"/>
      <c r="D605" s="7"/>
      <c r="E605" s="7"/>
      <c r="F605" s="7"/>
      <c r="G605" s="7"/>
      <c r="H605" s="7"/>
      <c r="I605" s="7"/>
      <c r="J605" s="8"/>
      <c r="K605" s="9"/>
    </row>
    <row r="606">
      <c r="A606" s="6"/>
      <c r="B606" s="7"/>
      <c r="C606" s="7"/>
      <c r="D606" s="7"/>
      <c r="E606" s="7"/>
      <c r="F606" s="7"/>
      <c r="G606" s="7"/>
      <c r="H606" s="7"/>
      <c r="I606" s="7"/>
      <c r="J606" s="8"/>
      <c r="K606" s="9"/>
    </row>
    <row r="607">
      <c r="A607" s="6"/>
      <c r="B607" s="7"/>
      <c r="C607" s="7"/>
      <c r="D607" s="7"/>
      <c r="E607" s="7"/>
      <c r="F607" s="7"/>
      <c r="G607" s="7"/>
      <c r="H607" s="7"/>
      <c r="I607" s="7"/>
      <c r="J607" s="8"/>
      <c r="K607" s="9"/>
    </row>
    <row r="608">
      <c r="A608" s="6"/>
      <c r="B608" s="7"/>
      <c r="C608" s="7"/>
      <c r="D608" s="7"/>
      <c r="E608" s="7"/>
      <c r="F608" s="7"/>
      <c r="G608" s="7"/>
      <c r="H608" s="7"/>
      <c r="I608" s="7"/>
      <c r="J608" s="8"/>
      <c r="K608" s="9"/>
    </row>
    <row r="609">
      <c r="A609" s="6"/>
      <c r="B609" s="7"/>
      <c r="C609" s="7"/>
      <c r="D609" s="7"/>
      <c r="E609" s="7"/>
      <c r="F609" s="7"/>
      <c r="G609" s="7"/>
      <c r="H609" s="7"/>
      <c r="I609" s="7"/>
      <c r="J609" s="8"/>
      <c r="K609" s="9"/>
    </row>
    <row r="610">
      <c r="A610" s="6"/>
      <c r="B610" s="7"/>
      <c r="C610" s="7"/>
      <c r="D610" s="7"/>
      <c r="E610" s="7"/>
      <c r="F610" s="7"/>
      <c r="G610" s="7"/>
      <c r="H610" s="7"/>
      <c r="I610" s="7"/>
      <c r="J610" s="8"/>
      <c r="K610" s="9"/>
    </row>
    <row r="611">
      <c r="A611" s="6"/>
      <c r="B611" s="7"/>
      <c r="C611" s="7"/>
      <c r="D611" s="7"/>
      <c r="E611" s="7"/>
      <c r="F611" s="7"/>
      <c r="G611" s="7"/>
      <c r="H611" s="7"/>
      <c r="I611" s="7"/>
      <c r="J611" s="8"/>
      <c r="K611" s="9"/>
    </row>
    <row r="612">
      <c r="A612" s="6"/>
      <c r="B612" s="7"/>
      <c r="C612" s="7"/>
      <c r="D612" s="7"/>
      <c r="E612" s="7"/>
      <c r="F612" s="7"/>
      <c r="G612" s="7"/>
      <c r="H612" s="7"/>
      <c r="I612" s="7"/>
      <c r="J612" s="8"/>
      <c r="K612" s="9"/>
    </row>
    <row r="613">
      <c r="A613" s="6"/>
      <c r="B613" s="7"/>
      <c r="C613" s="7"/>
      <c r="D613" s="7"/>
      <c r="E613" s="7"/>
      <c r="F613" s="7"/>
      <c r="G613" s="7"/>
      <c r="H613" s="7"/>
      <c r="I613" s="7"/>
      <c r="J613" s="8"/>
      <c r="K613" s="9"/>
    </row>
    <row r="614">
      <c r="A614" s="6"/>
      <c r="B614" s="7"/>
      <c r="C614" s="7"/>
      <c r="D614" s="7"/>
      <c r="E614" s="7"/>
      <c r="F614" s="7"/>
      <c r="G614" s="7"/>
      <c r="H614" s="7"/>
      <c r="I614" s="7"/>
      <c r="J614" s="8"/>
      <c r="K614" s="9"/>
    </row>
    <row r="615">
      <c r="A615" s="6"/>
      <c r="B615" s="7"/>
      <c r="C615" s="7"/>
      <c r="D615" s="7"/>
      <c r="E615" s="7"/>
      <c r="F615" s="7"/>
      <c r="G615" s="7"/>
      <c r="H615" s="7"/>
      <c r="I615" s="7"/>
      <c r="J615" s="8"/>
      <c r="K615" s="9"/>
    </row>
    <row r="616">
      <c r="A616" s="6"/>
      <c r="B616" s="7"/>
      <c r="C616" s="7"/>
      <c r="D616" s="7"/>
      <c r="E616" s="7"/>
      <c r="F616" s="7"/>
      <c r="G616" s="7"/>
      <c r="H616" s="7"/>
      <c r="I616" s="7"/>
      <c r="J616" s="8"/>
      <c r="K616" s="9"/>
    </row>
    <row r="617">
      <c r="A617" s="6"/>
      <c r="B617" s="7"/>
      <c r="C617" s="7"/>
      <c r="D617" s="7"/>
      <c r="E617" s="7"/>
      <c r="F617" s="7"/>
      <c r="G617" s="7"/>
      <c r="H617" s="7"/>
      <c r="I617" s="7"/>
      <c r="J617" s="8"/>
      <c r="K617" s="9"/>
    </row>
    <row r="618">
      <c r="A618" s="6"/>
      <c r="B618" s="7"/>
      <c r="C618" s="7"/>
      <c r="D618" s="7"/>
      <c r="E618" s="7"/>
      <c r="F618" s="7"/>
      <c r="G618" s="7"/>
      <c r="H618" s="7"/>
      <c r="I618" s="7"/>
      <c r="J618" s="8"/>
      <c r="K618" s="9"/>
    </row>
    <row r="619">
      <c r="A619" s="6"/>
      <c r="B619" s="7"/>
      <c r="C619" s="7"/>
      <c r="D619" s="7"/>
      <c r="E619" s="7"/>
      <c r="F619" s="7"/>
      <c r="G619" s="7"/>
      <c r="H619" s="7"/>
      <c r="I619" s="7"/>
      <c r="J619" s="8"/>
      <c r="K619" s="9"/>
    </row>
    <row r="620">
      <c r="A620" s="6"/>
      <c r="B620" s="7"/>
      <c r="C620" s="7"/>
      <c r="D620" s="7"/>
      <c r="E620" s="7"/>
      <c r="F620" s="7"/>
      <c r="G620" s="7"/>
      <c r="H620" s="7"/>
      <c r="I620" s="7"/>
      <c r="J620" s="8"/>
      <c r="K620" s="9"/>
    </row>
    <row r="621">
      <c r="A621" s="6"/>
      <c r="B621" s="7"/>
      <c r="C621" s="7"/>
      <c r="D621" s="7"/>
      <c r="E621" s="7"/>
      <c r="F621" s="7"/>
      <c r="G621" s="7"/>
      <c r="H621" s="7"/>
      <c r="I621" s="7"/>
      <c r="J621" s="8"/>
      <c r="K621" s="9"/>
    </row>
    <row r="622">
      <c r="A622" s="6"/>
      <c r="B622" s="7"/>
      <c r="C622" s="7"/>
      <c r="D622" s="7"/>
      <c r="E622" s="7"/>
      <c r="F622" s="7"/>
      <c r="G622" s="7"/>
      <c r="H622" s="7"/>
      <c r="I622" s="7"/>
      <c r="J622" s="8"/>
      <c r="K622" s="9"/>
    </row>
    <row r="623">
      <c r="A623" s="6"/>
      <c r="B623" s="7"/>
      <c r="C623" s="7"/>
      <c r="D623" s="7"/>
      <c r="E623" s="7"/>
      <c r="F623" s="7"/>
      <c r="G623" s="7"/>
      <c r="H623" s="7"/>
      <c r="I623" s="7"/>
      <c r="J623" s="8"/>
      <c r="K623" s="9"/>
    </row>
    <row r="624">
      <c r="A624" s="6"/>
      <c r="B624" s="7"/>
      <c r="C624" s="7"/>
      <c r="D624" s="7"/>
      <c r="E624" s="7"/>
      <c r="F624" s="7"/>
      <c r="G624" s="7"/>
      <c r="H624" s="7"/>
      <c r="I624" s="7"/>
      <c r="J624" s="8"/>
      <c r="K624" s="9"/>
    </row>
    <row r="625">
      <c r="A625" s="6"/>
      <c r="B625" s="7"/>
      <c r="C625" s="7"/>
      <c r="D625" s="7"/>
      <c r="E625" s="7"/>
      <c r="F625" s="7"/>
      <c r="G625" s="7"/>
      <c r="H625" s="7"/>
      <c r="I625" s="7"/>
      <c r="J625" s="8"/>
      <c r="K625" s="9"/>
    </row>
    <row r="626">
      <c r="A626" s="6"/>
      <c r="B626" s="7"/>
      <c r="C626" s="7"/>
      <c r="D626" s="7"/>
      <c r="E626" s="7"/>
      <c r="F626" s="7"/>
      <c r="G626" s="7"/>
      <c r="H626" s="7"/>
      <c r="I626" s="7"/>
      <c r="J626" s="8"/>
      <c r="K626" s="9"/>
    </row>
    <row r="627">
      <c r="A627" s="6"/>
      <c r="B627" s="7"/>
      <c r="C627" s="7"/>
      <c r="D627" s="7"/>
      <c r="E627" s="7"/>
      <c r="F627" s="7"/>
      <c r="G627" s="7"/>
      <c r="H627" s="7"/>
      <c r="I627" s="7"/>
      <c r="J627" s="8"/>
      <c r="K627" s="9"/>
    </row>
    <row r="628">
      <c r="A628" s="6"/>
      <c r="B628" s="7"/>
      <c r="C628" s="7"/>
      <c r="D628" s="7"/>
      <c r="E628" s="7"/>
      <c r="F628" s="7"/>
      <c r="G628" s="7"/>
      <c r="H628" s="7"/>
      <c r="I628" s="7"/>
      <c r="J628" s="8"/>
      <c r="K628" s="9"/>
    </row>
    <row r="629">
      <c r="A629" s="6"/>
      <c r="B629" s="7"/>
      <c r="C629" s="7"/>
      <c r="D629" s="7"/>
      <c r="E629" s="7"/>
      <c r="F629" s="7"/>
      <c r="G629" s="7"/>
      <c r="H629" s="7"/>
      <c r="I629" s="7"/>
      <c r="J629" s="8"/>
      <c r="K629" s="9"/>
    </row>
    <row r="630">
      <c r="A630" s="6"/>
      <c r="B630" s="7"/>
      <c r="C630" s="7"/>
      <c r="D630" s="7"/>
      <c r="E630" s="7"/>
      <c r="F630" s="7"/>
      <c r="G630" s="7"/>
      <c r="H630" s="7"/>
      <c r="I630" s="7"/>
      <c r="J630" s="8"/>
      <c r="K630" s="9"/>
    </row>
    <row r="631">
      <c r="A631" s="6"/>
      <c r="B631" s="7"/>
      <c r="C631" s="7"/>
      <c r="D631" s="7"/>
      <c r="E631" s="7"/>
      <c r="F631" s="7"/>
      <c r="G631" s="7"/>
      <c r="H631" s="7"/>
      <c r="I631" s="7"/>
      <c r="J631" s="8"/>
      <c r="K631" s="9"/>
    </row>
    <row r="632">
      <c r="A632" s="6"/>
      <c r="B632" s="7"/>
      <c r="C632" s="7"/>
      <c r="D632" s="7"/>
      <c r="E632" s="7"/>
      <c r="F632" s="7"/>
      <c r="G632" s="7"/>
      <c r="H632" s="7"/>
      <c r="I632" s="7"/>
      <c r="J632" s="8"/>
      <c r="K632" s="9"/>
    </row>
    <row r="633">
      <c r="A633" s="6"/>
      <c r="B633" s="7"/>
      <c r="C633" s="7"/>
      <c r="D633" s="7"/>
      <c r="E633" s="7"/>
      <c r="F633" s="7"/>
      <c r="G633" s="7"/>
      <c r="H633" s="7"/>
      <c r="I633" s="7"/>
      <c r="J633" s="8"/>
      <c r="K633" s="9"/>
    </row>
    <row r="634">
      <c r="A634" s="6"/>
      <c r="B634" s="7"/>
      <c r="C634" s="7"/>
      <c r="D634" s="7"/>
      <c r="E634" s="7"/>
      <c r="F634" s="7"/>
      <c r="G634" s="7"/>
      <c r="H634" s="7"/>
      <c r="I634" s="7"/>
      <c r="J634" s="8"/>
      <c r="K634" s="9"/>
    </row>
    <row r="635">
      <c r="A635" s="6"/>
      <c r="B635" s="7"/>
      <c r="C635" s="7"/>
      <c r="D635" s="7"/>
      <c r="E635" s="7"/>
      <c r="F635" s="7"/>
      <c r="G635" s="7"/>
      <c r="H635" s="7"/>
      <c r="I635" s="7"/>
      <c r="J635" s="8"/>
      <c r="K635" s="9"/>
    </row>
    <row r="636">
      <c r="A636" s="6"/>
      <c r="B636" s="7"/>
      <c r="C636" s="7"/>
      <c r="D636" s="7"/>
      <c r="E636" s="7"/>
      <c r="F636" s="7"/>
      <c r="G636" s="7"/>
      <c r="H636" s="7"/>
      <c r="I636" s="7"/>
      <c r="J636" s="8"/>
      <c r="K636" s="9"/>
    </row>
    <row r="637">
      <c r="A637" s="6"/>
      <c r="B637" s="7"/>
      <c r="C637" s="7"/>
      <c r="D637" s="7"/>
      <c r="E637" s="7"/>
      <c r="F637" s="7"/>
      <c r="G637" s="7"/>
      <c r="H637" s="7"/>
      <c r="I637" s="7"/>
      <c r="J637" s="8"/>
      <c r="K637" s="9"/>
    </row>
    <row r="638">
      <c r="A638" s="6"/>
      <c r="B638" s="7"/>
      <c r="C638" s="7"/>
      <c r="D638" s="7"/>
      <c r="E638" s="7"/>
      <c r="F638" s="7"/>
      <c r="G638" s="7"/>
      <c r="H638" s="7"/>
      <c r="I638" s="7"/>
      <c r="J638" s="8"/>
      <c r="K638" s="9"/>
    </row>
    <row r="639">
      <c r="A639" s="6"/>
      <c r="B639" s="7"/>
      <c r="C639" s="7"/>
      <c r="D639" s="7"/>
      <c r="E639" s="7"/>
      <c r="F639" s="7"/>
      <c r="G639" s="7"/>
      <c r="H639" s="7"/>
      <c r="I639" s="7"/>
      <c r="J639" s="8"/>
      <c r="K639" s="9"/>
    </row>
    <row r="640">
      <c r="A640" s="6"/>
      <c r="B640" s="7"/>
      <c r="C640" s="7"/>
      <c r="D640" s="7"/>
      <c r="E640" s="7"/>
      <c r="F640" s="7"/>
      <c r="G640" s="7"/>
      <c r="H640" s="7"/>
      <c r="I640" s="7"/>
      <c r="J640" s="8"/>
      <c r="K640" s="9"/>
    </row>
    <row r="641">
      <c r="A641" s="6"/>
      <c r="B641" s="7"/>
      <c r="C641" s="7"/>
      <c r="D641" s="7"/>
      <c r="E641" s="7"/>
      <c r="F641" s="7"/>
      <c r="G641" s="7"/>
      <c r="H641" s="7"/>
      <c r="I641" s="7"/>
      <c r="J641" s="8"/>
      <c r="K641" s="9"/>
    </row>
    <row r="642">
      <c r="A642" s="6"/>
      <c r="B642" s="7"/>
      <c r="C642" s="7"/>
      <c r="D642" s="7"/>
      <c r="E642" s="7"/>
      <c r="F642" s="7"/>
      <c r="G642" s="7"/>
      <c r="H642" s="7"/>
      <c r="I642" s="7"/>
      <c r="J642" s="8"/>
      <c r="K642" s="9"/>
    </row>
    <row r="643">
      <c r="A643" s="6"/>
      <c r="B643" s="7"/>
      <c r="C643" s="7"/>
      <c r="D643" s="7"/>
      <c r="E643" s="7"/>
      <c r="F643" s="7"/>
      <c r="G643" s="7"/>
      <c r="H643" s="7"/>
      <c r="I643" s="7"/>
      <c r="J643" s="8"/>
      <c r="K643" s="9"/>
    </row>
    <row r="644">
      <c r="A644" s="6"/>
      <c r="B644" s="7"/>
      <c r="C644" s="7"/>
      <c r="D644" s="7"/>
      <c r="E644" s="7"/>
      <c r="F644" s="7"/>
      <c r="G644" s="7"/>
      <c r="H644" s="7"/>
      <c r="I644" s="7"/>
      <c r="J644" s="8"/>
      <c r="K644" s="9"/>
    </row>
    <row r="645">
      <c r="A645" s="6"/>
      <c r="B645" s="7"/>
      <c r="C645" s="7"/>
      <c r="D645" s="7"/>
      <c r="E645" s="7"/>
      <c r="F645" s="7"/>
      <c r="G645" s="7"/>
      <c r="H645" s="7"/>
      <c r="I645" s="7"/>
      <c r="J645" s="8"/>
      <c r="K645" s="9"/>
    </row>
    <row r="646">
      <c r="A646" s="6"/>
      <c r="B646" s="7"/>
      <c r="C646" s="7"/>
      <c r="D646" s="7"/>
      <c r="E646" s="7"/>
      <c r="F646" s="7"/>
      <c r="G646" s="7"/>
      <c r="H646" s="7"/>
      <c r="I646" s="7"/>
      <c r="J646" s="8"/>
      <c r="K646" s="9"/>
    </row>
    <row r="647">
      <c r="A647" s="6"/>
      <c r="B647" s="7"/>
      <c r="C647" s="7"/>
      <c r="D647" s="7"/>
      <c r="E647" s="7"/>
      <c r="F647" s="7"/>
      <c r="G647" s="7"/>
      <c r="H647" s="7"/>
      <c r="I647" s="7"/>
      <c r="J647" s="8"/>
      <c r="K647" s="9"/>
    </row>
    <row r="648">
      <c r="A648" s="6"/>
      <c r="B648" s="7"/>
      <c r="C648" s="7"/>
      <c r="D648" s="7"/>
      <c r="E648" s="7"/>
      <c r="F648" s="7"/>
      <c r="G648" s="7"/>
      <c r="H648" s="7"/>
      <c r="I648" s="7"/>
      <c r="J648" s="8"/>
      <c r="K648" s="9"/>
    </row>
    <row r="649">
      <c r="A649" s="6"/>
      <c r="B649" s="7"/>
      <c r="C649" s="7"/>
      <c r="D649" s="7"/>
      <c r="E649" s="7"/>
      <c r="F649" s="7"/>
      <c r="G649" s="7"/>
      <c r="H649" s="7"/>
      <c r="I649" s="7"/>
      <c r="J649" s="8"/>
      <c r="K649" s="9"/>
    </row>
    <row r="650">
      <c r="A650" s="6"/>
      <c r="B650" s="7"/>
      <c r="C650" s="7"/>
      <c r="D650" s="7"/>
      <c r="E650" s="7"/>
      <c r="F650" s="7"/>
      <c r="G650" s="7"/>
      <c r="H650" s="7"/>
      <c r="I650" s="7"/>
      <c r="J650" s="8"/>
      <c r="K650" s="9"/>
    </row>
    <row r="651">
      <c r="A651" s="6"/>
      <c r="B651" s="7"/>
      <c r="C651" s="7"/>
      <c r="D651" s="7"/>
      <c r="E651" s="7"/>
      <c r="F651" s="7"/>
      <c r="G651" s="7"/>
      <c r="H651" s="7"/>
      <c r="I651" s="7"/>
      <c r="J651" s="8"/>
      <c r="K651" s="9"/>
    </row>
    <row r="652">
      <c r="A652" s="6"/>
      <c r="B652" s="7"/>
      <c r="C652" s="7"/>
      <c r="D652" s="7"/>
      <c r="E652" s="7"/>
      <c r="F652" s="7"/>
      <c r="G652" s="7"/>
      <c r="H652" s="7"/>
      <c r="I652" s="7"/>
      <c r="J652" s="8"/>
      <c r="K652" s="9"/>
    </row>
    <row r="653">
      <c r="A653" s="6"/>
      <c r="B653" s="7"/>
      <c r="C653" s="7"/>
      <c r="D653" s="7"/>
      <c r="E653" s="7"/>
      <c r="F653" s="7"/>
      <c r="G653" s="7"/>
      <c r="H653" s="7"/>
      <c r="I653" s="7"/>
      <c r="J653" s="8"/>
      <c r="K653" s="9"/>
    </row>
    <row r="654">
      <c r="A654" s="6"/>
      <c r="B654" s="7"/>
      <c r="C654" s="7"/>
      <c r="D654" s="7"/>
      <c r="E654" s="7"/>
      <c r="F654" s="7"/>
      <c r="G654" s="7"/>
      <c r="H654" s="7"/>
      <c r="I654" s="7"/>
      <c r="J654" s="8"/>
      <c r="K654" s="9"/>
    </row>
    <row r="655">
      <c r="A655" s="6"/>
      <c r="B655" s="7"/>
      <c r="C655" s="7"/>
      <c r="D655" s="7"/>
      <c r="E655" s="7"/>
      <c r="F655" s="7"/>
      <c r="G655" s="7"/>
      <c r="H655" s="7"/>
      <c r="I655" s="7"/>
      <c r="J655" s="8"/>
      <c r="K655" s="9"/>
    </row>
    <row r="656">
      <c r="A656" s="6"/>
      <c r="B656" s="7"/>
      <c r="C656" s="7"/>
      <c r="D656" s="7"/>
      <c r="E656" s="7"/>
      <c r="F656" s="7"/>
      <c r="G656" s="7"/>
      <c r="H656" s="7"/>
      <c r="I656" s="7"/>
      <c r="J656" s="8"/>
      <c r="K656" s="9"/>
    </row>
    <row r="657">
      <c r="A657" s="6"/>
      <c r="B657" s="7"/>
      <c r="C657" s="7"/>
      <c r="D657" s="7"/>
      <c r="E657" s="7"/>
      <c r="F657" s="7"/>
      <c r="G657" s="7"/>
      <c r="H657" s="7"/>
      <c r="I657" s="7"/>
      <c r="J657" s="8"/>
      <c r="K657" s="9"/>
    </row>
    <row r="658">
      <c r="A658" s="6"/>
      <c r="B658" s="7"/>
      <c r="C658" s="7"/>
      <c r="D658" s="7"/>
      <c r="E658" s="7"/>
      <c r="F658" s="7"/>
      <c r="G658" s="7"/>
      <c r="H658" s="7"/>
      <c r="I658" s="7"/>
      <c r="J658" s="8"/>
      <c r="K658" s="9"/>
    </row>
    <row r="659">
      <c r="A659" s="6"/>
      <c r="B659" s="7"/>
      <c r="C659" s="7"/>
      <c r="D659" s="7"/>
      <c r="E659" s="7"/>
      <c r="F659" s="7"/>
      <c r="G659" s="7"/>
      <c r="H659" s="7"/>
      <c r="I659" s="7"/>
      <c r="J659" s="8"/>
      <c r="K659" s="9"/>
    </row>
    <row r="660">
      <c r="A660" s="6"/>
      <c r="B660" s="7"/>
      <c r="C660" s="7"/>
      <c r="D660" s="7"/>
      <c r="E660" s="7"/>
      <c r="F660" s="7"/>
      <c r="G660" s="7"/>
      <c r="H660" s="7"/>
      <c r="I660" s="7"/>
      <c r="J660" s="8"/>
      <c r="K660" s="9"/>
    </row>
    <row r="661">
      <c r="A661" s="6"/>
      <c r="B661" s="7"/>
      <c r="C661" s="7"/>
      <c r="D661" s="7"/>
      <c r="E661" s="7"/>
      <c r="F661" s="7"/>
      <c r="G661" s="7"/>
      <c r="H661" s="7"/>
      <c r="I661" s="7"/>
      <c r="J661" s="8"/>
      <c r="K661" s="9"/>
    </row>
    <row r="662">
      <c r="A662" s="6"/>
      <c r="B662" s="7"/>
      <c r="C662" s="7"/>
      <c r="D662" s="7"/>
      <c r="E662" s="7"/>
      <c r="F662" s="7"/>
      <c r="G662" s="7"/>
      <c r="H662" s="7"/>
      <c r="I662" s="7"/>
      <c r="J662" s="8"/>
      <c r="K662" s="9"/>
    </row>
    <row r="663">
      <c r="A663" s="6"/>
      <c r="B663" s="7"/>
      <c r="C663" s="7"/>
      <c r="D663" s="7"/>
      <c r="E663" s="7"/>
      <c r="F663" s="7"/>
      <c r="G663" s="7"/>
      <c r="H663" s="7"/>
      <c r="I663" s="7"/>
      <c r="J663" s="8"/>
      <c r="K663" s="9"/>
    </row>
    <row r="664">
      <c r="A664" s="6"/>
      <c r="B664" s="7"/>
      <c r="C664" s="7"/>
      <c r="D664" s="7"/>
      <c r="E664" s="7"/>
      <c r="F664" s="7"/>
      <c r="G664" s="7"/>
      <c r="H664" s="7"/>
      <c r="I664" s="7"/>
      <c r="J664" s="8"/>
      <c r="K664" s="9"/>
    </row>
    <row r="665">
      <c r="A665" s="6"/>
      <c r="B665" s="7"/>
      <c r="C665" s="7"/>
      <c r="D665" s="7"/>
      <c r="E665" s="7"/>
      <c r="F665" s="7"/>
      <c r="G665" s="7"/>
      <c r="H665" s="7"/>
      <c r="I665" s="7"/>
      <c r="J665" s="8"/>
      <c r="K665" s="9"/>
    </row>
    <row r="666">
      <c r="A666" s="6"/>
      <c r="B666" s="7"/>
      <c r="C666" s="7"/>
      <c r="D666" s="7"/>
      <c r="E666" s="7"/>
      <c r="F666" s="7"/>
      <c r="G666" s="7"/>
      <c r="H666" s="7"/>
      <c r="I666" s="7"/>
      <c r="J666" s="8"/>
      <c r="K666" s="9"/>
    </row>
    <row r="667">
      <c r="A667" s="6"/>
      <c r="B667" s="7"/>
      <c r="C667" s="7"/>
      <c r="D667" s="7"/>
      <c r="E667" s="7"/>
      <c r="F667" s="7"/>
      <c r="G667" s="7"/>
      <c r="H667" s="7"/>
      <c r="I667" s="7"/>
      <c r="J667" s="8"/>
      <c r="K667" s="9"/>
    </row>
    <row r="668">
      <c r="A668" s="6"/>
      <c r="B668" s="7"/>
      <c r="C668" s="7"/>
      <c r="D668" s="7"/>
      <c r="E668" s="7"/>
      <c r="F668" s="7"/>
      <c r="G668" s="7"/>
      <c r="H668" s="7"/>
      <c r="I668" s="7"/>
      <c r="J668" s="8"/>
      <c r="K668" s="9"/>
    </row>
    <row r="669">
      <c r="A669" s="6"/>
      <c r="B669" s="7"/>
      <c r="C669" s="7"/>
      <c r="D669" s="7"/>
      <c r="E669" s="7"/>
      <c r="F669" s="7"/>
      <c r="G669" s="7"/>
      <c r="H669" s="7"/>
      <c r="I669" s="7"/>
      <c r="J669" s="8"/>
      <c r="K669" s="9"/>
    </row>
    <row r="670">
      <c r="A670" s="6"/>
      <c r="B670" s="7"/>
      <c r="C670" s="7"/>
      <c r="D670" s="7"/>
      <c r="E670" s="7"/>
      <c r="F670" s="7"/>
      <c r="G670" s="7"/>
      <c r="H670" s="7"/>
      <c r="I670" s="7"/>
      <c r="J670" s="8"/>
      <c r="K670" s="9"/>
    </row>
    <row r="671">
      <c r="A671" s="6"/>
      <c r="B671" s="7"/>
      <c r="C671" s="7"/>
      <c r="D671" s="7"/>
      <c r="E671" s="7"/>
      <c r="F671" s="7"/>
      <c r="G671" s="7"/>
      <c r="H671" s="7"/>
      <c r="I671" s="7"/>
      <c r="J671" s="8"/>
      <c r="K671" s="9"/>
    </row>
    <row r="672">
      <c r="A672" s="6"/>
      <c r="B672" s="7"/>
      <c r="C672" s="7"/>
      <c r="D672" s="7"/>
      <c r="E672" s="7"/>
      <c r="F672" s="7"/>
      <c r="G672" s="7"/>
      <c r="H672" s="7"/>
      <c r="I672" s="7"/>
      <c r="J672" s="8"/>
      <c r="K672" s="9"/>
    </row>
    <row r="673">
      <c r="A673" s="6"/>
      <c r="B673" s="7"/>
      <c r="C673" s="7"/>
      <c r="D673" s="7"/>
      <c r="E673" s="7"/>
      <c r="F673" s="7"/>
      <c r="G673" s="7"/>
      <c r="H673" s="7"/>
      <c r="I673" s="7"/>
      <c r="J673" s="8"/>
      <c r="K673" s="9"/>
    </row>
    <row r="674">
      <c r="A674" s="6"/>
      <c r="B674" s="7"/>
      <c r="C674" s="7"/>
      <c r="D674" s="7"/>
      <c r="E674" s="7"/>
      <c r="F674" s="7"/>
      <c r="G674" s="7"/>
      <c r="H674" s="7"/>
      <c r="I674" s="7"/>
      <c r="J674" s="8"/>
      <c r="K674" s="9"/>
    </row>
    <row r="675">
      <c r="A675" s="6"/>
      <c r="B675" s="7"/>
      <c r="C675" s="7"/>
      <c r="D675" s="7"/>
      <c r="E675" s="7"/>
      <c r="F675" s="7"/>
      <c r="G675" s="7"/>
      <c r="H675" s="7"/>
      <c r="I675" s="7"/>
      <c r="J675" s="8"/>
      <c r="K675" s="9"/>
    </row>
    <row r="676">
      <c r="A676" s="6"/>
      <c r="B676" s="7"/>
      <c r="C676" s="7"/>
      <c r="D676" s="7"/>
      <c r="E676" s="7"/>
      <c r="F676" s="7"/>
      <c r="G676" s="7"/>
      <c r="H676" s="7"/>
      <c r="I676" s="7"/>
      <c r="J676" s="8"/>
      <c r="K676" s="9"/>
    </row>
    <row r="677">
      <c r="A677" s="6"/>
      <c r="B677" s="7"/>
      <c r="C677" s="7"/>
      <c r="D677" s="7"/>
      <c r="E677" s="7"/>
      <c r="F677" s="7"/>
      <c r="G677" s="7"/>
      <c r="H677" s="7"/>
      <c r="I677" s="7"/>
      <c r="J677" s="8"/>
      <c r="K677" s="9"/>
    </row>
    <row r="678">
      <c r="A678" s="6"/>
      <c r="B678" s="7"/>
      <c r="C678" s="7"/>
      <c r="D678" s="7"/>
      <c r="E678" s="7"/>
      <c r="F678" s="7"/>
      <c r="G678" s="7"/>
      <c r="H678" s="7"/>
      <c r="I678" s="7"/>
      <c r="J678" s="8"/>
      <c r="K678" s="9"/>
    </row>
    <row r="679">
      <c r="A679" s="6"/>
      <c r="B679" s="7"/>
      <c r="C679" s="7"/>
      <c r="D679" s="7"/>
      <c r="E679" s="7"/>
      <c r="F679" s="7"/>
      <c r="G679" s="7"/>
      <c r="H679" s="7"/>
      <c r="I679" s="7"/>
      <c r="J679" s="8"/>
      <c r="K679" s="9"/>
    </row>
    <row r="680">
      <c r="A680" s="6"/>
      <c r="B680" s="7"/>
      <c r="C680" s="7"/>
      <c r="D680" s="7"/>
      <c r="E680" s="7"/>
      <c r="F680" s="7"/>
      <c r="G680" s="7"/>
      <c r="H680" s="7"/>
      <c r="I680" s="7"/>
      <c r="J680" s="8"/>
      <c r="K680" s="9"/>
    </row>
    <row r="681">
      <c r="A681" s="6"/>
      <c r="B681" s="7"/>
      <c r="C681" s="7"/>
      <c r="D681" s="7"/>
      <c r="E681" s="7"/>
      <c r="F681" s="7"/>
      <c r="G681" s="7"/>
      <c r="H681" s="7"/>
      <c r="I681" s="7"/>
      <c r="J681" s="8"/>
      <c r="K681" s="9"/>
    </row>
    <row r="682">
      <c r="A682" s="6"/>
      <c r="B682" s="7"/>
      <c r="C682" s="7"/>
      <c r="D682" s="7"/>
      <c r="E682" s="7"/>
      <c r="F682" s="7"/>
      <c r="G682" s="7"/>
      <c r="H682" s="7"/>
      <c r="I682" s="7"/>
      <c r="J682" s="8"/>
      <c r="K682" s="9"/>
    </row>
    <row r="683">
      <c r="A683" s="6"/>
      <c r="B683" s="7"/>
      <c r="C683" s="7"/>
      <c r="D683" s="7"/>
      <c r="E683" s="7"/>
      <c r="F683" s="7"/>
      <c r="G683" s="7"/>
      <c r="H683" s="7"/>
      <c r="I683" s="7"/>
      <c r="J683" s="8"/>
      <c r="K683" s="9"/>
    </row>
    <row r="684">
      <c r="A684" s="6"/>
      <c r="B684" s="7"/>
      <c r="C684" s="7"/>
      <c r="D684" s="7"/>
      <c r="E684" s="7"/>
      <c r="F684" s="7"/>
      <c r="G684" s="7"/>
      <c r="H684" s="7"/>
      <c r="I684" s="7"/>
      <c r="J684" s="8"/>
      <c r="K684" s="9"/>
    </row>
    <row r="685">
      <c r="A685" s="6"/>
      <c r="B685" s="7"/>
      <c r="C685" s="7"/>
      <c r="D685" s="7"/>
      <c r="E685" s="7"/>
      <c r="F685" s="7"/>
      <c r="G685" s="7"/>
      <c r="H685" s="7"/>
      <c r="I685" s="7"/>
      <c r="J685" s="8"/>
      <c r="K685" s="9"/>
    </row>
    <row r="686">
      <c r="A686" s="6"/>
      <c r="B686" s="7"/>
      <c r="C686" s="7"/>
      <c r="D686" s="7"/>
      <c r="E686" s="7"/>
      <c r="F686" s="7"/>
      <c r="G686" s="7"/>
      <c r="H686" s="7"/>
      <c r="I686" s="7"/>
      <c r="J686" s="8"/>
      <c r="K686" s="9"/>
    </row>
    <row r="687">
      <c r="A687" s="6"/>
      <c r="B687" s="7"/>
      <c r="C687" s="7"/>
      <c r="D687" s="7"/>
      <c r="E687" s="7"/>
      <c r="F687" s="7"/>
      <c r="G687" s="7"/>
      <c r="H687" s="7"/>
      <c r="I687" s="7"/>
      <c r="J687" s="8"/>
      <c r="K687" s="9"/>
    </row>
    <row r="688">
      <c r="A688" s="6"/>
      <c r="B688" s="7"/>
      <c r="C688" s="7"/>
      <c r="D688" s="7"/>
      <c r="E688" s="7"/>
      <c r="F688" s="7"/>
      <c r="G688" s="7"/>
      <c r="H688" s="7"/>
      <c r="I688" s="7"/>
      <c r="J688" s="8"/>
      <c r="K688" s="9"/>
    </row>
    <row r="689">
      <c r="A689" s="6"/>
      <c r="B689" s="7"/>
      <c r="C689" s="7"/>
      <c r="D689" s="7"/>
      <c r="E689" s="7"/>
      <c r="F689" s="7"/>
      <c r="G689" s="7"/>
      <c r="H689" s="7"/>
      <c r="I689" s="7"/>
      <c r="J689" s="8"/>
      <c r="K689" s="9"/>
    </row>
    <row r="690">
      <c r="A690" s="6"/>
      <c r="B690" s="7"/>
      <c r="C690" s="7"/>
      <c r="D690" s="7"/>
      <c r="E690" s="7"/>
      <c r="F690" s="7"/>
      <c r="G690" s="7"/>
      <c r="H690" s="7"/>
      <c r="I690" s="7"/>
      <c r="J690" s="8"/>
      <c r="K690" s="9"/>
    </row>
    <row r="691">
      <c r="A691" s="6"/>
      <c r="B691" s="7"/>
      <c r="C691" s="7"/>
      <c r="D691" s="7"/>
      <c r="E691" s="7"/>
      <c r="F691" s="7"/>
      <c r="G691" s="7"/>
      <c r="H691" s="7"/>
      <c r="I691" s="7"/>
      <c r="J691" s="8"/>
      <c r="K691" s="9"/>
    </row>
    <row r="692">
      <c r="A692" s="6"/>
      <c r="B692" s="7"/>
      <c r="C692" s="7"/>
      <c r="D692" s="7"/>
      <c r="E692" s="7"/>
      <c r="F692" s="7"/>
      <c r="G692" s="7"/>
      <c r="H692" s="7"/>
      <c r="I692" s="7"/>
      <c r="J692" s="8"/>
      <c r="K692" s="9"/>
    </row>
    <row r="693">
      <c r="A693" s="6"/>
      <c r="B693" s="7"/>
      <c r="C693" s="7"/>
      <c r="D693" s="7"/>
      <c r="E693" s="7"/>
      <c r="F693" s="7"/>
      <c r="G693" s="7"/>
      <c r="H693" s="7"/>
      <c r="I693" s="7"/>
      <c r="J693" s="8"/>
      <c r="K693" s="9"/>
    </row>
    <row r="694">
      <c r="A694" s="6"/>
      <c r="B694" s="7"/>
      <c r="C694" s="7"/>
      <c r="D694" s="7"/>
      <c r="E694" s="7"/>
      <c r="F694" s="7"/>
      <c r="G694" s="7"/>
      <c r="H694" s="7"/>
      <c r="I694" s="7"/>
      <c r="J694" s="8"/>
      <c r="K694" s="9"/>
    </row>
    <row r="695">
      <c r="A695" s="6"/>
      <c r="B695" s="7"/>
      <c r="C695" s="7"/>
      <c r="D695" s="7"/>
      <c r="E695" s="7"/>
      <c r="F695" s="7"/>
      <c r="G695" s="7"/>
      <c r="H695" s="7"/>
      <c r="I695" s="7"/>
      <c r="J695" s="8"/>
      <c r="K695" s="9"/>
    </row>
    <row r="696">
      <c r="A696" s="6"/>
      <c r="B696" s="7"/>
      <c r="C696" s="7"/>
      <c r="D696" s="7"/>
      <c r="E696" s="7"/>
      <c r="F696" s="7"/>
      <c r="G696" s="7"/>
      <c r="H696" s="7"/>
      <c r="I696" s="7"/>
      <c r="J696" s="8"/>
      <c r="K696" s="9"/>
    </row>
    <row r="697">
      <c r="A697" s="6"/>
      <c r="B697" s="7"/>
      <c r="C697" s="7"/>
      <c r="D697" s="7"/>
      <c r="E697" s="7"/>
      <c r="F697" s="7"/>
      <c r="G697" s="7"/>
      <c r="H697" s="7"/>
      <c r="I697" s="7"/>
      <c r="J697" s="8"/>
      <c r="K697" s="9"/>
    </row>
    <row r="698">
      <c r="A698" s="6"/>
      <c r="B698" s="7"/>
      <c r="C698" s="7"/>
      <c r="D698" s="7"/>
      <c r="E698" s="7"/>
      <c r="F698" s="7"/>
      <c r="G698" s="7"/>
      <c r="H698" s="7"/>
      <c r="I698" s="7"/>
      <c r="J698" s="8"/>
      <c r="K698" s="9"/>
    </row>
    <row r="699">
      <c r="A699" s="6"/>
      <c r="B699" s="7"/>
      <c r="C699" s="7"/>
      <c r="D699" s="7"/>
      <c r="E699" s="7"/>
      <c r="F699" s="7"/>
      <c r="G699" s="7"/>
      <c r="H699" s="7"/>
      <c r="I699" s="7"/>
      <c r="J699" s="8"/>
      <c r="K699" s="9"/>
    </row>
    <row r="700">
      <c r="A700" s="6"/>
      <c r="B700" s="7"/>
      <c r="C700" s="7"/>
      <c r="D700" s="7"/>
      <c r="E700" s="7"/>
      <c r="F700" s="7"/>
      <c r="G700" s="7"/>
      <c r="H700" s="7"/>
      <c r="I700" s="7"/>
      <c r="J700" s="8"/>
      <c r="K700" s="9"/>
    </row>
    <row r="701">
      <c r="A701" s="6"/>
      <c r="B701" s="7"/>
      <c r="C701" s="7"/>
      <c r="D701" s="7"/>
      <c r="E701" s="7"/>
      <c r="F701" s="7"/>
      <c r="G701" s="7"/>
      <c r="H701" s="7"/>
      <c r="I701" s="7"/>
      <c r="J701" s="8"/>
      <c r="K701" s="9"/>
    </row>
    <row r="702">
      <c r="A702" s="6"/>
      <c r="B702" s="7"/>
      <c r="C702" s="7"/>
      <c r="D702" s="7"/>
      <c r="E702" s="7"/>
      <c r="F702" s="7"/>
      <c r="G702" s="7"/>
      <c r="H702" s="7"/>
      <c r="I702" s="7"/>
      <c r="J702" s="8"/>
      <c r="K702" s="9"/>
    </row>
    <row r="703">
      <c r="A703" s="6"/>
      <c r="B703" s="7"/>
      <c r="C703" s="7"/>
      <c r="D703" s="7"/>
      <c r="E703" s="7"/>
      <c r="F703" s="7"/>
      <c r="G703" s="7"/>
      <c r="H703" s="7"/>
      <c r="I703" s="7"/>
      <c r="J703" s="8"/>
      <c r="K703" s="9"/>
    </row>
    <row r="704">
      <c r="A704" s="6"/>
      <c r="B704" s="7"/>
      <c r="C704" s="7"/>
      <c r="D704" s="7"/>
      <c r="E704" s="7"/>
      <c r="F704" s="7"/>
      <c r="G704" s="7"/>
      <c r="H704" s="7"/>
      <c r="I704" s="7"/>
      <c r="J704" s="8"/>
      <c r="K704" s="9"/>
    </row>
    <row r="705">
      <c r="A705" s="6"/>
      <c r="B705" s="7"/>
      <c r="C705" s="7"/>
      <c r="D705" s="7"/>
      <c r="E705" s="7"/>
      <c r="F705" s="7"/>
      <c r="G705" s="7"/>
      <c r="H705" s="7"/>
      <c r="I705" s="7"/>
      <c r="J705" s="8"/>
      <c r="K705" s="9"/>
    </row>
    <row r="706">
      <c r="A706" s="6"/>
      <c r="B706" s="7"/>
      <c r="C706" s="7"/>
      <c r="D706" s="7"/>
      <c r="E706" s="7"/>
      <c r="F706" s="7"/>
      <c r="G706" s="7"/>
      <c r="H706" s="7"/>
      <c r="I706" s="7"/>
      <c r="J706" s="8"/>
      <c r="K706" s="9"/>
    </row>
    <row r="707">
      <c r="A707" s="6"/>
      <c r="B707" s="7"/>
      <c r="C707" s="7"/>
      <c r="D707" s="7"/>
      <c r="E707" s="7"/>
      <c r="F707" s="7"/>
      <c r="G707" s="7"/>
      <c r="H707" s="7"/>
      <c r="I707" s="7"/>
      <c r="J707" s="8"/>
      <c r="K707" s="9"/>
    </row>
    <row r="708">
      <c r="A708" s="6"/>
      <c r="B708" s="7"/>
      <c r="C708" s="7"/>
      <c r="D708" s="7"/>
      <c r="E708" s="7"/>
      <c r="F708" s="7"/>
      <c r="G708" s="7"/>
      <c r="H708" s="7"/>
      <c r="I708" s="7"/>
      <c r="J708" s="8"/>
      <c r="K708" s="9"/>
    </row>
    <row r="709">
      <c r="A709" s="6"/>
      <c r="B709" s="7"/>
      <c r="C709" s="7"/>
      <c r="D709" s="7"/>
      <c r="E709" s="7"/>
      <c r="F709" s="7"/>
      <c r="G709" s="7"/>
      <c r="H709" s="7"/>
      <c r="I709" s="7"/>
      <c r="J709" s="8"/>
      <c r="K709" s="9"/>
    </row>
    <row r="710">
      <c r="A710" s="6"/>
      <c r="B710" s="7"/>
      <c r="C710" s="7"/>
      <c r="D710" s="7"/>
      <c r="E710" s="7"/>
      <c r="F710" s="7"/>
      <c r="G710" s="7"/>
      <c r="H710" s="7"/>
      <c r="I710" s="7"/>
      <c r="J710" s="8"/>
      <c r="K710" s="9"/>
    </row>
    <row r="711">
      <c r="A711" s="6"/>
      <c r="B711" s="7"/>
      <c r="C711" s="7"/>
      <c r="D711" s="7"/>
      <c r="E711" s="7"/>
      <c r="F711" s="7"/>
      <c r="G711" s="7"/>
      <c r="H711" s="7"/>
      <c r="I711" s="7"/>
      <c r="J711" s="8"/>
      <c r="K711" s="9"/>
    </row>
    <row r="712">
      <c r="A712" s="6"/>
      <c r="B712" s="7"/>
      <c r="C712" s="7"/>
      <c r="D712" s="7"/>
      <c r="E712" s="7"/>
      <c r="F712" s="7"/>
      <c r="G712" s="7"/>
      <c r="H712" s="7"/>
      <c r="I712" s="7"/>
      <c r="J712" s="8"/>
      <c r="K712" s="9"/>
    </row>
    <row r="713">
      <c r="A713" s="6"/>
      <c r="B713" s="7"/>
      <c r="C713" s="7"/>
      <c r="D713" s="7"/>
      <c r="E713" s="7"/>
      <c r="F713" s="7"/>
      <c r="G713" s="7"/>
      <c r="H713" s="7"/>
      <c r="I713" s="7"/>
      <c r="J713" s="8"/>
      <c r="K713" s="9"/>
    </row>
    <row r="714">
      <c r="A714" s="6"/>
      <c r="B714" s="7"/>
      <c r="C714" s="7"/>
      <c r="D714" s="7"/>
      <c r="E714" s="7"/>
      <c r="F714" s="7"/>
      <c r="G714" s="7"/>
      <c r="H714" s="7"/>
      <c r="I714" s="7"/>
      <c r="J714" s="8"/>
      <c r="K714" s="9"/>
    </row>
    <row r="715">
      <c r="A715" s="6"/>
      <c r="B715" s="7"/>
      <c r="C715" s="7"/>
      <c r="D715" s="7"/>
      <c r="E715" s="7"/>
      <c r="F715" s="7"/>
      <c r="G715" s="7"/>
      <c r="H715" s="7"/>
      <c r="I715" s="7"/>
      <c r="J715" s="8"/>
      <c r="K715" s="9"/>
    </row>
    <row r="716">
      <c r="A716" s="6"/>
      <c r="B716" s="7"/>
      <c r="C716" s="7"/>
      <c r="D716" s="7"/>
      <c r="E716" s="7"/>
      <c r="F716" s="7"/>
      <c r="G716" s="7"/>
      <c r="H716" s="7"/>
      <c r="I716" s="7"/>
      <c r="J716" s="8"/>
      <c r="K716" s="9"/>
    </row>
    <row r="717">
      <c r="A717" s="6"/>
      <c r="B717" s="7"/>
      <c r="C717" s="7"/>
      <c r="D717" s="7"/>
      <c r="E717" s="7"/>
      <c r="F717" s="7"/>
      <c r="G717" s="7"/>
      <c r="H717" s="7"/>
      <c r="I717" s="7"/>
      <c r="J717" s="8"/>
      <c r="K717" s="9"/>
    </row>
    <row r="718">
      <c r="A718" s="6"/>
      <c r="B718" s="7"/>
      <c r="C718" s="7"/>
      <c r="D718" s="7"/>
      <c r="E718" s="7"/>
      <c r="F718" s="7"/>
      <c r="G718" s="7"/>
      <c r="H718" s="7"/>
      <c r="I718" s="7"/>
      <c r="J718" s="8"/>
      <c r="K718" s="9"/>
    </row>
    <row r="719">
      <c r="A719" s="6"/>
      <c r="B719" s="7"/>
      <c r="C719" s="7"/>
      <c r="D719" s="7"/>
      <c r="E719" s="7"/>
      <c r="F719" s="7"/>
      <c r="G719" s="7"/>
      <c r="H719" s="7"/>
      <c r="I719" s="7"/>
      <c r="J719" s="8"/>
      <c r="K719" s="9"/>
    </row>
    <row r="720">
      <c r="A720" s="6"/>
      <c r="B720" s="7"/>
      <c r="C720" s="7"/>
      <c r="D720" s="7"/>
      <c r="E720" s="7"/>
      <c r="F720" s="7"/>
      <c r="G720" s="7"/>
      <c r="H720" s="7"/>
      <c r="I720" s="7"/>
      <c r="J720" s="8"/>
      <c r="K720" s="9"/>
    </row>
    <row r="721">
      <c r="A721" s="6"/>
      <c r="B721" s="7"/>
      <c r="C721" s="7"/>
      <c r="D721" s="7"/>
      <c r="E721" s="7"/>
      <c r="F721" s="7"/>
      <c r="G721" s="7"/>
      <c r="H721" s="7"/>
      <c r="I721" s="7"/>
      <c r="J721" s="8"/>
      <c r="K721" s="9"/>
    </row>
    <row r="722">
      <c r="A722" s="6"/>
      <c r="B722" s="7"/>
      <c r="C722" s="7"/>
      <c r="D722" s="7"/>
      <c r="E722" s="7"/>
      <c r="F722" s="7"/>
      <c r="G722" s="7"/>
      <c r="H722" s="7"/>
      <c r="I722" s="7"/>
      <c r="J722" s="8"/>
      <c r="K722" s="9"/>
    </row>
    <row r="723">
      <c r="A723" s="6"/>
      <c r="B723" s="7"/>
      <c r="C723" s="7"/>
      <c r="D723" s="7"/>
      <c r="E723" s="7"/>
      <c r="F723" s="7"/>
      <c r="G723" s="7"/>
      <c r="H723" s="7"/>
      <c r="I723" s="7"/>
      <c r="J723" s="8"/>
      <c r="K723" s="9"/>
    </row>
    <row r="724">
      <c r="A724" s="6"/>
      <c r="B724" s="7"/>
      <c r="C724" s="7"/>
      <c r="D724" s="7"/>
      <c r="E724" s="7"/>
      <c r="F724" s="7"/>
      <c r="G724" s="7"/>
      <c r="H724" s="7"/>
      <c r="I724" s="7"/>
      <c r="J724" s="8"/>
      <c r="K724" s="9"/>
    </row>
    <row r="725">
      <c r="A725" s="6"/>
      <c r="B725" s="7"/>
      <c r="C725" s="7"/>
      <c r="D725" s="7"/>
      <c r="E725" s="7"/>
      <c r="F725" s="7"/>
      <c r="G725" s="7"/>
      <c r="H725" s="7"/>
      <c r="I725" s="7"/>
      <c r="J725" s="8"/>
      <c r="K725" s="9"/>
    </row>
    <row r="726">
      <c r="A726" s="6"/>
      <c r="B726" s="7"/>
      <c r="C726" s="7"/>
      <c r="D726" s="7"/>
      <c r="E726" s="7"/>
      <c r="F726" s="7"/>
      <c r="G726" s="7"/>
      <c r="H726" s="7"/>
      <c r="I726" s="7"/>
      <c r="J726" s="8"/>
      <c r="K726" s="9"/>
    </row>
    <row r="727">
      <c r="A727" s="6"/>
      <c r="B727" s="7"/>
      <c r="C727" s="7"/>
      <c r="D727" s="7"/>
      <c r="E727" s="7"/>
      <c r="F727" s="7"/>
      <c r="G727" s="7"/>
      <c r="H727" s="7"/>
      <c r="I727" s="7"/>
      <c r="J727" s="8"/>
      <c r="K727" s="9"/>
    </row>
    <row r="728">
      <c r="A728" s="6"/>
      <c r="B728" s="7"/>
      <c r="C728" s="7"/>
      <c r="D728" s="7"/>
      <c r="E728" s="7"/>
      <c r="F728" s="7"/>
      <c r="G728" s="7"/>
      <c r="H728" s="7"/>
      <c r="I728" s="7"/>
      <c r="J728" s="8"/>
      <c r="K728" s="9"/>
    </row>
    <row r="729">
      <c r="A729" s="6"/>
      <c r="B729" s="7"/>
      <c r="C729" s="7"/>
      <c r="D729" s="7"/>
      <c r="E729" s="7"/>
      <c r="F729" s="7"/>
      <c r="G729" s="7"/>
      <c r="H729" s="7"/>
      <c r="I729" s="7"/>
      <c r="J729" s="8"/>
      <c r="K729" s="9"/>
    </row>
    <row r="730">
      <c r="A730" s="6"/>
      <c r="B730" s="7"/>
      <c r="C730" s="7"/>
      <c r="D730" s="7"/>
      <c r="E730" s="7"/>
      <c r="F730" s="7"/>
      <c r="G730" s="7"/>
      <c r="H730" s="7"/>
      <c r="I730" s="7"/>
      <c r="J730" s="8"/>
      <c r="K730" s="9"/>
    </row>
    <row r="731">
      <c r="A731" s="6"/>
      <c r="B731" s="7"/>
      <c r="C731" s="7"/>
      <c r="D731" s="7"/>
      <c r="E731" s="7"/>
      <c r="F731" s="7"/>
      <c r="G731" s="7"/>
      <c r="H731" s="7"/>
      <c r="I731" s="7"/>
      <c r="J731" s="8"/>
      <c r="K731" s="9"/>
    </row>
    <row r="732">
      <c r="A732" s="6"/>
      <c r="B732" s="7"/>
      <c r="C732" s="7"/>
      <c r="D732" s="7"/>
      <c r="E732" s="7"/>
      <c r="F732" s="7"/>
      <c r="G732" s="7"/>
      <c r="H732" s="7"/>
      <c r="I732" s="7"/>
      <c r="J732" s="8"/>
      <c r="K732" s="9"/>
    </row>
    <row r="733">
      <c r="A733" s="6"/>
      <c r="B733" s="7"/>
      <c r="C733" s="7"/>
      <c r="D733" s="7"/>
      <c r="E733" s="7"/>
      <c r="F733" s="7"/>
      <c r="G733" s="7"/>
      <c r="H733" s="7"/>
      <c r="I733" s="7"/>
      <c r="J733" s="8"/>
      <c r="K733" s="9"/>
    </row>
    <row r="734">
      <c r="A734" s="6"/>
      <c r="B734" s="7"/>
      <c r="C734" s="7"/>
      <c r="D734" s="7"/>
      <c r="E734" s="7"/>
      <c r="F734" s="7"/>
      <c r="G734" s="7"/>
      <c r="H734" s="7"/>
      <c r="I734" s="7"/>
      <c r="J734" s="8"/>
      <c r="K734" s="9"/>
    </row>
    <row r="735">
      <c r="A735" s="6"/>
      <c r="B735" s="7"/>
      <c r="C735" s="7"/>
      <c r="D735" s="7"/>
      <c r="E735" s="7"/>
      <c r="F735" s="7"/>
      <c r="G735" s="7"/>
      <c r="H735" s="7"/>
      <c r="I735" s="7"/>
      <c r="J735" s="8"/>
      <c r="K735" s="9"/>
    </row>
    <row r="736">
      <c r="A736" s="6"/>
      <c r="B736" s="7"/>
      <c r="C736" s="7"/>
      <c r="D736" s="7"/>
      <c r="E736" s="7"/>
      <c r="F736" s="7"/>
      <c r="G736" s="7"/>
      <c r="H736" s="7"/>
      <c r="I736" s="7"/>
      <c r="J736" s="8"/>
      <c r="K736" s="9"/>
    </row>
    <row r="737">
      <c r="A737" s="6"/>
      <c r="B737" s="7"/>
      <c r="C737" s="7"/>
      <c r="D737" s="7"/>
      <c r="E737" s="7"/>
      <c r="F737" s="7"/>
      <c r="G737" s="7"/>
      <c r="H737" s="7"/>
      <c r="I737" s="7"/>
      <c r="J737" s="8"/>
      <c r="K737" s="9"/>
    </row>
    <row r="738">
      <c r="A738" s="6"/>
      <c r="B738" s="7"/>
      <c r="C738" s="7"/>
      <c r="D738" s="7"/>
      <c r="E738" s="7"/>
      <c r="F738" s="7"/>
      <c r="G738" s="7"/>
      <c r="H738" s="7"/>
      <c r="I738" s="7"/>
      <c r="J738" s="8"/>
      <c r="K738" s="9"/>
    </row>
    <row r="739">
      <c r="A739" s="6"/>
      <c r="B739" s="7"/>
      <c r="C739" s="7"/>
      <c r="D739" s="7"/>
      <c r="E739" s="7"/>
      <c r="F739" s="7"/>
      <c r="G739" s="7"/>
      <c r="H739" s="7"/>
      <c r="I739" s="7"/>
      <c r="J739" s="8"/>
      <c r="K739" s="9"/>
    </row>
    <row r="740">
      <c r="A740" s="6"/>
      <c r="B740" s="7"/>
      <c r="C740" s="7"/>
      <c r="D740" s="7"/>
      <c r="E740" s="7"/>
      <c r="F740" s="7"/>
      <c r="G740" s="7"/>
      <c r="H740" s="7"/>
      <c r="I740" s="7"/>
      <c r="J740" s="8"/>
      <c r="K740" s="9"/>
    </row>
    <row r="741">
      <c r="A741" s="6"/>
      <c r="B741" s="7"/>
      <c r="C741" s="7"/>
      <c r="D741" s="7"/>
      <c r="E741" s="7"/>
      <c r="F741" s="7"/>
      <c r="G741" s="7"/>
      <c r="H741" s="7"/>
      <c r="I741" s="7"/>
      <c r="J741" s="8"/>
      <c r="K741" s="9"/>
    </row>
    <row r="742">
      <c r="A742" s="6"/>
      <c r="B742" s="7"/>
      <c r="C742" s="7"/>
      <c r="D742" s="7"/>
      <c r="E742" s="7"/>
      <c r="F742" s="7"/>
      <c r="G742" s="7"/>
      <c r="H742" s="7"/>
      <c r="I742" s="7"/>
      <c r="J742" s="8"/>
      <c r="K742" s="9"/>
    </row>
    <row r="743">
      <c r="A743" s="6"/>
      <c r="B743" s="7"/>
      <c r="C743" s="7"/>
      <c r="D743" s="7"/>
      <c r="E743" s="7"/>
      <c r="F743" s="7"/>
      <c r="G743" s="7"/>
      <c r="H743" s="7"/>
      <c r="I743" s="7"/>
      <c r="J743" s="8"/>
      <c r="K743" s="9"/>
    </row>
    <row r="744">
      <c r="A744" s="6"/>
      <c r="B744" s="7"/>
      <c r="C744" s="7"/>
      <c r="D744" s="7"/>
      <c r="E744" s="7"/>
      <c r="F744" s="7"/>
      <c r="G744" s="7"/>
      <c r="H744" s="7"/>
      <c r="I744" s="7"/>
      <c r="J744" s="8"/>
      <c r="K744" s="9"/>
    </row>
    <row r="745">
      <c r="A745" s="6"/>
      <c r="B745" s="7"/>
      <c r="C745" s="7"/>
      <c r="D745" s="7"/>
      <c r="E745" s="7"/>
      <c r="F745" s="7"/>
      <c r="G745" s="7"/>
      <c r="H745" s="7"/>
      <c r="I745" s="7"/>
      <c r="J745" s="8"/>
      <c r="K745" s="9"/>
    </row>
    <row r="746">
      <c r="A746" s="6"/>
      <c r="B746" s="7"/>
      <c r="C746" s="7"/>
      <c r="D746" s="7"/>
      <c r="E746" s="7"/>
      <c r="F746" s="7"/>
      <c r="G746" s="7"/>
      <c r="H746" s="7"/>
      <c r="I746" s="7"/>
      <c r="J746" s="8"/>
      <c r="K746" s="9"/>
    </row>
    <row r="747">
      <c r="A747" s="6"/>
      <c r="B747" s="7"/>
      <c r="C747" s="7"/>
      <c r="D747" s="7"/>
      <c r="E747" s="7"/>
      <c r="F747" s="7"/>
      <c r="G747" s="7"/>
      <c r="H747" s="7"/>
      <c r="I747" s="7"/>
      <c r="J747" s="8"/>
      <c r="K747" s="9"/>
    </row>
    <row r="748">
      <c r="A748" s="6"/>
      <c r="B748" s="7"/>
      <c r="C748" s="7"/>
      <c r="D748" s="7"/>
      <c r="E748" s="7"/>
      <c r="F748" s="7"/>
      <c r="G748" s="7"/>
      <c r="H748" s="7"/>
      <c r="I748" s="7"/>
      <c r="J748" s="8"/>
      <c r="K748" s="9"/>
    </row>
    <row r="749">
      <c r="A749" s="6"/>
      <c r="B749" s="7"/>
      <c r="C749" s="7"/>
      <c r="D749" s="7"/>
      <c r="E749" s="7"/>
      <c r="F749" s="7"/>
      <c r="G749" s="7"/>
      <c r="H749" s="7"/>
      <c r="I749" s="7"/>
      <c r="J749" s="8"/>
      <c r="K749" s="9"/>
    </row>
    <row r="750">
      <c r="A750" s="6"/>
      <c r="B750" s="7"/>
      <c r="C750" s="7"/>
      <c r="D750" s="7"/>
      <c r="E750" s="7"/>
      <c r="F750" s="7"/>
      <c r="G750" s="7"/>
      <c r="H750" s="7"/>
      <c r="I750" s="7"/>
      <c r="J750" s="8"/>
      <c r="K750" s="9"/>
    </row>
    <row r="751">
      <c r="A751" s="6"/>
      <c r="B751" s="7"/>
      <c r="C751" s="7"/>
      <c r="D751" s="7"/>
      <c r="E751" s="7"/>
      <c r="F751" s="7"/>
      <c r="G751" s="7"/>
      <c r="H751" s="7"/>
      <c r="I751" s="7"/>
      <c r="J751" s="8"/>
      <c r="K751" s="9"/>
    </row>
    <row r="752">
      <c r="A752" s="6"/>
      <c r="B752" s="7"/>
      <c r="C752" s="7"/>
      <c r="D752" s="7"/>
      <c r="E752" s="7"/>
      <c r="F752" s="7"/>
      <c r="G752" s="7"/>
      <c r="H752" s="7"/>
      <c r="I752" s="7"/>
      <c r="J752" s="8"/>
      <c r="K752" s="9"/>
    </row>
    <row r="753">
      <c r="A753" s="6"/>
      <c r="B753" s="7"/>
      <c r="C753" s="7"/>
      <c r="D753" s="7"/>
      <c r="E753" s="7"/>
      <c r="F753" s="7"/>
      <c r="G753" s="7"/>
      <c r="H753" s="7"/>
      <c r="I753" s="7"/>
      <c r="J753" s="8"/>
      <c r="K753" s="9"/>
    </row>
    <row r="754">
      <c r="A754" s="6"/>
      <c r="B754" s="7"/>
      <c r="C754" s="7"/>
      <c r="D754" s="7"/>
      <c r="E754" s="7"/>
      <c r="F754" s="7"/>
      <c r="G754" s="7"/>
      <c r="H754" s="7"/>
      <c r="I754" s="7"/>
      <c r="J754" s="8"/>
      <c r="K754" s="9"/>
    </row>
    <row r="755">
      <c r="A755" s="6"/>
      <c r="B755" s="7"/>
      <c r="C755" s="7"/>
      <c r="D755" s="7"/>
      <c r="E755" s="7"/>
      <c r="F755" s="7"/>
      <c r="G755" s="7"/>
      <c r="H755" s="7"/>
      <c r="I755" s="7"/>
      <c r="J755" s="8"/>
      <c r="K755" s="9"/>
    </row>
    <row r="756">
      <c r="A756" s="6"/>
      <c r="B756" s="7"/>
      <c r="C756" s="7"/>
      <c r="D756" s="7"/>
      <c r="E756" s="7"/>
      <c r="F756" s="7"/>
      <c r="G756" s="7"/>
      <c r="H756" s="7"/>
      <c r="I756" s="7"/>
      <c r="J756" s="8"/>
      <c r="K756" s="9"/>
    </row>
    <row r="757">
      <c r="A757" s="6"/>
      <c r="B757" s="7"/>
      <c r="C757" s="7"/>
      <c r="D757" s="7"/>
      <c r="E757" s="7"/>
      <c r="F757" s="7"/>
      <c r="G757" s="7"/>
      <c r="H757" s="7"/>
      <c r="I757" s="7"/>
      <c r="J757" s="8"/>
      <c r="K757" s="9"/>
    </row>
    <row r="758">
      <c r="A758" s="6"/>
      <c r="B758" s="7"/>
      <c r="C758" s="7"/>
      <c r="D758" s="7"/>
      <c r="E758" s="7"/>
      <c r="F758" s="7"/>
      <c r="G758" s="7"/>
      <c r="H758" s="7"/>
      <c r="I758" s="7"/>
      <c r="J758" s="8"/>
      <c r="K758" s="9"/>
    </row>
    <row r="759">
      <c r="A759" s="6"/>
      <c r="B759" s="7"/>
      <c r="C759" s="7"/>
      <c r="D759" s="7"/>
      <c r="E759" s="7"/>
      <c r="F759" s="7"/>
      <c r="G759" s="7"/>
      <c r="H759" s="7"/>
      <c r="I759" s="7"/>
      <c r="J759" s="8"/>
      <c r="K759" s="9"/>
    </row>
    <row r="760">
      <c r="A760" s="6"/>
      <c r="B760" s="7"/>
      <c r="C760" s="7"/>
      <c r="D760" s="7"/>
      <c r="E760" s="7"/>
      <c r="F760" s="7"/>
      <c r="G760" s="7"/>
      <c r="H760" s="7"/>
      <c r="I760" s="7"/>
      <c r="J760" s="8"/>
      <c r="K760" s="9"/>
    </row>
    <row r="761">
      <c r="A761" s="6"/>
      <c r="B761" s="7"/>
      <c r="C761" s="7"/>
      <c r="D761" s="7"/>
      <c r="E761" s="7"/>
      <c r="F761" s="7"/>
      <c r="G761" s="7"/>
      <c r="H761" s="7"/>
      <c r="I761" s="7"/>
      <c r="J761" s="8"/>
      <c r="K761" s="9"/>
    </row>
    <row r="762">
      <c r="A762" s="6"/>
      <c r="B762" s="7"/>
      <c r="C762" s="7"/>
      <c r="D762" s="7"/>
      <c r="E762" s="7"/>
      <c r="F762" s="7"/>
      <c r="G762" s="7"/>
      <c r="H762" s="7"/>
      <c r="I762" s="7"/>
      <c r="J762" s="8"/>
      <c r="K762" s="9"/>
    </row>
    <row r="763">
      <c r="A763" s="6"/>
      <c r="B763" s="7"/>
      <c r="C763" s="7"/>
      <c r="D763" s="7"/>
      <c r="E763" s="7"/>
      <c r="F763" s="7"/>
      <c r="G763" s="7"/>
      <c r="H763" s="7"/>
      <c r="I763" s="7"/>
      <c r="J763" s="8"/>
      <c r="K763" s="9"/>
    </row>
    <row r="764">
      <c r="A764" s="6"/>
      <c r="B764" s="7"/>
      <c r="C764" s="7"/>
      <c r="D764" s="7"/>
      <c r="E764" s="7"/>
      <c r="F764" s="7"/>
      <c r="G764" s="7"/>
      <c r="H764" s="7"/>
      <c r="I764" s="7"/>
      <c r="J764" s="8"/>
      <c r="K764" s="9"/>
    </row>
    <row r="765">
      <c r="A765" s="6"/>
      <c r="B765" s="7"/>
      <c r="C765" s="7"/>
      <c r="D765" s="7"/>
      <c r="E765" s="7"/>
      <c r="F765" s="7"/>
      <c r="G765" s="7"/>
      <c r="H765" s="7"/>
      <c r="I765" s="7"/>
      <c r="J765" s="8"/>
      <c r="K765" s="9"/>
    </row>
    <row r="766">
      <c r="A766" s="6"/>
      <c r="B766" s="7"/>
      <c r="C766" s="7"/>
      <c r="D766" s="7"/>
      <c r="E766" s="7"/>
      <c r="F766" s="7"/>
      <c r="G766" s="7"/>
      <c r="H766" s="7"/>
      <c r="I766" s="7"/>
      <c r="J766" s="8"/>
      <c r="K766" s="9"/>
    </row>
    <row r="767">
      <c r="A767" s="6"/>
      <c r="B767" s="7"/>
      <c r="C767" s="7"/>
      <c r="D767" s="7"/>
      <c r="E767" s="7"/>
      <c r="F767" s="7"/>
      <c r="G767" s="7"/>
      <c r="H767" s="7"/>
      <c r="I767" s="7"/>
      <c r="J767" s="8"/>
      <c r="K767" s="9"/>
    </row>
    <row r="768">
      <c r="A768" s="6"/>
      <c r="B768" s="7"/>
      <c r="C768" s="7"/>
      <c r="D768" s="7"/>
      <c r="E768" s="7"/>
      <c r="F768" s="7"/>
      <c r="G768" s="7"/>
      <c r="H768" s="7"/>
      <c r="I768" s="7"/>
      <c r="J768" s="8"/>
      <c r="K768" s="9"/>
    </row>
    <row r="769">
      <c r="A769" s="6"/>
      <c r="B769" s="7"/>
      <c r="C769" s="7"/>
      <c r="D769" s="7"/>
      <c r="E769" s="7"/>
      <c r="F769" s="7"/>
      <c r="G769" s="7"/>
      <c r="H769" s="7"/>
      <c r="I769" s="7"/>
      <c r="J769" s="8"/>
      <c r="K769" s="9"/>
    </row>
    <row r="770">
      <c r="A770" s="6"/>
      <c r="B770" s="7"/>
      <c r="C770" s="7"/>
      <c r="D770" s="7"/>
      <c r="E770" s="7"/>
      <c r="F770" s="7"/>
      <c r="G770" s="7"/>
      <c r="H770" s="7"/>
      <c r="I770" s="7"/>
      <c r="J770" s="8"/>
      <c r="K770" s="9"/>
    </row>
    <row r="771">
      <c r="A771" s="6"/>
      <c r="B771" s="7"/>
      <c r="C771" s="7"/>
      <c r="D771" s="7"/>
      <c r="E771" s="7"/>
      <c r="F771" s="7"/>
      <c r="G771" s="7"/>
      <c r="H771" s="7"/>
      <c r="I771" s="7"/>
      <c r="J771" s="8"/>
      <c r="K771" s="9"/>
    </row>
    <row r="772">
      <c r="A772" s="6"/>
      <c r="B772" s="7"/>
      <c r="C772" s="7"/>
      <c r="D772" s="7"/>
      <c r="E772" s="7"/>
      <c r="F772" s="7"/>
      <c r="G772" s="7"/>
      <c r="H772" s="7"/>
      <c r="I772" s="7"/>
      <c r="J772" s="8"/>
      <c r="K772" s="9"/>
    </row>
    <row r="773">
      <c r="A773" s="6"/>
      <c r="B773" s="7"/>
      <c r="C773" s="7"/>
      <c r="D773" s="7"/>
      <c r="E773" s="7"/>
      <c r="F773" s="7"/>
      <c r="G773" s="7"/>
      <c r="H773" s="7"/>
      <c r="I773" s="7"/>
      <c r="J773" s="8"/>
      <c r="K773" s="9"/>
    </row>
    <row r="774">
      <c r="A774" s="6"/>
      <c r="B774" s="7"/>
      <c r="C774" s="7"/>
      <c r="D774" s="7"/>
      <c r="E774" s="7"/>
      <c r="F774" s="7"/>
      <c r="G774" s="7"/>
      <c r="H774" s="7"/>
      <c r="I774" s="7"/>
      <c r="J774" s="8"/>
      <c r="K774" s="9"/>
    </row>
    <row r="775">
      <c r="A775" s="6"/>
      <c r="B775" s="7"/>
      <c r="C775" s="7"/>
      <c r="D775" s="7"/>
      <c r="E775" s="7"/>
      <c r="F775" s="7"/>
      <c r="G775" s="7"/>
      <c r="H775" s="7"/>
      <c r="I775" s="7"/>
      <c r="J775" s="8"/>
      <c r="K775" s="9"/>
    </row>
    <row r="776">
      <c r="A776" s="6"/>
      <c r="B776" s="7"/>
      <c r="C776" s="7"/>
      <c r="D776" s="7"/>
      <c r="E776" s="7"/>
      <c r="F776" s="7"/>
      <c r="G776" s="7"/>
      <c r="H776" s="7"/>
      <c r="I776" s="7"/>
      <c r="J776" s="8"/>
      <c r="K776" s="9"/>
    </row>
    <row r="777">
      <c r="A777" s="6"/>
      <c r="B777" s="7"/>
      <c r="C777" s="7"/>
      <c r="D777" s="7"/>
      <c r="E777" s="7"/>
      <c r="F777" s="7"/>
      <c r="G777" s="7"/>
      <c r="H777" s="7"/>
      <c r="I777" s="7"/>
      <c r="J777" s="8"/>
      <c r="K777" s="9"/>
    </row>
    <row r="778">
      <c r="A778" s="6"/>
      <c r="B778" s="7"/>
      <c r="C778" s="7"/>
      <c r="D778" s="7"/>
      <c r="E778" s="7"/>
      <c r="F778" s="7"/>
      <c r="G778" s="7"/>
      <c r="H778" s="7"/>
      <c r="I778" s="7"/>
      <c r="J778" s="8"/>
      <c r="K778" s="9"/>
    </row>
    <row r="779">
      <c r="A779" s="6"/>
      <c r="B779" s="7"/>
      <c r="C779" s="7"/>
      <c r="D779" s="7"/>
      <c r="E779" s="7"/>
      <c r="F779" s="7"/>
      <c r="G779" s="7"/>
      <c r="H779" s="7"/>
      <c r="I779" s="7"/>
      <c r="J779" s="8"/>
      <c r="K779" s="9"/>
    </row>
    <row r="780">
      <c r="A780" s="6"/>
      <c r="B780" s="7"/>
      <c r="C780" s="7"/>
      <c r="D780" s="7"/>
      <c r="E780" s="7"/>
      <c r="F780" s="7"/>
      <c r="G780" s="7"/>
      <c r="H780" s="7"/>
      <c r="I780" s="7"/>
      <c r="J780" s="8"/>
      <c r="K780" s="9"/>
    </row>
    <row r="781">
      <c r="A781" s="6"/>
      <c r="B781" s="7"/>
      <c r="C781" s="7"/>
      <c r="D781" s="7"/>
      <c r="E781" s="7"/>
      <c r="F781" s="7"/>
      <c r="G781" s="7"/>
      <c r="H781" s="7"/>
      <c r="I781" s="7"/>
      <c r="J781" s="8"/>
      <c r="K781" s="9"/>
    </row>
    <row r="782">
      <c r="A782" s="6"/>
      <c r="B782" s="7"/>
      <c r="C782" s="7"/>
      <c r="D782" s="7"/>
      <c r="E782" s="7"/>
      <c r="F782" s="7"/>
      <c r="G782" s="7"/>
      <c r="H782" s="7"/>
      <c r="I782" s="7"/>
      <c r="J782" s="8"/>
      <c r="K782" s="9"/>
    </row>
    <row r="783">
      <c r="A783" s="6"/>
      <c r="B783" s="7"/>
      <c r="C783" s="7"/>
      <c r="D783" s="7"/>
      <c r="E783" s="7"/>
      <c r="F783" s="7"/>
      <c r="G783" s="7"/>
      <c r="H783" s="7"/>
      <c r="I783" s="7"/>
      <c r="J783" s="8"/>
      <c r="K783" s="9"/>
    </row>
    <row r="784">
      <c r="A784" s="6"/>
      <c r="B784" s="7"/>
      <c r="C784" s="7"/>
      <c r="D784" s="7"/>
      <c r="E784" s="7"/>
      <c r="F784" s="7"/>
      <c r="G784" s="7"/>
      <c r="H784" s="7"/>
      <c r="I784" s="7"/>
      <c r="J784" s="8"/>
      <c r="K784" s="9"/>
    </row>
    <row r="785">
      <c r="A785" s="6"/>
      <c r="B785" s="7"/>
      <c r="C785" s="7"/>
      <c r="D785" s="7"/>
      <c r="E785" s="7"/>
      <c r="F785" s="7"/>
      <c r="G785" s="7"/>
      <c r="H785" s="7"/>
      <c r="I785" s="7"/>
      <c r="J785" s="8"/>
      <c r="K785" s="9"/>
    </row>
    <row r="786">
      <c r="A786" s="6"/>
      <c r="B786" s="7"/>
      <c r="C786" s="7"/>
      <c r="D786" s="7"/>
      <c r="E786" s="7"/>
      <c r="F786" s="7"/>
      <c r="G786" s="7"/>
      <c r="H786" s="7"/>
      <c r="I786" s="7"/>
      <c r="J786" s="8"/>
      <c r="K786" s="9"/>
    </row>
    <row r="787">
      <c r="A787" s="6"/>
      <c r="B787" s="7"/>
      <c r="C787" s="7"/>
      <c r="D787" s="7"/>
      <c r="E787" s="7"/>
      <c r="F787" s="7"/>
      <c r="G787" s="7"/>
      <c r="H787" s="7"/>
      <c r="I787" s="7"/>
      <c r="J787" s="8"/>
      <c r="K787" s="9"/>
    </row>
    <row r="788">
      <c r="A788" s="6"/>
      <c r="B788" s="7"/>
      <c r="C788" s="7"/>
      <c r="D788" s="7"/>
      <c r="E788" s="7"/>
      <c r="F788" s="7"/>
      <c r="G788" s="7"/>
      <c r="H788" s="7"/>
      <c r="I788" s="7"/>
      <c r="J788" s="8"/>
      <c r="K788" s="9"/>
    </row>
    <row r="789">
      <c r="A789" s="6"/>
      <c r="B789" s="7"/>
      <c r="C789" s="7"/>
      <c r="D789" s="7"/>
      <c r="E789" s="7"/>
      <c r="F789" s="7"/>
      <c r="G789" s="7"/>
      <c r="H789" s="7"/>
      <c r="I789" s="7"/>
      <c r="J789" s="8"/>
      <c r="K789" s="9"/>
    </row>
    <row r="790">
      <c r="A790" s="6"/>
      <c r="B790" s="7"/>
      <c r="C790" s="7"/>
      <c r="D790" s="7"/>
      <c r="E790" s="7"/>
      <c r="F790" s="7"/>
      <c r="G790" s="7"/>
      <c r="H790" s="7"/>
      <c r="I790" s="7"/>
      <c r="J790" s="8"/>
      <c r="K790" s="9"/>
    </row>
    <row r="791">
      <c r="A791" s="6"/>
      <c r="B791" s="7"/>
      <c r="C791" s="7"/>
      <c r="D791" s="7"/>
      <c r="E791" s="7"/>
      <c r="F791" s="7"/>
      <c r="G791" s="7"/>
      <c r="H791" s="7"/>
      <c r="I791" s="7"/>
      <c r="J791" s="8"/>
      <c r="K791" s="9"/>
    </row>
    <row r="792">
      <c r="A792" s="6"/>
      <c r="B792" s="7"/>
      <c r="C792" s="7"/>
      <c r="D792" s="7"/>
      <c r="E792" s="7"/>
      <c r="F792" s="7"/>
      <c r="G792" s="7"/>
      <c r="H792" s="7"/>
      <c r="I792" s="7"/>
      <c r="J792" s="8"/>
      <c r="K792" s="9"/>
    </row>
    <row r="793">
      <c r="A793" s="6"/>
      <c r="B793" s="7"/>
      <c r="C793" s="7"/>
      <c r="D793" s="7"/>
      <c r="E793" s="7"/>
      <c r="F793" s="7"/>
      <c r="G793" s="7"/>
      <c r="H793" s="7"/>
      <c r="I793" s="7"/>
      <c r="J793" s="8"/>
      <c r="K793" s="9"/>
    </row>
    <row r="794">
      <c r="A794" s="6"/>
      <c r="B794" s="7"/>
      <c r="C794" s="7"/>
      <c r="D794" s="7"/>
      <c r="E794" s="7"/>
      <c r="F794" s="7"/>
      <c r="G794" s="7"/>
      <c r="H794" s="7"/>
      <c r="I794" s="7"/>
      <c r="J794" s="8"/>
      <c r="K794" s="9"/>
    </row>
    <row r="795">
      <c r="A795" s="6"/>
      <c r="B795" s="7"/>
      <c r="C795" s="7"/>
      <c r="D795" s="7"/>
      <c r="E795" s="7"/>
      <c r="F795" s="7"/>
      <c r="G795" s="7"/>
      <c r="H795" s="7"/>
      <c r="I795" s="7"/>
      <c r="J795" s="8"/>
      <c r="K795" s="9"/>
    </row>
    <row r="796">
      <c r="A796" s="6"/>
      <c r="B796" s="7"/>
      <c r="C796" s="7"/>
      <c r="D796" s="7"/>
      <c r="E796" s="7"/>
      <c r="F796" s="7"/>
      <c r="G796" s="7"/>
      <c r="H796" s="7"/>
      <c r="I796" s="7"/>
      <c r="J796" s="8"/>
      <c r="K796" s="9"/>
    </row>
    <row r="797">
      <c r="A797" s="6"/>
      <c r="B797" s="7"/>
      <c r="C797" s="7"/>
      <c r="D797" s="7"/>
      <c r="E797" s="7"/>
      <c r="F797" s="7"/>
      <c r="G797" s="7"/>
      <c r="H797" s="7"/>
      <c r="I797" s="7"/>
      <c r="J797" s="8"/>
      <c r="K797" s="9"/>
    </row>
    <row r="798">
      <c r="A798" s="6"/>
      <c r="B798" s="7"/>
      <c r="C798" s="7"/>
      <c r="D798" s="7"/>
      <c r="E798" s="7"/>
      <c r="F798" s="7"/>
      <c r="G798" s="7"/>
      <c r="H798" s="7"/>
      <c r="I798" s="7"/>
      <c r="J798" s="8"/>
      <c r="K798" s="9"/>
    </row>
    <row r="799">
      <c r="A799" s="6"/>
      <c r="B799" s="7"/>
      <c r="C799" s="7"/>
      <c r="D799" s="7"/>
      <c r="E799" s="7"/>
      <c r="F799" s="7"/>
      <c r="G799" s="7"/>
      <c r="H799" s="7"/>
      <c r="I799" s="7"/>
      <c r="J799" s="8"/>
      <c r="K799" s="9"/>
    </row>
    <row r="800">
      <c r="A800" s="6"/>
      <c r="B800" s="7"/>
      <c r="C800" s="7"/>
      <c r="D800" s="7"/>
      <c r="E800" s="7"/>
      <c r="F800" s="7"/>
      <c r="G800" s="7"/>
      <c r="H800" s="7"/>
      <c r="I800" s="7"/>
      <c r="J800" s="8"/>
      <c r="K800" s="9"/>
    </row>
    <row r="801">
      <c r="A801" s="6"/>
      <c r="B801" s="7"/>
      <c r="C801" s="7"/>
      <c r="D801" s="7"/>
      <c r="E801" s="7"/>
      <c r="F801" s="7"/>
      <c r="G801" s="7"/>
      <c r="H801" s="7"/>
      <c r="I801" s="7"/>
      <c r="J801" s="8"/>
      <c r="K801" s="9"/>
    </row>
    <row r="802">
      <c r="A802" s="6"/>
      <c r="B802" s="7"/>
      <c r="C802" s="7"/>
      <c r="D802" s="7"/>
      <c r="E802" s="7"/>
      <c r="F802" s="7"/>
      <c r="G802" s="7"/>
      <c r="H802" s="7"/>
      <c r="I802" s="7"/>
      <c r="J802" s="8"/>
      <c r="K802" s="9"/>
    </row>
    <row r="803">
      <c r="A803" s="6"/>
      <c r="B803" s="7"/>
      <c r="C803" s="7"/>
      <c r="D803" s="7"/>
      <c r="E803" s="7"/>
      <c r="F803" s="7"/>
      <c r="G803" s="7"/>
      <c r="H803" s="7"/>
      <c r="I803" s="7"/>
      <c r="J803" s="8"/>
      <c r="K803" s="9"/>
    </row>
    <row r="804">
      <c r="A804" s="6"/>
      <c r="B804" s="7"/>
      <c r="C804" s="7"/>
      <c r="D804" s="7"/>
      <c r="E804" s="7"/>
      <c r="F804" s="7"/>
      <c r="G804" s="7"/>
      <c r="H804" s="7"/>
      <c r="I804" s="7"/>
      <c r="J804" s="8"/>
      <c r="K804" s="9"/>
    </row>
    <row r="805">
      <c r="A805" s="6"/>
      <c r="B805" s="7"/>
      <c r="C805" s="7"/>
      <c r="D805" s="7"/>
      <c r="E805" s="7"/>
      <c r="F805" s="7"/>
      <c r="G805" s="7"/>
      <c r="H805" s="7"/>
      <c r="I805" s="7"/>
      <c r="J805" s="8"/>
      <c r="K805" s="9"/>
    </row>
  </sheetData>
  <autoFilter ref="$A$1:$Z$47"/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2.0"/>
    <col customWidth="1" min="3" max="3" width="12.88"/>
    <col customWidth="1" min="4" max="4" width="21.25"/>
    <col customWidth="1" min="5" max="5" width="18.38"/>
    <col customWidth="1" min="6" max="6" width="51.38"/>
    <col customWidth="1" min="7" max="7" width="9.5"/>
    <col customWidth="1" min="8" max="8" width="29.25"/>
    <col customWidth="1" min="10" max="10" width="19.75"/>
    <col customWidth="1" min="11" max="11" width="20.88"/>
  </cols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1" t="s">
        <v>7</v>
      </c>
      <c r="I1" s="11" t="s">
        <v>8</v>
      </c>
      <c r="J1" s="12" t="s">
        <v>9</v>
      </c>
      <c r="K1" s="1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0"/>
      <c r="B2" s="16"/>
      <c r="C2" s="13" t="s">
        <v>11</v>
      </c>
      <c r="D2" s="17" t="s">
        <v>354</v>
      </c>
      <c r="E2" s="16"/>
      <c r="F2" s="17" t="s">
        <v>355</v>
      </c>
      <c r="G2" s="17" t="s">
        <v>22</v>
      </c>
      <c r="H2" s="17" t="s">
        <v>22</v>
      </c>
      <c r="I2" s="17">
        <v>6.0</v>
      </c>
      <c r="J2" s="16"/>
      <c r="K2" s="16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13"/>
      <c r="B3" s="13"/>
      <c r="C3" s="13" t="s">
        <v>11</v>
      </c>
      <c r="D3" s="13" t="s">
        <v>16</v>
      </c>
      <c r="E3" s="13"/>
      <c r="F3" s="17" t="s">
        <v>356</v>
      </c>
      <c r="G3" s="17" t="s">
        <v>14</v>
      </c>
      <c r="H3" s="17" t="s">
        <v>15</v>
      </c>
      <c r="I3" s="17">
        <v>29.0</v>
      </c>
      <c r="J3" s="13"/>
      <c r="K3" s="13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0"/>
      <c r="B4" s="16"/>
      <c r="C4" s="13" t="s">
        <v>11</v>
      </c>
      <c r="D4" s="14" t="s">
        <v>12</v>
      </c>
      <c r="E4" s="16"/>
      <c r="F4" s="17" t="s">
        <v>357</v>
      </c>
      <c r="G4" s="17" t="s">
        <v>14</v>
      </c>
      <c r="H4" s="17" t="s">
        <v>15</v>
      </c>
      <c r="I4" s="17">
        <v>5.0</v>
      </c>
      <c r="J4" s="16"/>
      <c r="K4" s="16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0"/>
      <c r="B5" s="16"/>
      <c r="C5" s="13" t="s">
        <v>11</v>
      </c>
      <c r="D5" s="17" t="s">
        <v>29</v>
      </c>
      <c r="E5" s="16"/>
      <c r="F5" s="17" t="s">
        <v>358</v>
      </c>
      <c r="G5" s="17" t="s">
        <v>22</v>
      </c>
      <c r="H5" s="17" t="s">
        <v>31</v>
      </c>
      <c r="I5" s="17">
        <v>1.0</v>
      </c>
      <c r="J5" s="16"/>
      <c r="K5" s="16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0"/>
      <c r="B6" s="16"/>
      <c r="C6" s="13" t="s">
        <v>11</v>
      </c>
      <c r="D6" s="17" t="s">
        <v>359</v>
      </c>
      <c r="E6" s="16"/>
      <c r="F6" s="17" t="s">
        <v>360</v>
      </c>
      <c r="G6" s="17" t="s">
        <v>22</v>
      </c>
      <c r="H6" s="17" t="s">
        <v>361</v>
      </c>
      <c r="I6" s="17">
        <v>1.0</v>
      </c>
      <c r="J6" s="16"/>
      <c r="K6" s="16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0"/>
      <c r="B7" s="16"/>
      <c r="C7" s="13" t="s">
        <v>53</v>
      </c>
      <c r="D7" s="17" t="s">
        <v>182</v>
      </c>
      <c r="E7" s="17" t="s">
        <v>183</v>
      </c>
      <c r="F7" s="17" t="s">
        <v>87</v>
      </c>
      <c r="G7" s="17" t="s">
        <v>22</v>
      </c>
      <c r="H7" s="13" t="s">
        <v>185</v>
      </c>
      <c r="I7" s="17">
        <v>1.0</v>
      </c>
      <c r="J7" s="17" t="s">
        <v>61</v>
      </c>
      <c r="K7" s="16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0"/>
      <c r="B8" s="16"/>
      <c r="C8" s="13" t="s">
        <v>53</v>
      </c>
      <c r="D8" s="17" t="s">
        <v>362</v>
      </c>
      <c r="E8" s="13">
        <v>6.18015330923E11</v>
      </c>
      <c r="F8" s="17" t="s">
        <v>55</v>
      </c>
      <c r="G8" s="17" t="s">
        <v>22</v>
      </c>
      <c r="H8" s="17" t="s">
        <v>363</v>
      </c>
      <c r="I8" s="17">
        <v>1.0</v>
      </c>
      <c r="J8" s="13" t="s">
        <v>56</v>
      </c>
      <c r="K8" s="13" t="s">
        <v>56</v>
      </c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0"/>
      <c r="B9" s="16"/>
      <c r="C9" s="13" t="s">
        <v>53</v>
      </c>
      <c r="D9" s="17" t="s">
        <v>86</v>
      </c>
      <c r="E9" s="20">
        <v>6.2504021621E10</v>
      </c>
      <c r="F9" s="17" t="s">
        <v>63</v>
      </c>
      <c r="G9" s="17" t="s">
        <v>22</v>
      </c>
      <c r="H9" s="17" t="s">
        <v>88</v>
      </c>
      <c r="I9" s="17">
        <v>1.0</v>
      </c>
      <c r="J9" s="13" t="s">
        <v>56</v>
      </c>
      <c r="K9" s="13" t="s">
        <v>56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0"/>
      <c r="B10" s="16"/>
      <c r="C10" s="13" t="s">
        <v>53</v>
      </c>
      <c r="D10" s="17" t="s">
        <v>75</v>
      </c>
      <c r="E10" s="24" t="s">
        <v>76</v>
      </c>
      <c r="F10" s="17" t="s">
        <v>364</v>
      </c>
      <c r="G10" s="17" t="s">
        <v>22</v>
      </c>
      <c r="H10" s="17" t="s">
        <v>78</v>
      </c>
      <c r="I10" s="17">
        <v>1.0</v>
      </c>
      <c r="J10" s="13" t="s">
        <v>79</v>
      </c>
      <c r="K10" s="1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0"/>
      <c r="B11" s="16"/>
      <c r="C11" s="13" t="s">
        <v>53</v>
      </c>
      <c r="D11" s="17" t="s">
        <v>65</v>
      </c>
      <c r="E11" s="13" t="s">
        <v>66</v>
      </c>
      <c r="F11" s="17" t="s">
        <v>365</v>
      </c>
      <c r="G11" s="17" t="s">
        <v>22</v>
      </c>
      <c r="H11" s="17" t="s">
        <v>68</v>
      </c>
      <c r="I11" s="17">
        <v>1.0</v>
      </c>
      <c r="J11" s="13" t="s">
        <v>61</v>
      </c>
      <c r="K11" s="13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0"/>
      <c r="B12" s="16"/>
      <c r="C12" s="13" t="s">
        <v>53</v>
      </c>
      <c r="D12" s="19" t="s">
        <v>80</v>
      </c>
      <c r="E12" s="13" t="s">
        <v>81</v>
      </c>
      <c r="F12" s="17" t="s">
        <v>366</v>
      </c>
      <c r="G12" s="17" t="s">
        <v>22</v>
      </c>
      <c r="H12" s="13" t="s">
        <v>83</v>
      </c>
      <c r="I12" s="17">
        <v>5.0</v>
      </c>
      <c r="J12" s="16"/>
      <c r="K12" s="16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0"/>
      <c r="B13" s="16"/>
      <c r="C13" s="13" t="s">
        <v>53</v>
      </c>
      <c r="D13" s="17" t="s">
        <v>367</v>
      </c>
      <c r="E13" s="13" t="s">
        <v>368</v>
      </c>
      <c r="F13" s="17" t="s">
        <v>369</v>
      </c>
      <c r="G13" s="17" t="s">
        <v>22</v>
      </c>
      <c r="H13" s="17" t="s">
        <v>370</v>
      </c>
      <c r="I13" s="17">
        <v>3.0</v>
      </c>
      <c r="J13" s="13" t="s">
        <v>371</v>
      </c>
      <c r="K13" s="13" t="s">
        <v>372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0"/>
      <c r="B14" s="16"/>
      <c r="C14" s="13" t="s">
        <v>92</v>
      </c>
      <c r="D14" s="17" t="s">
        <v>373</v>
      </c>
      <c r="E14" s="13">
        <v>8.30003058E8</v>
      </c>
      <c r="F14" s="17" t="s">
        <v>374</v>
      </c>
      <c r="G14" s="17" t="s">
        <v>14</v>
      </c>
      <c r="H14" s="17" t="s">
        <v>95</v>
      </c>
      <c r="I14" s="17">
        <v>4.0</v>
      </c>
      <c r="J14" s="13" t="s">
        <v>56</v>
      </c>
      <c r="K14" s="13" t="s">
        <v>56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0"/>
      <c r="B15" s="16"/>
      <c r="C15" s="13" t="s">
        <v>98</v>
      </c>
      <c r="D15" s="17" t="s">
        <v>375</v>
      </c>
      <c r="E15" s="13">
        <v>4148.0</v>
      </c>
      <c r="F15" s="17" t="s">
        <v>376</v>
      </c>
      <c r="G15" s="17" t="s">
        <v>14</v>
      </c>
      <c r="H15" s="17" t="s">
        <v>377</v>
      </c>
      <c r="I15" s="17">
        <v>3.0</v>
      </c>
      <c r="J15" s="16"/>
      <c r="K15" s="16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0"/>
      <c r="B16" s="16"/>
      <c r="C16" s="13" t="s">
        <v>98</v>
      </c>
      <c r="D16" s="17" t="s">
        <v>103</v>
      </c>
      <c r="E16" s="17" t="s">
        <v>103</v>
      </c>
      <c r="F16" s="17" t="s">
        <v>378</v>
      </c>
      <c r="G16" s="17" t="s">
        <v>22</v>
      </c>
      <c r="H16" s="17" t="s">
        <v>105</v>
      </c>
      <c r="I16" s="17">
        <v>1.0</v>
      </c>
      <c r="J16" s="16"/>
      <c r="K16" s="16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0"/>
      <c r="B17" s="16"/>
      <c r="C17" s="13" t="s">
        <v>98</v>
      </c>
      <c r="D17" s="17" t="s">
        <v>379</v>
      </c>
      <c r="E17" s="17" t="s">
        <v>380</v>
      </c>
      <c r="F17" s="17" t="s">
        <v>381</v>
      </c>
      <c r="G17" s="17" t="s">
        <v>14</v>
      </c>
      <c r="H17" s="17" t="s">
        <v>377</v>
      </c>
      <c r="I17" s="17">
        <v>6.0</v>
      </c>
      <c r="J17" s="13" t="s">
        <v>382</v>
      </c>
      <c r="K17" s="16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0"/>
      <c r="B18" s="16"/>
      <c r="C18" s="13" t="s">
        <v>110</v>
      </c>
      <c r="D18" s="17" t="s">
        <v>383</v>
      </c>
      <c r="E18" s="17" t="s">
        <v>383</v>
      </c>
      <c r="F18" s="17" t="s">
        <v>139</v>
      </c>
      <c r="G18" s="17" t="s">
        <v>14</v>
      </c>
      <c r="H18" s="17" t="s">
        <v>384</v>
      </c>
      <c r="I18" s="17">
        <v>1.0</v>
      </c>
      <c r="J18" s="16"/>
      <c r="K18" s="16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0"/>
      <c r="B19" s="16"/>
      <c r="C19" s="13" t="s">
        <v>110</v>
      </c>
      <c r="D19" s="17" t="s">
        <v>385</v>
      </c>
      <c r="E19" s="17" t="s">
        <v>385</v>
      </c>
      <c r="F19" s="17" t="s">
        <v>135</v>
      </c>
      <c r="G19" s="17" t="s">
        <v>14</v>
      </c>
      <c r="H19" s="17" t="s">
        <v>384</v>
      </c>
      <c r="I19" s="17">
        <v>1.0</v>
      </c>
      <c r="J19" s="16"/>
      <c r="K19" s="16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0"/>
      <c r="B20" s="16"/>
      <c r="C20" s="13" t="s">
        <v>110</v>
      </c>
      <c r="D20" s="17" t="s">
        <v>386</v>
      </c>
      <c r="E20" s="17" t="s">
        <v>386</v>
      </c>
      <c r="F20" s="17" t="s">
        <v>387</v>
      </c>
      <c r="G20" s="17" t="s">
        <v>22</v>
      </c>
      <c r="H20" s="17" t="s">
        <v>388</v>
      </c>
      <c r="I20" s="17">
        <v>3.0</v>
      </c>
      <c r="J20" s="16"/>
      <c r="K20" s="16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0"/>
      <c r="B21" s="16"/>
      <c r="C21" s="13" t="s">
        <v>110</v>
      </c>
      <c r="D21" s="17" t="s">
        <v>119</v>
      </c>
      <c r="E21" s="17" t="s">
        <v>120</v>
      </c>
      <c r="F21" s="17" t="s">
        <v>389</v>
      </c>
      <c r="G21" s="17" t="s">
        <v>14</v>
      </c>
      <c r="H21" s="13" t="s">
        <v>122</v>
      </c>
      <c r="I21" s="17">
        <v>2.0</v>
      </c>
      <c r="J21" s="16"/>
      <c r="K21" s="16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0"/>
      <c r="B22" s="16"/>
      <c r="C22" s="13" t="s">
        <v>110</v>
      </c>
      <c r="D22" s="17" t="s">
        <v>390</v>
      </c>
      <c r="E22" s="17" t="s">
        <v>390</v>
      </c>
      <c r="F22" s="17" t="s">
        <v>391</v>
      </c>
      <c r="G22" s="17" t="s">
        <v>22</v>
      </c>
      <c r="H22" s="17" t="s">
        <v>392</v>
      </c>
      <c r="I22" s="17">
        <v>5.0</v>
      </c>
      <c r="J22" s="16"/>
      <c r="K22" s="16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0"/>
      <c r="B23" s="16"/>
      <c r="C23" s="13" t="s">
        <v>110</v>
      </c>
      <c r="D23" s="17" t="s">
        <v>393</v>
      </c>
      <c r="E23" s="17" t="s">
        <v>394</v>
      </c>
      <c r="F23" s="17" t="s">
        <v>395</v>
      </c>
      <c r="G23" s="17" t="s">
        <v>22</v>
      </c>
      <c r="H23" s="17" t="s">
        <v>392</v>
      </c>
      <c r="I23" s="17">
        <v>3.0</v>
      </c>
      <c r="J23" s="16"/>
      <c r="K23" s="16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0"/>
      <c r="B24" s="16"/>
      <c r="C24" s="13" t="s">
        <v>110</v>
      </c>
      <c r="D24" s="17" t="s">
        <v>396</v>
      </c>
      <c r="E24" s="17" t="s">
        <v>396</v>
      </c>
      <c r="F24" s="17" t="s">
        <v>397</v>
      </c>
      <c r="G24" s="17" t="s">
        <v>14</v>
      </c>
      <c r="H24" s="17" t="s">
        <v>398</v>
      </c>
      <c r="I24" s="17">
        <v>4.0</v>
      </c>
      <c r="J24" s="16"/>
      <c r="K24" s="16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0"/>
      <c r="B25" s="16"/>
      <c r="C25" s="13" t="s">
        <v>110</v>
      </c>
      <c r="D25" s="17" t="s">
        <v>399</v>
      </c>
      <c r="E25" s="17" t="s">
        <v>399</v>
      </c>
      <c r="F25" s="17" t="s">
        <v>400</v>
      </c>
      <c r="G25" s="17" t="s">
        <v>14</v>
      </c>
      <c r="H25" s="17" t="s">
        <v>401</v>
      </c>
      <c r="I25" s="17">
        <v>2.0</v>
      </c>
      <c r="J25" s="16"/>
      <c r="K25" s="16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0"/>
      <c r="B26" s="16"/>
      <c r="C26" s="13" t="s">
        <v>110</v>
      </c>
      <c r="D26" s="17" t="s">
        <v>402</v>
      </c>
      <c r="E26" s="17" t="s">
        <v>402</v>
      </c>
      <c r="F26" s="17" t="s">
        <v>403</v>
      </c>
      <c r="G26" s="17" t="s">
        <v>22</v>
      </c>
      <c r="H26" s="17" t="s">
        <v>404</v>
      </c>
      <c r="I26" s="17">
        <v>1.0</v>
      </c>
      <c r="J26" s="16"/>
      <c r="K26" s="16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0"/>
      <c r="B27" s="16"/>
      <c r="C27" s="13" t="s">
        <v>110</v>
      </c>
      <c r="D27" s="17" t="s">
        <v>405</v>
      </c>
      <c r="E27" s="17" t="s">
        <v>405</v>
      </c>
      <c r="F27" s="17" t="s">
        <v>406</v>
      </c>
      <c r="G27" s="17" t="s">
        <v>22</v>
      </c>
      <c r="H27" s="17" t="s">
        <v>407</v>
      </c>
      <c r="I27" s="17">
        <v>4.0</v>
      </c>
      <c r="J27" s="16"/>
      <c r="K27" s="16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0"/>
      <c r="B28" s="16"/>
      <c r="C28" s="13" t="s">
        <v>110</v>
      </c>
      <c r="D28" s="17" t="s">
        <v>408</v>
      </c>
      <c r="E28" s="17" t="s">
        <v>408</v>
      </c>
      <c r="F28" s="17" t="s">
        <v>121</v>
      </c>
      <c r="G28" s="17" t="s">
        <v>14</v>
      </c>
      <c r="H28" s="17" t="s">
        <v>401</v>
      </c>
      <c r="I28" s="17">
        <v>1.0</v>
      </c>
      <c r="J28" s="16"/>
      <c r="K28" s="16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0"/>
      <c r="B29" s="16"/>
      <c r="C29" s="13" t="s">
        <v>409</v>
      </c>
      <c r="D29" s="43" t="s">
        <v>410</v>
      </c>
      <c r="E29" s="17" t="s">
        <v>411</v>
      </c>
      <c r="F29" s="17" t="s">
        <v>412</v>
      </c>
      <c r="G29" s="17" t="s">
        <v>22</v>
      </c>
      <c r="H29" s="17" t="s">
        <v>413</v>
      </c>
      <c r="I29" s="17">
        <v>3.0</v>
      </c>
      <c r="J29" s="16"/>
      <c r="K29" s="16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0"/>
      <c r="B30" s="16"/>
      <c r="C30" s="13" t="s">
        <v>32</v>
      </c>
      <c r="D30" s="17" t="s">
        <v>33</v>
      </c>
      <c r="E30" s="17" t="s">
        <v>34</v>
      </c>
      <c r="F30" s="17" t="s">
        <v>414</v>
      </c>
      <c r="G30" s="17" t="s">
        <v>14</v>
      </c>
      <c r="H30" s="17" t="s">
        <v>36</v>
      </c>
      <c r="I30" s="17">
        <v>1.0</v>
      </c>
      <c r="J30" s="16"/>
      <c r="K30" s="16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0"/>
      <c r="B31" s="16"/>
      <c r="C31" s="13" t="s">
        <v>32</v>
      </c>
      <c r="D31" s="17" t="s">
        <v>341</v>
      </c>
      <c r="E31" s="16"/>
      <c r="F31" s="17" t="s">
        <v>415</v>
      </c>
      <c r="G31" s="17" t="s">
        <v>14</v>
      </c>
      <c r="H31" s="17" t="s">
        <v>36</v>
      </c>
      <c r="I31" s="17">
        <v>9.0</v>
      </c>
      <c r="J31" s="16"/>
      <c r="K31" s="16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0"/>
      <c r="B32" s="16"/>
      <c r="C32" s="13" t="s">
        <v>32</v>
      </c>
      <c r="D32" s="17" t="s">
        <v>416</v>
      </c>
      <c r="E32" s="16"/>
      <c r="F32" s="17" t="s">
        <v>417</v>
      </c>
      <c r="G32" s="17" t="s">
        <v>22</v>
      </c>
      <c r="H32" s="17" t="s">
        <v>418</v>
      </c>
      <c r="I32" s="17">
        <v>1.0</v>
      </c>
      <c r="J32" s="16"/>
      <c r="K32" s="16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0"/>
      <c r="B33" s="16"/>
      <c r="C33" s="13" t="s">
        <v>32</v>
      </c>
      <c r="D33" s="17" t="s">
        <v>37</v>
      </c>
      <c r="E33" s="16"/>
      <c r="F33" s="17" t="s">
        <v>419</v>
      </c>
      <c r="G33" s="17" t="s">
        <v>14</v>
      </c>
      <c r="H33" s="17" t="s">
        <v>36</v>
      </c>
      <c r="I33" s="17">
        <v>23.0</v>
      </c>
      <c r="J33" s="16"/>
      <c r="K33" s="16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0"/>
      <c r="B34" s="16"/>
      <c r="C34" s="13" t="s">
        <v>32</v>
      </c>
      <c r="D34" s="17" t="s">
        <v>41</v>
      </c>
      <c r="E34" s="16" t="s">
        <v>34</v>
      </c>
      <c r="F34" s="17" t="s">
        <v>420</v>
      </c>
      <c r="G34" s="17" t="s">
        <v>14</v>
      </c>
      <c r="H34" s="17" t="s">
        <v>36</v>
      </c>
      <c r="I34" s="17">
        <v>19.0</v>
      </c>
      <c r="J34" s="16"/>
      <c r="K34" s="16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0"/>
      <c r="B35" s="16"/>
      <c r="C35" s="13" t="s">
        <v>32</v>
      </c>
      <c r="D35" s="17" t="s">
        <v>421</v>
      </c>
      <c r="E35" s="16"/>
      <c r="F35" s="17" t="s">
        <v>422</v>
      </c>
      <c r="G35" s="17" t="s">
        <v>14</v>
      </c>
      <c r="H35" s="17" t="s">
        <v>423</v>
      </c>
      <c r="I35" s="17">
        <v>6.0</v>
      </c>
      <c r="J35" s="16"/>
      <c r="K35" s="16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0"/>
      <c r="B36" s="16"/>
      <c r="C36" s="13" t="s">
        <v>32</v>
      </c>
      <c r="D36" s="17" t="s">
        <v>424</v>
      </c>
      <c r="E36" s="16"/>
      <c r="F36" s="17" t="s">
        <v>425</v>
      </c>
      <c r="G36" s="17" t="s">
        <v>14</v>
      </c>
      <c r="H36" s="17" t="s">
        <v>36</v>
      </c>
      <c r="I36" s="17">
        <v>4.0</v>
      </c>
      <c r="J36" s="16"/>
      <c r="K36" s="16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0"/>
      <c r="B37" s="16"/>
      <c r="C37" s="13" t="s">
        <v>32</v>
      </c>
      <c r="D37" s="17" t="s">
        <v>426</v>
      </c>
      <c r="E37" s="16"/>
      <c r="F37" s="17" t="s">
        <v>427</v>
      </c>
      <c r="G37" s="17" t="s">
        <v>14</v>
      </c>
      <c r="H37" s="17" t="s">
        <v>36</v>
      </c>
      <c r="I37" s="17">
        <v>1.0</v>
      </c>
      <c r="J37" s="16"/>
      <c r="K37" s="16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0"/>
      <c r="B38" s="16"/>
      <c r="C38" s="13" t="s">
        <v>32</v>
      </c>
      <c r="D38" s="17" t="s">
        <v>428</v>
      </c>
      <c r="E38" s="19" t="s">
        <v>34</v>
      </c>
      <c r="F38" s="17" t="s">
        <v>429</v>
      </c>
      <c r="G38" s="17" t="s">
        <v>14</v>
      </c>
      <c r="H38" s="17" t="s">
        <v>36</v>
      </c>
      <c r="I38" s="17">
        <v>3.0</v>
      </c>
      <c r="J38" s="16"/>
      <c r="K38" s="16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0"/>
      <c r="B39" s="16"/>
      <c r="C39" s="13" t="s">
        <v>32</v>
      </c>
      <c r="D39" s="17" t="s">
        <v>255</v>
      </c>
      <c r="E39" s="16"/>
      <c r="F39" s="17" t="s">
        <v>430</v>
      </c>
      <c r="G39" s="17" t="s">
        <v>14</v>
      </c>
      <c r="H39" s="17" t="s">
        <v>36</v>
      </c>
      <c r="I39" s="17">
        <v>1.0</v>
      </c>
      <c r="J39" s="16"/>
      <c r="K39" s="16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0"/>
      <c r="B40" s="16"/>
      <c r="C40" s="13" t="s">
        <v>431</v>
      </c>
      <c r="D40" s="17" t="s">
        <v>432</v>
      </c>
      <c r="E40" s="16"/>
      <c r="F40" s="17" t="s">
        <v>433</v>
      </c>
      <c r="G40" s="17" t="s">
        <v>22</v>
      </c>
      <c r="H40" s="17" t="s">
        <v>434</v>
      </c>
      <c r="I40" s="17">
        <v>3.0</v>
      </c>
      <c r="J40" s="16"/>
      <c r="K40" s="16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6"/>
      <c r="B41" s="7"/>
      <c r="C41" s="7"/>
      <c r="D41" s="7"/>
      <c r="E41" s="7"/>
      <c r="F41" s="7"/>
      <c r="G41" s="7"/>
      <c r="H41" s="7"/>
      <c r="I41" s="7"/>
      <c r="J41" s="8"/>
      <c r="K41" s="9"/>
    </row>
    <row r="42">
      <c r="A42" s="6"/>
      <c r="B42" s="7"/>
      <c r="C42" s="7"/>
      <c r="D42" s="7"/>
      <c r="E42" s="7"/>
      <c r="F42" s="7"/>
      <c r="G42" s="7"/>
      <c r="H42" s="7"/>
      <c r="I42" s="7"/>
      <c r="J42" s="8"/>
      <c r="K42" s="9"/>
    </row>
    <row r="43">
      <c r="A43" s="6"/>
      <c r="B43" s="7"/>
      <c r="C43" s="7"/>
      <c r="D43" s="7"/>
      <c r="E43" s="7"/>
      <c r="F43" s="7"/>
      <c r="G43" s="7"/>
      <c r="H43" s="7"/>
      <c r="I43" s="7"/>
      <c r="J43" s="8"/>
      <c r="K43" s="9"/>
    </row>
    <row r="44">
      <c r="A44" s="6"/>
      <c r="B44" s="7"/>
      <c r="C44" s="7"/>
      <c r="D44" s="7"/>
      <c r="E44" s="7"/>
      <c r="F44" s="7"/>
      <c r="G44" s="7"/>
      <c r="H44" s="7"/>
      <c r="I44" s="7"/>
      <c r="J44" s="8"/>
      <c r="K44" s="9"/>
    </row>
    <row r="45">
      <c r="A45" s="6"/>
      <c r="B45" s="7"/>
      <c r="C45" s="7"/>
      <c r="D45" s="7"/>
      <c r="E45" s="7"/>
      <c r="F45" s="7"/>
      <c r="G45" s="7"/>
      <c r="H45" s="7"/>
      <c r="I45" s="7"/>
      <c r="J45" s="8"/>
      <c r="K45" s="9"/>
    </row>
    <row r="46">
      <c r="A46" s="6"/>
      <c r="B46" s="7"/>
      <c r="C46" s="7"/>
      <c r="D46" s="7"/>
      <c r="E46" s="7"/>
      <c r="F46" s="7"/>
      <c r="G46" s="7"/>
      <c r="H46" s="7"/>
      <c r="I46" s="7"/>
      <c r="J46" s="8"/>
      <c r="K46" s="9"/>
    </row>
    <row r="47">
      <c r="A47" s="6"/>
      <c r="B47" s="7"/>
      <c r="C47" s="7"/>
      <c r="D47" s="7"/>
      <c r="E47" s="7"/>
      <c r="F47" s="7"/>
      <c r="G47" s="7"/>
      <c r="H47" s="7"/>
      <c r="I47" s="7"/>
      <c r="J47" s="8"/>
      <c r="K47" s="9"/>
    </row>
    <row r="48">
      <c r="A48" s="6"/>
      <c r="B48" s="7"/>
      <c r="C48" s="7"/>
      <c r="D48" s="7"/>
      <c r="E48" s="7"/>
      <c r="F48" s="7"/>
      <c r="G48" s="7"/>
      <c r="H48" s="7"/>
      <c r="I48" s="7"/>
      <c r="J48" s="8"/>
      <c r="K48" s="9"/>
    </row>
    <row r="49">
      <c r="A49" s="6"/>
      <c r="B49" s="7"/>
      <c r="C49" s="7"/>
      <c r="D49" s="7"/>
      <c r="E49" s="7"/>
      <c r="F49" s="7"/>
      <c r="G49" s="7"/>
      <c r="H49" s="7"/>
      <c r="I49" s="7"/>
      <c r="J49" s="8"/>
      <c r="K49" s="9"/>
    </row>
    <row r="50">
      <c r="A50" s="6"/>
      <c r="B50" s="7"/>
      <c r="C50" s="7"/>
      <c r="D50" s="7"/>
      <c r="E50" s="7"/>
      <c r="F50" s="7"/>
      <c r="G50" s="7"/>
      <c r="H50" s="7"/>
      <c r="I50" s="7"/>
      <c r="J50" s="8"/>
      <c r="K50" s="9"/>
    </row>
    <row r="51">
      <c r="A51" s="6"/>
      <c r="B51" s="7"/>
      <c r="C51" s="7"/>
      <c r="D51" s="7"/>
      <c r="E51" s="7"/>
      <c r="F51" s="7"/>
      <c r="G51" s="7"/>
      <c r="H51" s="7"/>
      <c r="I51" s="7"/>
      <c r="J51" s="8"/>
      <c r="K51" s="9"/>
    </row>
    <row r="52">
      <c r="A52" s="6"/>
      <c r="B52" s="7"/>
      <c r="C52" s="7"/>
      <c r="D52" s="7"/>
      <c r="E52" s="7"/>
      <c r="F52" s="7"/>
      <c r="G52" s="7"/>
      <c r="H52" s="7"/>
      <c r="I52" s="7"/>
      <c r="J52" s="8"/>
      <c r="K52" s="9"/>
    </row>
    <row r="53">
      <c r="A53" s="6"/>
      <c r="B53" s="7"/>
      <c r="C53" s="7"/>
      <c r="D53" s="7"/>
      <c r="E53" s="7"/>
      <c r="F53" s="7"/>
      <c r="G53" s="7"/>
      <c r="H53" s="7"/>
      <c r="I53" s="7"/>
      <c r="J53" s="8"/>
      <c r="K53" s="9"/>
    </row>
    <row r="54">
      <c r="A54" s="6"/>
      <c r="B54" s="7"/>
      <c r="C54" s="7"/>
      <c r="D54" s="7"/>
      <c r="E54" s="7"/>
      <c r="F54" s="7"/>
      <c r="G54" s="7"/>
      <c r="H54" s="7"/>
      <c r="I54" s="7"/>
      <c r="J54" s="8"/>
      <c r="K54" s="9"/>
    </row>
    <row r="55">
      <c r="A55" s="6"/>
      <c r="B55" s="7"/>
      <c r="C55" s="7"/>
      <c r="D55" s="7"/>
      <c r="E55" s="7"/>
      <c r="F55" s="7"/>
      <c r="G55" s="7"/>
      <c r="H55" s="7"/>
      <c r="I55" s="7"/>
      <c r="J55" s="8"/>
      <c r="K55" s="9"/>
    </row>
    <row r="56">
      <c r="A56" s="6"/>
      <c r="B56" s="7"/>
      <c r="C56" s="7"/>
      <c r="D56" s="7"/>
      <c r="E56" s="7"/>
      <c r="F56" s="7"/>
      <c r="G56" s="7"/>
      <c r="H56" s="7"/>
      <c r="I56" s="7"/>
      <c r="J56" s="8"/>
      <c r="K56" s="9"/>
    </row>
    <row r="57">
      <c r="A57" s="6"/>
      <c r="B57" s="7"/>
      <c r="C57" s="7"/>
      <c r="D57" s="7"/>
      <c r="E57" s="7"/>
      <c r="F57" s="7"/>
      <c r="G57" s="7"/>
      <c r="H57" s="7"/>
      <c r="I57" s="7"/>
      <c r="J57" s="8"/>
      <c r="K57" s="9"/>
    </row>
    <row r="58">
      <c r="A58" s="6"/>
      <c r="B58" s="7"/>
      <c r="C58" s="7"/>
      <c r="D58" s="7"/>
      <c r="E58" s="7"/>
      <c r="F58" s="7"/>
      <c r="G58" s="7"/>
      <c r="H58" s="7"/>
      <c r="I58" s="7"/>
      <c r="J58" s="8"/>
      <c r="K58" s="9"/>
    </row>
    <row r="59">
      <c r="A59" s="6"/>
      <c r="B59" s="7"/>
      <c r="C59" s="7"/>
      <c r="D59" s="7"/>
      <c r="E59" s="7"/>
      <c r="F59" s="7"/>
      <c r="G59" s="7"/>
      <c r="H59" s="7"/>
      <c r="I59" s="7"/>
      <c r="J59" s="8"/>
      <c r="K59" s="9"/>
    </row>
    <row r="60">
      <c r="A60" s="6"/>
      <c r="B60" s="7"/>
      <c r="C60" s="7"/>
      <c r="D60" s="7"/>
      <c r="E60" s="7"/>
      <c r="F60" s="7"/>
      <c r="G60" s="7"/>
      <c r="H60" s="7"/>
      <c r="I60" s="7"/>
      <c r="J60" s="8"/>
      <c r="K60" s="9"/>
    </row>
    <row r="61">
      <c r="A61" s="6"/>
      <c r="B61" s="7"/>
      <c r="C61" s="7"/>
      <c r="D61" s="7"/>
      <c r="E61" s="7"/>
      <c r="F61" s="7"/>
      <c r="G61" s="7"/>
      <c r="H61" s="7"/>
      <c r="I61" s="7"/>
      <c r="J61" s="8"/>
      <c r="K61" s="9"/>
    </row>
    <row r="62">
      <c r="A62" s="6"/>
      <c r="B62" s="7"/>
      <c r="C62" s="7"/>
      <c r="D62" s="7"/>
      <c r="E62" s="7"/>
      <c r="F62" s="7"/>
      <c r="G62" s="7"/>
      <c r="H62" s="7"/>
      <c r="I62" s="7"/>
      <c r="J62" s="8"/>
      <c r="K62" s="9"/>
    </row>
    <row r="63">
      <c r="A63" s="6"/>
      <c r="B63" s="7"/>
      <c r="C63" s="7"/>
      <c r="D63" s="7"/>
      <c r="E63" s="7"/>
      <c r="F63" s="7"/>
      <c r="G63" s="7"/>
      <c r="H63" s="7"/>
      <c r="I63" s="7"/>
      <c r="J63" s="8"/>
      <c r="K63" s="9"/>
    </row>
    <row r="64">
      <c r="A64" s="6"/>
      <c r="B64" s="7"/>
      <c r="C64" s="7"/>
      <c r="D64" s="7"/>
      <c r="E64" s="7"/>
      <c r="F64" s="7"/>
      <c r="G64" s="7"/>
      <c r="H64" s="7"/>
      <c r="I64" s="7"/>
      <c r="J64" s="8"/>
      <c r="K64" s="9"/>
    </row>
    <row r="65">
      <c r="A65" s="6"/>
      <c r="B65" s="7"/>
      <c r="C65" s="7"/>
      <c r="D65" s="7"/>
      <c r="E65" s="7"/>
      <c r="F65" s="7"/>
      <c r="G65" s="7"/>
      <c r="H65" s="7"/>
      <c r="I65" s="7"/>
      <c r="J65" s="8"/>
      <c r="K65" s="9"/>
    </row>
    <row r="66">
      <c r="A66" s="6"/>
      <c r="B66" s="7"/>
      <c r="C66" s="7"/>
      <c r="D66" s="7"/>
      <c r="E66" s="7"/>
      <c r="F66" s="7"/>
      <c r="G66" s="7"/>
      <c r="H66" s="7"/>
      <c r="I66" s="7"/>
      <c r="J66" s="8"/>
      <c r="K66" s="9"/>
    </row>
    <row r="67">
      <c r="A67" s="6"/>
      <c r="B67" s="7"/>
      <c r="C67" s="7"/>
      <c r="D67" s="7"/>
      <c r="E67" s="7"/>
      <c r="F67" s="7"/>
      <c r="G67" s="7"/>
      <c r="H67" s="7"/>
      <c r="I67" s="7"/>
      <c r="J67" s="8"/>
      <c r="K67" s="9"/>
    </row>
    <row r="68">
      <c r="A68" s="6"/>
      <c r="B68" s="7"/>
      <c r="C68" s="7"/>
      <c r="D68" s="7"/>
      <c r="E68" s="7"/>
      <c r="F68" s="7"/>
      <c r="G68" s="7"/>
      <c r="H68" s="7"/>
      <c r="I68" s="7"/>
      <c r="J68" s="8"/>
      <c r="K68" s="9"/>
    </row>
    <row r="69">
      <c r="A69" s="6"/>
      <c r="B69" s="7"/>
      <c r="C69" s="7"/>
      <c r="D69" s="7"/>
      <c r="E69" s="7"/>
      <c r="F69" s="7"/>
      <c r="G69" s="7"/>
      <c r="H69" s="7"/>
      <c r="I69" s="7"/>
      <c r="J69" s="8"/>
      <c r="K69" s="9"/>
    </row>
    <row r="70">
      <c r="A70" s="6"/>
      <c r="B70" s="7"/>
      <c r="C70" s="7"/>
      <c r="D70" s="7"/>
      <c r="E70" s="7"/>
      <c r="F70" s="7"/>
      <c r="G70" s="7"/>
      <c r="H70" s="7"/>
      <c r="I70" s="7"/>
      <c r="J70" s="8"/>
      <c r="K70" s="9"/>
    </row>
    <row r="71">
      <c r="A71" s="6"/>
      <c r="B71" s="7"/>
      <c r="C71" s="7"/>
      <c r="D71" s="7"/>
      <c r="E71" s="7"/>
      <c r="F71" s="7"/>
      <c r="G71" s="7"/>
      <c r="H71" s="7"/>
      <c r="I71" s="7"/>
      <c r="J71" s="8"/>
      <c r="K71" s="9"/>
    </row>
    <row r="72">
      <c r="A72" s="6"/>
      <c r="B72" s="7"/>
      <c r="C72" s="7"/>
      <c r="D72" s="7"/>
      <c r="E72" s="7"/>
      <c r="F72" s="7"/>
      <c r="G72" s="7"/>
      <c r="H72" s="7"/>
      <c r="I72" s="7"/>
      <c r="J72" s="8"/>
      <c r="K72" s="9"/>
    </row>
    <row r="73">
      <c r="A73" s="6"/>
      <c r="B73" s="7"/>
      <c r="C73" s="7"/>
      <c r="D73" s="7"/>
      <c r="E73" s="7"/>
      <c r="F73" s="7"/>
      <c r="G73" s="7"/>
      <c r="H73" s="7"/>
      <c r="I73" s="7"/>
      <c r="J73" s="8"/>
      <c r="K73" s="9"/>
    </row>
    <row r="74">
      <c r="A74" s="6"/>
      <c r="B74" s="7"/>
      <c r="C74" s="7"/>
      <c r="D74" s="7"/>
      <c r="E74" s="7"/>
      <c r="F74" s="7"/>
      <c r="G74" s="7"/>
      <c r="H74" s="7"/>
      <c r="I74" s="7"/>
      <c r="J74" s="8"/>
      <c r="K74" s="9"/>
    </row>
    <row r="75">
      <c r="A75" s="6"/>
      <c r="B75" s="7"/>
      <c r="C75" s="7"/>
      <c r="D75" s="7"/>
      <c r="E75" s="7"/>
      <c r="F75" s="7"/>
      <c r="G75" s="7"/>
      <c r="H75" s="7"/>
      <c r="I75" s="7"/>
      <c r="J75" s="8"/>
      <c r="K75" s="9"/>
    </row>
    <row r="76">
      <c r="A76" s="6"/>
      <c r="B76" s="7"/>
      <c r="C76" s="7"/>
      <c r="D76" s="7"/>
      <c r="E76" s="7"/>
      <c r="F76" s="7"/>
      <c r="G76" s="7"/>
      <c r="H76" s="7"/>
      <c r="I76" s="7"/>
      <c r="J76" s="8"/>
      <c r="K76" s="9"/>
    </row>
    <row r="77">
      <c r="A77" s="6"/>
      <c r="B77" s="7"/>
      <c r="C77" s="7"/>
      <c r="D77" s="7"/>
      <c r="E77" s="7"/>
      <c r="F77" s="7"/>
      <c r="G77" s="7"/>
      <c r="H77" s="7"/>
      <c r="I77" s="7"/>
      <c r="J77" s="8"/>
      <c r="K77" s="9"/>
    </row>
    <row r="78">
      <c r="A78" s="6"/>
      <c r="B78" s="7"/>
      <c r="C78" s="7"/>
      <c r="D78" s="7"/>
      <c r="E78" s="7"/>
      <c r="F78" s="7"/>
      <c r="G78" s="7"/>
      <c r="H78" s="7"/>
      <c r="I78" s="7"/>
      <c r="J78" s="8"/>
      <c r="K78" s="9"/>
    </row>
    <row r="79">
      <c r="A79" s="6"/>
      <c r="B79" s="7"/>
      <c r="C79" s="7"/>
      <c r="D79" s="7"/>
      <c r="E79" s="7"/>
      <c r="F79" s="7"/>
      <c r="G79" s="7"/>
      <c r="H79" s="7"/>
      <c r="I79" s="7"/>
      <c r="J79" s="8"/>
      <c r="K79" s="9"/>
    </row>
    <row r="80">
      <c r="A80" s="6"/>
      <c r="B80" s="7"/>
      <c r="C80" s="7"/>
      <c r="D80" s="7"/>
      <c r="E80" s="7"/>
      <c r="F80" s="7"/>
      <c r="G80" s="7"/>
      <c r="H80" s="7"/>
      <c r="I80" s="7"/>
      <c r="J80" s="8"/>
      <c r="K80" s="9"/>
    </row>
    <row r="81">
      <c r="A81" s="6"/>
      <c r="B81" s="7"/>
      <c r="C81" s="7"/>
      <c r="D81" s="7"/>
      <c r="E81" s="7"/>
      <c r="F81" s="7"/>
      <c r="G81" s="7"/>
      <c r="H81" s="7"/>
      <c r="I81" s="7"/>
      <c r="J81" s="8"/>
      <c r="K81" s="9"/>
    </row>
    <row r="82">
      <c r="A82" s="6"/>
      <c r="B82" s="7"/>
      <c r="C82" s="7"/>
      <c r="D82" s="7"/>
      <c r="E82" s="7"/>
      <c r="F82" s="7"/>
      <c r="G82" s="7"/>
      <c r="H82" s="7"/>
      <c r="I82" s="7"/>
      <c r="J82" s="8"/>
      <c r="K82" s="9"/>
    </row>
    <row r="83">
      <c r="A83" s="6"/>
      <c r="B83" s="7"/>
      <c r="C83" s="7"/>
      <c r="D83" s="7"/>
      <c r="E83" s="7"/>
      <c r="F83" s="7"/>
      <c r="G83" s="7"/>
      <c r="H83" s="7"/>
      <c r="I83" s="7"/>
      <c r="J83" s="8"/>
      <c r="K83" s="9"/>
    </row>
    <row r="84">
      <c r="A84" s="6"/>
      <c r="B84" s="7"/>
      <c r="C84" s="7"/>
      <c r="D84" s="7"/>
      <c r="E84" s="7"/>
      <c r="F84" s="7"/>
      <c r="G84" s="7"/>
      <c r="H84" s="7"/>
      <c r="I84" s="7"/>
      <c r="J84" s="8"/>
      <c r="K84" s="9"/>
    </row>
    <row r="85">
      <c r="A85" s="6"/>
      <c r="B85" s="7"/>
      <c r="C85" s="7"/>
      <c r="D85" s="7"/>
      <c r="E85" s="7"/>
      <c r="F85" s="7"/>
      <c r="G85" s="7"/>
      <c r="H85" s="7"/>
      <c r="I85" s="7"/>
      <c r="J85" s="8"/>
      <c r="K85" s="9"/>
    </row>
    <row r="86">
      <c r="A86" s="6"/>
      <c r="B86" s="7"/>
      <c r="C86" s="7"/>
      <c r="D86" s="7"/>
      <c r="E86" s="7"/>
      <c r="F86" s="7"/>
      <c r="G86" s="7"/>
      <c r="H86" s="7"/>
      <c r="I86" s="7"/>
      <c r="J86" s="8"/>
      <c r="K86" s="9"/>
    </row>
    <row r="87">
      <c r="A87" s="6"/>
      <c r="B87" s="7"/>
      <c r="C87" s="7"/>
      <c r="D87" s="7"/>
      <c r="E87" s="7"/>
      <c r="F87" s="7"/>
      <c r="G87" s="7"/>
      <c r="H87" s="7"/>
      <c r="I87" s="7"/>
      <c r="J87" s="8"/>
      <c r="K87" s="9"/>
    </row>
    <row r="88">
      <c r="A88" s="6"/>
      <c r="B88" s="7"/>
      <c r="C88" s="7"/>
      <c r="D88" s="7"/>
      <c r="E88" s="7"/>
      <c r="F88" s="7"/>
      <c r="G88" s="7"/>
      <c r="H88" s="7"/>
      <c r="I88" s="7"/>
      <c r="J88" s="8"/>
      <c r="K88" s="9"/>
    </row>
    <row r="89">
      <c r="A89" s="6"/>
      <c r="B89" s="7"/>
      <c r="C89" s="7"/>
      <c r="D89" s="7"/>
      <c r="E89" s="7"/>
      <c r="F89" s="7"/>
      <c r="G89" s="7"/>
      <c r="H89" s="7"/>
      <c r="I89" s="7"/>
      <c r="J89" s="8"/>
      <c r="K89" s="9"/>
    </row>
    <row r="90">
      <c r="A90" s="6"/>
      <c r="B90" s="7"/>
      <c r="C90" s="7"/>
      <c r="D90" s="7"/>
      <c r="E90" s="7"/>
      <c r="F90" s="7"/>
      <c r="G90" s="7"/>
      <c r="H90" s="7"/>
      <c r="I90" s="7"/>
      <c r="J90" s="8"/>
      <c r="K90" s="9"/>
    </row>
    <row r="91">
      <c r="A91" s="6"/>
      <c r="B91" s="7"/>
      <c r="C91" s="7"/>
      <c r="D91" s="7"/>
      <c r="E91" s="7"/>
      <c r="F91" s="7"/>
      <c r="G91" s="7"/>
      <c r="H91" s="7"/>
      <c r="I91" s="7"/>
      <c r="J91" s="8"/>
      <c r="K91" s="9"/>
    </row>
    <row r="92">
      <c r="A92" s="6"/>
      <c r="B92" s="7"/>
      <c r="C92" s="7"/>
      <c r="D92" s="7"/>
      <c r="E92" s="7"/>
      <c r="F92" s="7"/>
      <c r="G92" s="7"/>
      <c r="H92" s="7"/>
      <c r="I92" s="7"/>
      <c r="J92" s="8"/>
      <c r="K92" s="9"/>
    </row>
    <row r="93">
      <c r="A93" s="6"/>
      <c r="B93" s="7"/>
      <c r="C93" s="7"/>
      <c r="D93" s="7"/>
      <c r="E93" s="7"/>
      <c r="F93" s="7"/>
      <c r="G93" s="7"/>
      <c r="H93" s="7"/>
      <c r="I93" s="7"/>
      <c r="J93" s="8"/>
      <c r="K93" s="9"/>
    </row>
    <row r="94">
      <c r="A94" s="6"/>
      <c r="B94" s="7"/>
      <c r="C94" s="7"/>
      <c r="D94" s="7"/>
      <c r="E94" s="7"/>
      <c r="F94" s="7"/>
      <c r="G94" s="7"/>
      <c r="H94" s="7"/>
      <c r="I94" s="7"/>
      <c r="J94" s="8"/>
      <c r="K94" s="9"/>
    </row>
    <row r="95">
      <c r="A95" s="6"/>
      <c r="B95" s="7"/>
      <c r="C95" s="7"/>
      <c r="D95" s="7"/>
      <c r="E95" s="7"/>
      <c r="F95" s="7"/>
      <c r="G95" s="7"/>
      <c r="H95" s="7"/>
      <c r="I95" s="7"/>
      <c r="J95" s="8"/>
      <c r="K95" s="9"/>
    </row>
    <row r="96">
      <c r="A96" s="6"/>
      <c r="B96" s="7"/>
      <c r="C96" s="7"/>
      <c r="D96" s="7"/>
      <c r="E96" s="7"/>
      <c r="F96" s="7"/>
      <c r="G96" s="7"/>
      <c r="H96" s="7"/>
      <c r="I96" s="7"/>
      <c r="J96" s="8"/>
      <c r="K96" s="9"/>
    </row>
    <row r="97">
      <c r="A97" s="6"/>
      <c r="B97" s="7"/>
      <c r="C97" s="7"/>
      <c r="D97" s="7"/>
      <c r="E97" s="7"/>
      <c r="F97" s="7"/>
      <c r="G97" s="7"/>
      <c r="H97" s="7"/>
      <c r="I97" s="7"/>
      <c r="J97" s="8"/>
      <c r="K97" s="9"/>
    </row>
    <row r="98">
      <c r="A98" s="6"/>
      <c r="B98" s="7"/>
      <c r="C98" s="7"/>
      <c r="D98" s="7"/>
      <c r="E98" s="7"/>
      <c r="F98" s="7"/>
      <c r="G98" s="7"/>
      <c r="H98" s="7"/>
      <c r="I98" s="7"/>
      <c r="J98" s="8"/>
      <c r="K98" s="9"/>
    </row>
    <row r="99">
      <c r="A99" s="6"/>
      <c r="B99" s="7"/>
      <c r="C99" s="7"/>
      <c r="D99" s="7"/>
      <c r="E99" s="7"/>
      <c r="F99" s="7"/>
      <c r="G99" s="7"/>
      <c r="H99" s="7"/>
      <c r="I99" s="7"/>
      <c r="J99" s="8"/>
      <c r="K99" s="9"/>
    </row>
    <row r="100">
      <c r="A100" s="6"/>
      <c r="B100" s="7"/>
      <c r="C100" s="7"/>
      <c r="D100" s="7"/>
      <c r="E100" s="7"/>
      <c r="F100" s="7"/>
      <c r="G100" s="7"/>
      <c r="H100" s="7"/>
      <c r="I100" s="7"/>
      <c r="J100" s="8"/>
      <c r="K100" s="9"/>
    </row>
    <row r="101">
      <c r="A101" s="6"/>
      <c r="B101" s="7"/>
      <c r="C101" s="7"/>
      <c r="D101" s="7"/>
      <c r="E101" s="7"/>
      <c r="F101" s="7"/>
      <c r="G101" s="7"/>
      <c r="H101" s="7"/>
      <c r="I101" s="7"/>
      <c r="J101" s="8"/>
      <c r="K101" s="9"/>
    </row>
    <row r="102">
      <c r="A102" s="6"/>
      <c r="B102" s="7"/>
      <c r="C102" s="7"/>
      <c r="D102" s="7"/>
      <c r="E102" s="7"/>
      <c r="F102" s="7"/>
      <c r="G102" s="7"/>
      <c r="H102" s="7"/>
      <c r="I102" s="7"/>
      <c r="J102" s="8"/>
      <c r="K102" s="9"/>
    </row>
    <row r="103">
      <c r="A103" s="6"/>
      <c r="B103" s="7"/>
      <c r="C103" s="7"/>
      <c r="D103" s="7"/>
      <c r="E103" s="7"/>
      <c r="F103" s="7"/>
      <c r="G103" s="7"/>
      <c r="H103" s="7"/>
      <c r="I103" s="7"/>
      <c r="J103" s="8"/>
      <c r="K103" s="9"/>
    </row>
    <row r="104">
      <c r="A104" s="6"/>
      <c r="B104" s="7"/>
      <c r="C104" s="7"/>
      <c r="D104" s="7"/>
      <c r="E104" s="7"/>
      <c r="F104" s="7"/>
      <c r="G104" s="7"/>
      <c r="H104" s="7"/>
      <c r="I104" s="7"/>
      <c r="J104" s="8"/>
      <c r="K104" s="9"/>
    </row>
    <row r="105">
      <c r="A105" s="6"/>
      <c r="B105" s="7"/>
      <c r="C105" s="7"/>
      <c r="D105" s="7"/>
      <c r="E105" s="7"/>
      <c r="F105" s="7"/>
      <c r="G105" s="7"/>
      <c r="H105" s="7"/>
      <c r="I105" s="7"/>
      <c r="J105" s="8"/>
      <c r="K105" s="9"/>
    </row>
    <row r="106">
      <c r="A106" s="6"/>
      <c r="B106" s="7"/>
      <c r="C106" s="7"/>
      <c r="D106" s="7"/>
      <c r="E106" s="7"/>
      <c r="F106" s="7"/>
      <c r="G106" s="7"/>
      <c r="H106" s="7"/>
      <c r="I106" s="7"/>
      <c r="J106" s="8"/>
      <c r="K106" s="9"/>
    </row>
    <row r="107">
      <c r="A107" s="6"/>
      <c r="B107" s="7"/>
      <c r="C107" s="7"/>
      <c r="D107" s="7"/>
      <c r="E107" s="7"/>
      <c r="F107" s="7"/>
      <c r="G107" s="7"/>
      <c r="H107" s="7"/>
      <c r="I107" s="7"/>
      <c r="J107" s="8"/>
      <c r="K107" s="9"/>
    </row>
    <row r="108">
      <c r="A108" s="6"/>
      <c r="B108" s="7"/>
      <c r="C108" s="7"/>
      <c r="D108" s="7"/>
      <c r="E108" s="7"/>
      <c r="F108" s="7"/>
      <c r="G108" s="7"/>
      <c r="H108" s="7"/>
      <c r="I108" s="7"/>
      <c r="J108" s="8"/>
      <c r="K108" s="9"/>
    </row>
    <row r="109">
      <c r="A109" s="6"/>
      <c r="B109" s="7"/>
      <c r="C109" s="7"/>
      <c r="D109" s="7"/>
      <c r="E109" s="7"/>
      <c r="F109" s="7"/>
      <c r="G109" s="7"/>
      <c r="H109" s="7"/>
      <c r="I109" s="7"/>
      <c r="J109" s="8"/>
      <c r="K109" s="9"/>
    </row>
    <row r="110">
      <c r="A110" s="6"/>
      <c r="B110" s="7"/>
      <c r="C110" s="7"/>
      <c r="D110" s="7"/>
      <c r="E110" s="7"/>
      <c r="F110" s="7"/>
      <c r="G110" s="7"/>
      <c r="H110" s="7"/>
      <c r="I110" s="7"/>
      <c r="J110" s="8"/>
      <c r="K110" s="9"/>
    </row>
    <row r="111">
      <c r="A111" s="6"/>
      <c r="B111" s="7"/>
      <c r="C111" s="7"/>
      <c r="D111" s="7"/>
      <c r="E111" s="7"/>
      <c r="F111" s="7"/>
      <c r="G111" s="7"/>
      <c r="H111" s="7"/>
      <c r="I111" s="7"/>
      <c r="J111" s="8"/>
      <c r="K111" s="9"/>
    </row>
    <row r="112">
      <c r="A112" s="6"/>
      <c r="B112" s="7"/>
      <c r="C112" s="7"/>
      <c r="D112" s="7"/>
      <c r="E112" s="7"/>
      <c r="F112" s="7"/>
      <c r="G112" s="7"/>
      <c r="H112" s="7"/>
      <c r="I112" s="7"/>
      <c r="J112" s="8"/>
      <c r="K112" s="9"/>
    </row>
    <row r="113">
      <c r="A113" s="6"/>
      <c r="B113" s="7"/>
      <c r="C113" s="7"/>
      <c r="D113" s="7"/>
      <c r="E113" s="7"/>
      <c r="F113" s="7"/>
      <c r="G113" s="7"/>
      <c r="H113" s="7"/>
      <c r="I113" s="7"/>
      <c r="J113" s="8"/>
      <c r="K113" s="9"/>
    </row>
    <row r="114">
      <c r="A114" s="6"/>
      <c r="B114" s="7"/>
      <c r="C114" s="7"/>
      <c r="D114" s="7"/>
      <c r="E114" s="7"/>
      <c r="F114" s="7"/>
      <c r="G114" s="7"/>
      <c r="H114" s="7"/>
      <c r="I114" s="7"/>
      <c r="J114" s="8"/>
      <c r="K114" s="9"/>
    </row>
    <row r="115">
      <c r="A115" s="6"/>
      <c r="B115" s="7"/>
      <c r="C115" s="7"/>
      <c r="D115" s="7"/>
      <c r="E115" s="7"/>
      <c r="F115" s="7"/>
      <c r="G115" s="7"/>
      <c r="H115" s="7"/>
      <c r="I115" s="7"/>
      <c r="J115" s="8"/>
      <c r="K115" s="9"/>
    </row>
    <row r="116">
      <c r="A116" s="6"/>
      <c r="B116" s="7"/>
      <c r="C116" s="7"/>
      <c r="D116" s="7"/>
      <c r="E116" s="7"/>
      <c r="F116" s="7"/>
      <c r="G116" s="7"/>
      <c r="H116" s="7"/>
      <c r="I116" s="7"/>
      <c r="J116" s="8"/>
      <c r="K116" s="9"/>
    </row>
    <row r="117">
      <c r="A117" s="6"/>
      <c r="B117" s="7"/>
      <c r="C117" s="7"/>
      <c r="D117" s="7"/>
      <c r="E117" s="7"/>
      <c r="F117" s="7"/>
      <c r="G117" s="7"/>
      <c r="H117" s="7"/>
      <c r="I117" s="7"/>
      <c r="J117" s="8"/>
      <c r="K117" s="9"/>
    </row>
    <row r="118">
      <c r="A118" s="6"/>
      <c r="B118" s="7"/>
      <c r="C118" s="7"/>
      <c r="D118" s="7"/>
      <c r="E118" s="7"/>
      <c r="F118" s="7"/>
      <c r="G118" s="7"/>
      <c r="H118" s="7"/>
      <c r="I118" s="7"/>
      <c r="J118" s="8"/>
      <c r="K118" s="9"/>
    </row>
    <row r="119">
      <c r="A119" s="6"/>
      <c r="B119" s="7"/>
      <c r="C119" s="7"/>
      <c r="D119" s="7"/>
      <c r="E119" s="7"/>
      <c r="F119" s="7"/>
      <c r="G119" s="7"/>
      <c r="H119" s="7"/>
      <c r="I119" s="7"/>
      <c r="J119" s="8"/>
      <c r="K119" s="9"/>
    </row>
    <row r="120">
      <c r="A120" s="6"/>
      <c r="B120" s="7"/>
      <c r="C120" s="7"/>
      <c r="D120" s="7"/>
      <c r="E120" s="7"/>
      <c r="F120" s="7"/>
      <c r="G120" s="7"/>
      <c r="H120" s="7"/>
      <c r="I120" s="7"/>
      <c r="J120" s="8"/>
      <c r="K120" s="9"/>
    </row>
    <row r="121">
      <c r="A121" s="6"/>
      <c r="B121" s="7"/>
      <c r="C121" s="7"/>
      <c r="D121" s="7"/>
      <c r="E121" s="7"/>
      <c r="F121" s="7"/>
      <c r="G121" s="7"/>
      <c r="H121" s="7"/>
      <c r="I121" s="7"/>
      <c r="J121" s="8"/>
      <c r="K121" s="9"/>
    </row>
    <row r="122">
      <c r="A122" s="6"/>
      <c r="B122" s="7"/>
      <c r="C122" s="7"/>
      <c r="D122" s="7"/>
      <c r="E122" s="7"/>
      <c r="F122" s="7"/>
      <c r="G122" s="7"/>
      <c r="H122" s="7"/>
      <c r="I122" s="7"/>
      <c r="J122" s="8"/>
      <c r="K122" s="9"/>
    </row>
    <row r="123">
      <c r="A123" s="6"/>
      <c r="B123" s="7"/>
      <c r="C123" s="7"/>
      <c r="D123" s="7"/>
      <c r="E123" s="7"/>
      <c r="F123" s="7"/>
      <c r="G123" s="7"/>
      <c r="H123" s="7"/>
      <c r="I123" s="7"/>
      <c r="J123" s="8"/>
      <c r="K123" s="9"/>
    </row>
    <row r="124">
      <c r="A124" s="6"/>
      <c r="B124" s="7"/>
      <c r="C124" s="7"/>
      <c r="D124" s="7"/>
      <c r="E124" s="7"/>
      <c r="F124" s="7"/>
      <c r="G124" s="7"/>
      <c r="H124" s="7"/>
      <c r="I124" s="7"/>
      <c r="J124" s="8"/>
      <c r="K124" s="9"/>
    </row>
    <row r="125">
      <c r="A125" s="6"/>
      <c r="B125" s="7"/>
      <c r="C125" s="7"/>
      <c r="D125" s="7"/>
      <c r="E125" s="7"/>
      <c r="F125" s="7"/>
      <c r="G125" s="7"/>
      <c r="H125" s="7"/>
      <c r="I125" s="7"/>
      <c r="J125" s="8"/>
      <c r="K125" s="9"/>
    </row>
    <row r="126">
      <c r="A126" s="6"/>
      <c r="B126" s="7"/>
      <c r="C126" s="7"/>
      <c r="D126" s="7"/>
      <c r="E126" s="7"/>
      <c r="F126" s="7"/>
      <c r="G126" s="7"/>
      <c r="H126" s="7"/>
      <c r="I126" s="7"/>
      <c r="J126" s="8"/>
      <c r="K126" s="9"/>
    </row>
    <row r="127">
      <c r="A127" s="6"/>
      <c r="B127" s="7"/>
      <c r="C127" s="7"/>
      <c r="D127" s="7"/>
      <c r="E127" s="7"/>
      <c r="F127" s="7"/>
      <c r="G127" s="7"/>
      <c r="H127" s="7"/>
      <c r="I127" s="7"/>
      <c r="J127" s="8"/>
      <c r="K127" s="9"/>
    </row>
    <row r="128">
      <c r="A128" s="6"/>
      <c r="B128" s="7"/>
      <c r="C128" s="7"/>
      <c r="D128" s="7"/>
      <c r="E128" s="7"/>
      <c r="F128" s="7"/>
      <c r="G128" s="7"/>
      <c r="H128" s="7"/>
      <c r="I128" s="7"/>
      <c r="J128" s="8"/>
      <c r="K128" s="9"/>
    </row>
    <row r="129">
      <c r="A129" s="6"/>
      <c r="B129" s="7"/>
      <c r="C129" s="7"/>
      <c r="D129" s="7"/>
      <c r="E129" s="7"/>
      <c r="F129" s="7"/>
      <c r="G129" s="7"/>
      <c r="H129" s="7"/>
      <c r="I129" s="7"/>
      <c r="J129" s="8"/>
      <c r="K129" s="9"/>
    </row>
    <row r="130">
      <c r="A130" s="6"/>
      <c r="B130" s="7"/>
      <c r="C130" s="7"/>
      <c r="D130" s="7"/>
      <c r="E130" s="7"/>
      <c r="F130" s="7"/>
      <c r="G130" s="7"/>
      <c r="H130" s="7"/>
      <c r="I130" s="7"/>
      <c r="J130" s="8"/>
      <c r="K130" s="9"/>
    </row>
    <row r="131">
      <c r="A131" s="6"/>
      <c r="B131" s="7"/>
      <c r="C131" s="7"/>
      <c r="D131" s="7"/>
      <c r="E131" s="7"/>
      <c r="F131" s="7"/>
      <c r="G131" s="7"/>
      <c r="H131" s="7"/>
      <c r="I131" s="7"/>
      <c r="J131" s="8"/>
      <c r="K131" s="9"/>
    </row>
    <row r="132">
      <c r="A132" s="6"/>
      <c r="B132" s="7"/>
      <c r="C132" s="7"/>
      <c r="D132" s="7"/>
      <c r="E132" s="7"/>
      <c r="F132" s="7"/>
      <c r="G132" s="7"/>
      <c r="H132" s="7"/>
      <c r="I132" s="7"/>
      <c r="J132" s="8"/>
      <c r="K132" s="9"/>
    </row>
    <row r="133">
      <c r="A133" s="6"/>
      <c r="B133" s="7"/>
      <c r="C133" s="7"/>
      <c r="D133" s="7"/>
      <c r="E133" s="7"/>
      <c r="F133" s="7"/>
      <c r="G133" s="7"/>
      <c r="H133" s="7"/>
      <c r="I133" s="7"/>
      <c r="J133" s="8"/>
      <c r="K133" s="9"/>
    </row>
    <row r="134">
      <c r="A134" s="6"/>
      <c r="B134" s="7"/>
      <c r="C134" s="7"/>
      <c r="D134" s="7"/>
      <c r="E134" s="7"/>
      <c r="F134" s="7"/>
      <c r="G134" s="7"/>
      <c r="H134" s="7"/>
      <c r="I134" s="7"/>
      <c r="J134" s="8"/>
      <c r="K134" s="9"/>
    </row>
    <row r="135">
      <c r="A135" s="6"/>
      <c r="B135" s="7"/>
      <c r="C135" s="7"/>
      <c r="D135" s="7"/>
      <c r="E135" s="7"/>
      <c r="F135" s="7"/>
      <c r="G135" s="7"/>
      <c r="H135" s="7"/>
      <c r="I135" s="7"/>
      <c r="J135" s="8"/>
      <c r="K135" s="9"/>
    </row>
    <row r="136">
      <c r="A136" s="6"/>
      <c r="B136" s="7"/>
      <c r="C136" s="7"/>
      <c r="D136" s="7"/>
      <c r="E136" s="7"/>
      <c r="F136" s="7"/>
      <c r="G136" s="7"/>
      <c r="H136" s="7"/>
      <c r="I136" s="7"/>
      <c r="J136" s="8"/>
      <c r="K136" s="9"/>
    </row>
    <row r="137">
      <c r="A137" s="6"/>
      <c r="B137" s="7"/>
      <c r="C137" s="7"/>
      <c r="D137" s="7"/>
      <c r="E137" s="7"/>
      <c r="F137" s="7"/>
      <c r="G137" s="7"/>
      <c r="H137" s="7"/>
      <c r="I137" s="7"/>
      <c r="J137" s="8"/>
      <c r="K137" s="9"/>
    </row>
    <row r="138">
      <c r="A138" s="6"/>
      <c r="B138" s="7"/>
      <c r="C138" s="7"/>
      <c r="D138" s="7"/>
      <c r="E138" s="7"/>
      <c r="F138" s="7"/>
      <c r="G138" s="7"/>
      <c r="H138" s="7"/>
      <c r="I138" s="7"/>
      <c r="J138" s="8"/>
      <c r="K138" s="9"/>
    </row>
    <row r="139">
      <c r="A139" s="6"/>
      <c r="B139" s="7"/>
      <c r="C139" s="7"/>
      <c r="D139" s="7"/>
      <c r="E139" s="7"/>
      <c r="F139" s="7"/>
      <c r="G139" s="7"/>
      <c r="H139" s="7"/>
      <c r="I139" s="7"/>
      <c r="J139" s="8"/>
      <c r="K139" s="9"/>
    </row>
    <row r="140">
      <c r="A140" s="6"/>
      <c r="B140" s="7"/>
      <c r="C140" s="7"/>
      <c r="D140" s="7"/>
      <c r="E140" s="7"/>
      <c r="F140" s="7"/>
      <c r="G140" s="7"/>
      <c r="H140" s="7"/>
      <c r="I140" s="7"/>
      <c r="J140" s="8"/>
      <c r="K140" s="9"/>
    </row>
    <row r="141">
      <c r="A141" s="6"/>
      <c r="B141" s="7"/>
      <c r="C141" s="7"/>
      <c r="D141" s="7"/>
      <c r="E141" s="7"/>
      <c r="F141" s="7"/>
      <c r="G141" s="7"/>
      <c r="H141" s="7"/>
      <c r="I141" s="7"/>
      <c r="J141" s="8"/>
      <c r="K141" s="9"/>
    </row>
    <row r="142">
      <c r="A142" s="6"/>
      <c r="B142" s="7"/>
      <c r="C142" s="7"/>
      <c r="D142" s="7"/>
      <c r="E142" s="7"/>
      <c r="F142" s="7"/>
      <c r="G142" s="7"/>
      <c r="H142" s="7"/>
      <c r="I142" s="7"/>
      <c r="J142" s="8"/>
      <c r="K142" s="9"/>
    </row>
    <row r="143">
      <c r="A143" s="6"/>
      <c r="B143" s="7"/>
      <c r="C143" s="7"/>
      <c r="D143" s="7"/>
      <c r="E143" s="7"/>
      <c r="F143" s="7"/>
      <c r="G143" s="7"/>
      <c r="H143" s="7"/>
      <c r="I143" s="7"/>
      <c r="J143" s="8"/>
      <c r="K143" s="9"/>
    </row>
    <row r="144">
      <c r="A144" s="6"/>
      <c r="B144" s="7"/>
      <c r="C144" s="7"/>
      <c r="D144" s="7"/>
      <c r="E144" s="7"/>
      <c r="F144" s="7"/>
      <c r="G144" s="7"/>
      <c r="H144" s="7"/>
      <c r="I144" s="7"/>
      <c r="J144" s="8"/>
      <c r="K144" s="9"/>
    </row>
    <row r="145">
      <c r="A145" s="6"/>
      <c r="B145" s="7"/>
      <c r="C145" s="7"/>
      <c r="D145" s="7"/>
      <c r="E145" s="7"/>
      <c r="F145" s="7"/>
      <c r="G145" s="7"/>
      <c r="H145" s="7"/>
      <c r="I145" s="7"/>
      <c r="J145" s="8"/>
      <c r="K145" s="9"/>
    </row>
    <row r="146">
      <c r="A146" s="6"/>
      <c r="B146" s="7"/>
      <c r="C146" s="7"/>
      <c r="D146" s="7"/>
      <c r="E146" s="7"/>
      <c r="F146" s="7"/>
      <c r="G146" s="7"/>
      <c r="H146" s="7"/>
      <c r="I146" s="7"/>
      <c r="J146" s="8"/>
      <c r="K146" s="9"/>
    </row>
    <row r="147">
      <c r="A147" s="6"/>
      <c r="B147" s="7"/>
      <c r="C147" s="7"/>
      <c r="D147" s="7"/>
      <c r="E147" s="7"/>
      <c r="F147" s="7"/>
      <c r="G147" s="7"/>
      <c r="H147" s="7"/>
      <c r="I147" s="7"/>
      <c r="J147" s="8"/>
      <c r="K147" s="9"/>
    </row>
    <row r="148">
      <c r="A148" s="6"/>
      <c r="B148" s="7"/>
      <c r="C148" s="7"/>
      <c r="D148" s="7"/>
      <c r="E148" s="7"/>
      <c r="F148" s="7"/>
      <c r="G148" s="7"/>
      <c r="H148" s="7"/>
      <c r="I148" s="7"/>
      <c r="J148" s="8"/>
      <c r="K148" s="9"/>
    </row>
    <row r="149">
      <c r="A149" s="6"/>
      <c r="B149" s="7"/>
      <c r="C149" s="7"/>
      <c r="D149" s="7"/>
      <c r="E149" s="7"/>
      <c r="F149" s="7"/>
      <c r="G149" s="7"/>
      <c r="H149" s="7"/>
      <c r="I149" s="7"/>
      <c r="J149" s="8"/>
      <c r="K149" s="9"/>
    </row>
    <row r="150">
      <c r="A150" s="6"/>
      <c r="B150" s="7"/>
      <c r="C150" s="7"/>
      <c r="D150" s="7"/>
      <c r="E150" s="7"/>
      <c r="F150" s="7"/>
      <c r="G150" s="7"/>
      <c r="H150" s="7"/>
      <c r="I150" s="7"/>
      <c r="J150" s="8"/>
      <c r="K150" s="9"/>
    </row>
    <row r="151">
      <c r="A151" s="6"/>
      <c r="B151" s="7"/>
      <c r="C151" s="7"/>
      <c r="D151" s="7"/>
      <c r="E151" s="7"/>
      <c r="F151" s="7"/>
      <c r="G151" s="7"/>
      <c r="H151" s="7"/>
      <c r="I151" s="7"/>
      <c r="J151" s="8"/>
      <c r="K151" s="9"/>
    </row>
    <row r="152">
      <c r="A152" s="6"/>
      <c r="B152" s="7"/>
      <c r="C152" s="7"/>
      <c r="D152" s="7"/>
      <c r="E152" s="7"/>
      <c r="F152" s="7"/>
      <c r="G152" s="7"/>
      <c r="H152" s="7"/>
      <c r="I152" s="7"/>
      <c r="J152" s="8"/>
      <c r="K152" s="9"/>
    </row>
    <row r="153">
      <c r="A153" s="6"/>
      <c r="B153" s="7"/>
      <c r="C153" s="7"/>
      <c r="D153" s="7"/>
      <c r="E153" s="7"/>
      <c r="F153" s="7"/>
      <c r="G153" s="7"/>
      <c r="H153" s="7"/>
      <c r="I153" s="7"/>
      <c r="J153" s="8"/>
      <c r="K153" s="9"/>
    </row>
    <row r="154">
      <c r="A154" s="6"/>
      <c r="B154" s="7"/>
      <c r="C154" s="7"/>
      <c r="D154" s="7"/>
      <c r="E154" s="7"/>
      <c r="F154" s="7"/>
      <c r="G154" s="7"/>
      <c r="H154" s="7"/>
      <c r="I154" s="7"/>
      <c r="J154" s="8"/>
      <c r="K154" s="9"/>
    </row>
    <row r="155">
      <c r="A155" s="6"/>
      <c r="B155" s="7"/>
      <c r="C155" s="7"/>
      <c r="D155" s="7"/>
      <c r="E155" s="7"/>
      <c r="F155" s="7"/>
      <c r="G155" s="7"/>
      <c r="H155" s="7"/>
      <c r="I155" s="7"/>
      <c r="J155" s="8"/>
      <c r="K155" s="9"/>
    </row>
    <row r="156">
      <c r="A156" s="6"/>
      <c r="B156" s="7"/>
      <c r="C156" s="7"/>
      <c r="D156" s="7"/>
      <c r="E156" s="7"/>
      <c r="F156" s="7"/>
      <c r="G156" s="7"/>
      <c r="H156" s="7"/>
      <c r="I156" s="7"/>
      <c r="J156" s="8"/>
      <c r="K156" s="9"/>
    </row>
    <row r="157">
      <c r="A157" s="6"/>
      <c r="B157" s="7"/>
      <c r="C157" s="7"/>
      <c r="D157" s="7"/>
      <c r="E157" s="7"/>
      <c r="F157" s="7"/>
      <c r="G157" s="7"/>
      <c r="H157" s="7"/>
      <c r="I157" s="7"/>
      <c r="J157" s="8"/>
      <c r="K157" s="9"/>
    </row>
    <row r="158">
      <c r="A158" s="6"/>
      <c r="B158" s="7"/>
      <c r="C158" s="7"/>
      <c r="D158" s="7"/>
      <c r="E158" s="7"/>
      <c r="F158" s="7"/>
      <c r="G158" s="7"/>
      <c r="H158" s="7"/>
      <c r="I158" s="7"/>
      <c r="J158" s="8"/>
      <c r="K158" s="9"/>
    </row>
    <row r="159">
      <c r="A159" s="6"/>
      <c r="B159" s="7"/>
      <c r="C159" s="7"/>
      <c r="D159" s="7"/>
      <c r="E159" s="7"/>
      <c r="F159" s="7"/>
      <c r="G159" s="7"/>
      <c r="H159" s="7"/>
      <c r="I159" s="7"/>
      <c r="J159" s="8"/>
      <c r="K159" s="9"/>
    </row>
    <row r="160">
      <c r="A160" s="6"/>
      <c r="B160" s="7"/>
      <c r="C160" s="7"/>
      <c r="D160" s="7"/>
      <c r="E160" s="7"/>
      <c r="F160" s="7"/>
      <c r="G160" s="7"/>
      <c r="H160" s="7"/>
      <c r="I160" s="7"/>
      <c r="J160" s="8"/>
      <c r="K160" s="9"/>
    </row>
    <row r="161">
      <c r="A161" s="6"/>
      <c r="B161" s="7"/>
      <c r="C161" s="7"/>
      <c r="D161" s="7"/>
      <c r="E161" s="7"/>
      <c r="F161" s="7"/>
      <c r="G161" s="7"/>
      <c r="H161" s="7"/>
      <c r="I161" s="7"/>
      <c r="J161" s="8"/>
      <c r="K161" s="9"/>
    </row>
    <row r="162">
      <c r="A162" s="6"/>
      <c r="B162" s="7"/>
      <c r="C162" s="7"/>
      <c r="D162" s="7"/>
      <c r="E162" s="7"/>
      <c r="F162" s="7"/>
      <c r="G162" s="7"/>
      <c r="H162" s="7"/>
      <c r="I162" s="7"/>
      <c r="J162" s="8"/>
      <c r="K162" s="9"/>
    </row>
    <row r="163">
      <c r="A163" s="6"/>
      <c r="B163" s="7"/>
      <c r="C163" s="7"/>
      <c r="D163" s="7"/>
      <c r="E163" s="7"/>
      <c r="F163" s="7"/>
      <c r="G163" s="7"/>
      <c r="H163" s="7"/>
      <c r="I163" s="7"/>
      <c r="J163" s="8"/>
      <c r="K163" s="9"/>
    </row>
    <row r="164">
      <c r="A164" s="6"/>
      <c r="B164" s="7"/>
      <c r="C164" s="7"/>
      <c r="D164" s="7"/>
      <c r="E164" s="7"/>
      <c r="F164" s="7"/>
      <c r="G164" s="7"/>
      <c r="H164" s="7"/>
      <c r="I164" s="7"/>
      <c r="J164" s="8"/>
      <c r="K164" s="9"/>
    </row>
    <row r="165">
      <c r="A165" s="6"/>
      <c r="B165" s="7"/>
      <c r="C165" s="7"/>
      <c r="D165" s="7"/>
      <c r="E165" s="7"/>
      <c r="F165" s="7"/>
      <c r="G165" s="7"/>
      <c r="H165" s="7"/>
      <c r="I165" s="7"/>
      <c r="J165" s="8"/>
      <c r="K165" s="9"/>
    </row>
    <row r="166">
      <c r="A166" s="6"/>
      <c r="B166" s="7"/>
      <c r="C166" s="7"/>
      <c r="D166" s="7"/>
      <c r="E166" s="7"/>
      <c r="F166" s="7"/>
      <c r="G166" s="7"/>
      <c r="H166" s="7"/>
      <c r="I166" s="7"/>
      <c r="J166" s="8"/>
      <c r="K166" s="9"/>
    </row>
    <row r="167">
      <c r="A167" s="6"/>
      <c r="B167" s="7"/>
      <c r="C167" s="7"/>
      <c r="D167" s="7"/>
      <c r="E167" s="7"/>
      <c r="F167" s="7"/>
      <c r="G167" s="7"/>
      <c r="H167" s="7"/>
      <c r="I167" s="7"/>
      <c r="J167" s="8"/>
      <c r="K167" s="9"/>
    </row>
    <row r="168">
      <c r="A168" s="6"/>
      <c r="B168" s="7"/>
      <c r="C168" s="7"/>
      <c r="D168" s="7"/>
      <c r="E168" s="7"/>
      <c r="F168" s="7"/>
      <c r="G168" s="7"/>
      <c r="H168" s="7"/>
      <c r="I168" s="7"/>
      <c r="J168" s="8"/>
      <c r="K168" s="9"/>
    </row>
    <row r="169">
      <c r="A169" s="6"/>
      <c r="B169" s="7"/>
      <c r="C169" s="7"/>
      <c r="D169" s="7"/>
      <c r="E169" s="7"/>
      <c r="F169" s="7"/>
      <c r="G169" s="7"/>
      <c r="H169" s="7"/>
      <c r="I169" s="7"/>
      <c r="J169" s="8"/>
      <c r="K169" s="9"/>
    </row>
    <row r="170">
      <c r="A170" s="6"/>
      <c r="B170" s="7"/>
      <c r="C170" s="7"/>
      <c r="D170" s="7"/>
      <c r="E170" s="7"/>
      <c r="F170" s="7"/>
      <c r="G170" s="7"/>
      <c r="H170" s="7"/>
      <c r="I170" s="7"/>
      <c r="J170" s="8"/>
      <c r="K170" s="9"/>
    </row>
    <row r="171">
      <c r="A171" s="6"/>
      <c r="B171" s="7"/>
      <c r="C171" s="7"/>
      <c r="D171" s="7"/>
      <c r="E171" s="7"/>
      <c r="F171" s="7"/>
      <c r="G171" s="7"/>
      <c r="H171" s="7"/>
      <c r="I171" s="7"/>
      <c r="J171" s="8"/>
      <c r="K171" s="9"/>
    </row>
    <row r="172">
      <c r="A172" s="6"/>
      <c r="B172" s="7"/>
      <c r="C172" s="7"/>
      <c r="D172" s="7"/>
      <c r="E172" s="7"/>
      <c r="F172" s="7"/>
      <c r="G172" s="7"/>
      <c r="H172" s="7"/>
      <c r="I172" s="7"/>
      <c r="J172" s="8"/>
      <c r="K172" s="9"/>
    </row>
    <row r="173">
      <c r="A173" s="6"/>
      <c r="B173" s="7"/>
      <c r="C173" s="7"/>
      <c r="D173" s="7"/>
      <c r="E173" s="7"/>
      <c r="F173" s="7"/>
      <c r="G173" s="7"/>
      <c r="H173" s="7"/>
      <c r="I173" s="7"/>
      <c r="J173" s="8"/>
      <c r="K173" s="9"/>
    </row>
    <row r="174">
      <c r="A174" s="6"/>
      <c r="B174" s="7"/>
      <c r="C174" s="7"/>
      <c r="D174" s="7"/>
      <c r="E174" s="7"/>
      <c r="F174" s="7"/>
      <c r="G174" s="7"/>
      <c r="H174" s="7"/>
      <c r="I174" s="7"/>
      <c r="J174" s="8"/>
      <c r="K174" s="9"/>
    </row>
    <row r="175">
      <c r="A175" s="6"/>
      <c r="B175" s="7"/>
      <c r="C175" s="7"/>
      <c r="D175" s="7"/>
      <c r="E175" s="7"/>
      <c r="F175" s="7"/>
      <c r="G175" s="7"/>
      <c r="H175" s="7"/>
      <c r="I175" s="7"/>
      <c r="J175" s="8"/>
      <c r="K175" s="9"/>
    </row>
    <row r="176">
      <c r="A176" s="6"/>
      <c r="B176" s="7"/>
      <c r="C176" s="7"/>
      <c r="D176" s="7"/>
      <c r="E176" s="7"/>
      <c r="F176" s="7"/>
      <c r="G176" s="7"/>
      <c r="H176" s="7"/>
      <c r="I176" s="7"/>
      <c r="J176" s="8"/>
      <c r="K176" s="9"/>
    </row>
    <row r="177">
      <c r="A177" s="6"/>
      <c r="B177" s="7"/>
      <c r="C177" s="7"/>
      <c r="D177" s="7"/>
      <c r="E177" s="7"/>
      <c r="F177" s="7"/>
      <c r="G177" s="7"/>
      <c r="H177" s="7"/>
      <c r="I177" s="7"/>
      <c r="J177" s="8"/>
      <c r="K177" s="9"/>
    </row>
    <row r="178">
      <c r="A178" s="6"/>
      <c r="B178" s="7"/>
      <c r="C178" s="7"/>
      <c r="D178" s="7"/>
      <c r="E178" s="7"/>
      <c r="F178" s="7"/>
      <c r="G178" s="7"/>
      <c r="H178" s="7"/>
      <c r="I178" s="7"/>
      <c r="J178" s="8"/>
      <c r="K178" s="9"/>
    </row>
    <row r="179">
      <c r="A179" s="6"/>
      <c r="B179" s="7"/>
      <c r="C179" s="7"/>
      <c r="D179" s="7"/>
      <c r="E179" s="7"/>
      <c r="F179" s="7"/>
      <c r="G179" s="7"/>
      <c r="H179" s="7"/>
      <c r="I179" s="7"/>
      <c r="J179" s="8"/>
      <c r="K179" s="9"/>
    </row>
    <row r="180">
      <c r="A180" s="6"/>
      <c r="B180" s="7"/>
      <c r="C180" s="7"/>
      <c r="D180" s="7"/>
      <c r="E180" s="7"/>
      <c r="F180" s="7"/>
      <c r="G180" s="7"/>
      <c r="H180" s="7"/>
      <c r="I180" s="7"/>
      <c r="J180" s="8"/>
      <c r="K180" s="9"/>
    </row>
    <row r="181">
      <c r="A181" s="6"/>
      <c r="B181" s="7"/>
      <c r="C181" s="7"/>
      <c r="D181" s="7"/>
      <c r="E181" s="7"/>
      <c r="F181" s="7"/>
      <c r="G181" s="7"/>
      <c r="H181" s="7"/>
      <c r="I181" s="7"/>
      <c r="J181" s="8"/>
      <c r="K181" s="9"/>
    </row>
    <row r="182">
      <c r="A182" s="6"/>
      <c r="B182" s="7"/>
      <c r="C182" s="7"/>
      <c r="D182" s="7"/>
      <c r="E182" s="7"/>
      <c r="F182" s="7"/>
      <c r="G182" s="7"/>
      <c r="H182" s="7"/>
      <c r="I182" s="7"/>
      <c r="J182" s="8"/>
      <c r="K182" s="9"/>
    </row>
    <row r="183">
      <c r="A183" s="6"/>
      <c r="B183" s="7"/>
      <c r="C183" s="7"/>
      <c r="D183" s="7"/>
      <c r="E183" s="7"/>
      <c r="F183" s="7"/>
      <c r="G183" s="7"/>
      <c r="H183" s="7"/>
      <c r="I183" s="7"/>
      <c r="J183" s="8"/>
      <c r="K183" s="9"/>
    </row>
    <row r="184">
      <c r="A184" s="6"/>
      <c r="B184" s="7"/>
      <c r="C184" s="7"/>
      <c r="D184" s="7"/>
      <c r="E184" s="7"/>
      <c r="F184" s="7"/>
      <c r="G184" s="7"/>
      <c r="H184" s="7"/>
      <c r="I184" s="7"/>
      <c r="J184" s="8"/>
      <c r="K184" s="9"/>
    </row>
    <row r="185">
      <c r="A185" s="6"/>
      <c r="B185" s="7"/>
      <c r="C185" s="7"/>
      <c r="D185" s="7"/>
      <c r="E185" s="7"/>
      <c r="F185" s="7"/>
      <c r="G185" s="7"/>
      <c r="H185" s="7"/>
      <c r="I185" s="7"/>
      <c r="J185" s="8"/>
      <c r="K185" s="9"/>
    </row>
    <row r="186">
      <c r="A186" s="6"/>
      <c r="B186" s="7"/>
      <c r="C186" s="7"/>
      <c r="D186" s="7"/>
      <c r="E186" s="7"/>
      <c r="F186" s="7"/>
      <c r="G186" s="7"/>
      <c r="H186" s="7"/>
      <c r="I186" s="7"/>
      <c r="J186" s="8"/>
      <c r="K186" s="9"/>
    </row>
    <row r="187">
      <c r="A187" s="6"/>
      <c r="B187" s="7"/>
      <c r="C187" s="7"/>
      <c r="D187" s="7"/>
      <c r="E187" s="7"/>
      <c r="F187" s="7"/>
      <c r="G187" s="7"/>
      <c r="H187" s="7"/>
      <c r="I187" s="7"/>
      <c r="J187" s="8"/>
      <c r="K187" s="9"/>
    </row>
    <row r="188">
      <c r="A188" s="6"/>
      <c r="B188" s="7"/>
      <c r="C188" s="7"/>
      <c r="D188" s="7"/>
      <c r="E188" s="7"/>
      <c r="F188" s="7"/>
      <c r="G188" s="7"/>
      <c r="H188" s="7"/>
      <c r="I188" s="7"/>
      <c r="J188" s="8"/>
      <c r="K188" s="9"/>
    </row>
    <row r="189">
      <c r="A189" s="6"/>
      <c r="B189" s="7"/>
      <c r="C189" s="7"/>
      <c r="D189" s="7"/>
      <c r="E189" s="7"/>
      <c r="F189" s="7"/>
      <c r="G189" s="7"/>
      <c r="H189" s="7"/>
      <c r="I189" s="7"/>
      <c r="J189" s="8"/>
      <c r="K189" s="9"/>
    </row>
    <row r="190">
      <c r="A190" s="6"/>
      <c r="B190" s="7"/>
      <c r="C190" s="7"/>
      <c r="D190" s="7"/>
      <c r="E190" s="7"/>
      <c r="F190" s="7"/>
      <c r="G190" s="7"/>
      <c r="H190" s="7"/>
      <c r="I190" s="7"/>
      <c r="J190" s="8"/>
      <c r="K190" s="9"/>
    </row>
    <row r="191">
      <c r="A191" s="6"/>
      <c r="B191" s="7"/>
      <c r="C191" s="7"/>
      <c r="D191" s="7"/>
      <c r="E191" s="7"/>
      <c r="F191" s="7"/>
      <c r="G191" s="7"/>
      <c r="H191" s="7"/>
      <c r="I191" s="7"/>
      <c r="J191" s="8"/>
      <c r="K191" s="9"/>
    </row>
    <row r="192">
      <c r="A192" s="6"/>
      <c r="B192" s="7"/>
      <c r="C192" s="7"/>
      <c r="D192" s="7"/>
      <c r="E192" s="7"/>
      <c r="F192" s="7"/>
      <c r="G192" s="7"/>
      <c r="H192" s="7"/>
      <c r="I192" s="7"/>
      <c r="J192" s="8"/>
      <c r="K192" s="9"/>
    </row>
    <row r="193">
      <c r="A193" s="6"/>
      <c r="B193" s="7"/>
      <c r="C193" s="7"/>
      <c r="D193" s="7"/>
      <c r="E193" s="7"/>
      <c r="F193" s="7"/>
      <c r="G193" s="7"/>
      <c r="H193" s="7"/>
      <c r="I193" s="7"/>
      <c r="J193" s="8"/>
      <c r="K193" s="9"/>
    </row>
    <row r="194">
      <c r="A194" s="6"/>
      <c r="B194" s="7"/>
      <c r="C194" s="7"/>
      <c r="D194" s="7"/>
      <c r="E194" s="7"/>
      <c r="F194" s="7"/>
      <c r="G194" s="7"/>
      <c r="H194" s="7"/>
      <c r="I194" s="7"/>
      <c r="J194" s="8"/>
      <c r="K194" s="9"/>
    </row>
    <row r="195">
      <c r="A195" s="6"/>
      <c r="B195" s="7"/>
      <c r="C195" s="7"/>
      <c r="D195" s="7"/>
      <c r="E195" s="7"/>
      <c r="F195" s="7"/>
      <c r="G195" s="7"/>
      <c r="H195" s="7"/>
      <c r="I195" s="7"/>
      <c r="J195" s="8"/>
      <c r="K195" s="9"/>
    </row>
    <row r="196">
      <c r="A196" s="6"/>
      <c r="B196" s="7"/>
      <c r="C196" s="7"/>
      <c r="D196" s="7"/>
      <c r="E196" s="7"/>
      <c r="F196" s="7"/>
      <c r="G196" s="7"/>
      <c r="H196" s="7"/>
      <c r="I196" s="7"/>
      <c r="J196" s="8"/>
      <c r="K196" s="9"/>
    </row>
    <row r="197">
      <c r="A197" s="6"/>
      <c r="B197" s="7"/>
      <c r="C197" s="7"/>
      <c r="D197" s="7"/>
      <c r="E197" s="7"/>
      <c r="F197" s="7"/>
      <c r="G197" s="7"/>
      <c r="H197" s="7"/>
      <c r="I197" s="7"/>
      <c r="J197" s="8"/>
      <c r="K197" s="9"/>
    </row>
    <row r="198">
      <c r="A198" s="6"/>
      <c r="B198" s="7"/>
      <c r="C198" s="7"/>
      <c r="D198" s="7"/>
      <c r="E198" s="7"/>
      <c r="F198" s="7"/>
      <c r="G198" s="7"/>
      <c r="H198" s="7"/>
      <c r="I198" s="7"/>
      <c r="J198" s="8"/>
      <c r="K198" s="9"/>
    </row>
    <row r="199">
      <c r="A199" s="6"/>
      <c r="B199" s="7"/>
      <c r="C199" s="7"/>
      <c r="D199" s="7"/>
      <c r="E199" s="7"/>
      <c r="F199" s="7"/>
      <c r="G199" s="7"/>
      <c r="H199" s="7"/>
      <c r="I199" s="7"/>
      <c r="J199" s="8"/>
      <c r="K199" s="9"/>
    </row>
    <row r="200">
      <c r="A200" s="6"/>
      <c r="B200" s="7"/>
      <c r="C200" s="7"/>
      <c r="D200" s="7"/>
      <c r="E200" s="7"/>
      <c r="F200" s="7"/>
      <c r="G200" s="7"/>
      <c r="H200" s="7"/>
      <c r="I200" s="7"/>
      <c r="J200" s="8"/>
      <c r="K200" s="9"/>
    </row>
    <row r="201">
      <c r="A201" s="6"/>
      <c r="B201" s="7"/>
      <c r="C201" s="7"/>
      <c r="D201" s="7"/>
      <c r="E201" s="7"/>
      <c r="F201" s="7"/>
      <c r="G201" s="7"/>
      <c r="H201" s="7"/>
      <c r="I201" s="7"/>
      <c r="J201" s="8"/>
      <c r="K201" s="9"/>
    </row>
    <row r="202">
      <c r="A202" s="6"/>
      <c r="B202" s="7"/>
      <c r="C202" s="7"/>
      <c r="D202" s="7"/>
      <c r="E202" s="7"/>
      <c r="F202" s="7"/>
      <c r="G202" s="7"/>
      <c r="H202" s="7"/>
      <c r="I202" s="7"/>
      <c r="J202" s="8"/>
      <c r="K202" s="9"/>
    </row>
    <row r="203">
      <c r="A203" s="6"/>
      <c r="B203" s="7"/>
      <c r="C203" s="7"/>
      <c r="D203" s="7"/>
      <c r="E203" s="7"/>
      <c r="F203" s="7"/>
      <c r="G203" s="7"/>
      <c r="H203" s="7"/>
      <c r="I203" s="7"/>
      <c r="J203" s="8"/>
      <c r="K203" s="9"/>
    </row>
    <row r="204">
      <c r="A204" s="6"/>
      <c r="B204" s="7"/>
      <c r="C204" s="7"/>
      <c r="D204" s="7"/>
      <c r="E204" s="7"/>
      <c r="F204" s="7"/>
      <c r="G204" s="7"/>
      <c r="H204" s="7"/>
      <c r="I204" s="7"/>
      <c r="J204" s="8"/>
      <c r="K204" s="9"/>
    </row>
    <row r="205">
      <c r="A205" s="6"/>
      <c r="B205" s="7"/>
      <c r="C205" s="7"/>
      <c r="D205" s="7"/>
      <c r="E205" s="7"/>
      <c r="F205" s="7"/>
      <c r="G205" s="7"/>
      <c r="H205" s="7"/>
      <c r="I205" s="7"/>
      <c r="J205" s="8"/>
      <c r="K205" s="9"/>
    </row>
    <row r="206">
      <c r="A206" s="6"/>
      <c r="B206" s="7"/>
      <c r="C206" s="7"/>
      <c r="D206" s="7"/>
      <c r="E206" s="7"/>
      <c r="F206" s="7"/>
      <c r="G206" s="7"/>
      <c r="H206" s="7"/>
      <c r="I206" s="7"/>
      <c r="J206" s="8"/>
      <c r="K206" s="9"/>
    </row>
    <row r="207">
      <c r="A207" s="6"/>
      <c r="B207" s="7"/>
      <c r="C207" s="7"/>
      <c r="D207" s="7"/>
      <c r="E207" s="7"/>
      <c r="F207" s="7"/>
      <c r="G207" s="7"/>
      <c r="H207" s="7"/>
      <c r="I207" s="7"/>
      <c r="J207" s="8"/>
      <c r="K207" s="9"/>
    </row>
    <row r="208">
      <c r="A208" s="6"/>
      <c r="B208" s="7"/>
      <c r="C208" s="7"/>
      <c r="D208" s="7"/>
      <c r="E208" s="7"/>
      <c r="F208" s="7"/>
      <c r="G208" s="7"/>
      <c r="H208" s="7"/>
      <c r="I208" s="7"/>
      <c r="J208" s="8"/>
      <c r="K208" s="9"/>
    </row>
    <row r="209">
      <c r="A209" s="6"/>
      <c r="B209" s="7"/>
      <c r="C209" s="7"/>
      <c r="D209" s="7"/>
      <c r="E209" s="7"/>
      <c r="F209" s="7"/>
      <c r="G209" s="7"/>
      <c r="H209" s="7"/>
      <c r="I209" s="7"/>
      <c r="J209" s="8"/>
      <c r="K209" s="9"/>
    </row>
    <row r="210">
      <c r="A210" s="6"/>
      <c r="B210" s="7"/>
      <c r="C210" s="7"/>
      <c r="D210" s="7"/>
      <c r="E210" s="7"/>
      <c r="F210" s="7"/>
      <c r="G210" s="7"/>
      <c r="H210" s="7"/>
      <c r="I210" s="7"/>
      <c r="J210" s="8"/>
      <c r="K210" s="9"/>
    </row>
    <row r="211">
      <c r="A211" s="6"/>
      <c r="B211" s="7"/>
      <c r="C211" s="7"/>
      <c r="D211" s="7"/>
      <c r="E211" s="7"/>
      <c r="F211" s="7"/>
      <c r="G211" s="7"/>
      <c r="H211" s="7"/>
      <c r="I211" s="7"/>
      <c r="J211" s="8"/>
      <c r="K211" s="9"/>
    </row>
    <row r="212">
      <c r="A212" s="6"/>
      <c r="B212" s="7"/>
      <c r="C212" s="7"/>
      <c r="D212" s="7"/>
      <c r="E212" s="7"/>
      <c r="F212" s="7"/>
      <c r="G212" s="7"/>
      <c r="H212" s="7"/>
      <c r="I212" s="7"/>
      <c r="J212" s="8"/>
      <c r="K212" s="9"/>
    </row>
    <row r="213">
      <c r="A213" s="6"/>
      <c r="B213" s="7"/>
      <c r="C213" s="7"/>
      <c r="D213" s="7"/>
      <c r="E213" s="7"/>
      <c r="F213" s="7"/>
      <c r="G213" s="7"/>
      <c r="H213" s="7"/>
      <c r="I213" s="7"/>
      <c r="J213" s="8"/>
      <c r="K213" s="9"/>
    </row>
    <row r="214">
      <c r="A214" s="6"/>
      <c r="B214" s="7"/>
      <c r="C214" s="7"/>
      <c r="D214" s="7"/>
      <c r="E214" s="7"/>
      <c r="F214" s="7"/>
      <c r="G214" s="7"/>
      <c r="H214" s="7"/>
      <c r="I214" s="7"/>
      <c r="J214" s="8"/>
      <c r="K214" s="9"/>
    </row>
    <row r="215">
      <c r="A215" s="6"/>
      <c r="B215" s="7"/>
      <c r="C215" s="7"/>
      <c r="D215" s="7"/>
      <c r="E215" s="7"/>
      <c r="F215" s="7"/>
      <c r="G215" s="7"/>
      <c r="H215" s="7"/>
      <c r="I215" s="7"/>
      <c r="J215" s="8"/>
      <c r="K215" s="9"/>
    </row>
    <row r="216">
      <c r="A216" s="6"/>
      <c r="B216" s="7"/>
      <c r="C216" s="7"/>
      <c r="D216" s="7"/>
      <c r="E216" s="7"/>
      <c r="F216" s="7"/>
      <c r="G216" s="7"/>
      <c r="H216" s="7"/>
      <c r="I216" s="7"/>
      <c r="J216" s="8"/>
      <c r="K216" s="9"/>
    </row>
    <row r="217">
      <c r="A217" s="6"/>
      <c r="B217" s="7"/>
      <c r="C217" s="7"/>
      <c r="D217" s="7"/>
      <c r="E217" s="7"/>
      <c r="F217" s="7"/>
      <c r="G217" s="7"/>
      <c r="H217" s="7"/>
      <c r="I217" s="7"/>
      <c r="J217" s="8"/>
      <c r="K217" s="9"/>
    </row>
    <row r="218">
      <c r="A218" s="6"/>
      <c r="B218" s="7"/>
      <c r="C218" s="7"/>
      <c r="D218" s="7"/>
      <c r="E218" s="7"/>
      <c r="F218" s="7"/>
      <c r="G218" s="7"/>
      <c r="H218" s="7"/>
      <c r="I218" s="7"/>
      <c r="J218" s="8"/>
      <c r="K218" s="9"/>
    </row>
    <row r="219">
      <c r="A219" s="6"/>
      <c r="B219" s="7"/>
      <c r="C219" s="7"/>
      <c r="D219" s="7"/>
      <c r="E219" s="7"/>
      <c r="F219" s="7"/>
      <c r="G219" s="7"/>
      <c r="H219" s="7"/>
      <c r="I219" s="7"/>
      <c r="J219" s="8"/>
      <c r="K219" s="9"/>
    </row>
    <row r="220">
      <c r="A220" s="6"/>
      <c r="B220" s="7"/>
      <c r="C220" s="7"/>
      <c r="D220" s="7"/>
      <c r="E220" s="7"/>
      <c r="F220" s="7"/>
      <c r="G220" s="7"/>
      <c r="H220" s="7"/>
      <c r="I220" s="7"/>
      <c r="J220" s="8"/>
      <c r="K220" s="9"/>
    </row>
    <row r="221">
      <c r="A221" s="6"/>
      <c r="B221" s="7"/>
      <c r="C221" s="7"/>
      <c r="D221" s="7"/>
      <c r="E221" s="7"/>
      <c r="F221" s="7"/>
      <c r="G221" s="7"/>
      <c r="H221" s="7"/>
      <c r="I221" s="7"/>
      <c r="J221" s="8"/>
      <c r="K221" s="9"/>
    </row>
    <row r="222">
      <c r="A222" s="6"/>
      <c r="B222" s="7"/>
      <c r="C222" s="7"/>
      <c r="D222" s="7"/>
      <c r="E222" s="7"/>
      <c r="F222" s="7"/>
      <c r="G222" s="7"/>
      <c r="H222" s="7"/>
      <c r="I222" s="7"/>
      <c r="J222" s="8"/>
      <c r="K222" s="9"/>
    </row>
    <row r="223">
      <c r="A223" s="6"/>
      <c r="B223" s="7"/>
      <c r="C223" s="7"/>
      <c r="D223" s="7"/>
      <c r="E223" s="7"/>
      <c r="F223" s="7"/>
      <c r="G223" s="7"/>
      <c r="H223" s="7"/>
      <c r="I223" s="7"/>
      <c r="J223" s="8"/>
      <c r="K223" s="9"/>
    </row>
    <row r="224">
      <c r="A224" s="6"/>
      <c r="B224" s="7"/>
      <c r="C224" s="7"/>
      <c r="D224" s="7"/>
      <c r="E224" s="7"/>
      <c r="F224" s="7"/>
      <c r="G224" s="7"/>
      <c r="H224" s="7"/>
      <c r="I224" s="7"/>
      <c r="J224" s="8"/>
      <c r="K224" s="9"/>
    </row>
    <row r="225">
      <c r="A225" s="6"/>
      <c r="B225" s="7"/>
      <c r="C225" s="7"/>
      <c r="D225" s="7"/>
      <c r="E225" s="7"/>
      <c r="F225" s="7"/>
      <c r="G225" s="7"/>
      <c r="H225" s="7"/>
      <c r="I225" s="7"/>
      <c r="J225" s="8"/>
      <c r="K225" s="9"/>
    </row>
    <row r="226">
      <c r="A226" s="6"/>
      <c r="B226" s="7"/>
      <c r="C226" s="7"/>
      <c r="D226" s="7"/>
      <c r="E226" s="7"/>
      <c r="F226" s="7"/>
      <c r="G226" s="7"/>
      <c r="H226" s="7"/>
      <c r="I226" s="7"/>
      <c r="J226" s="8"/>
      <c r="K226" s="9"/>
    </row>
    <row r="227">
      <c r="A227" s="6"/>
      <c r="B227" s="7"/>
      <c r="C227" s="7"/>
      <c r="D227" s="7"/>
      <c r="E227" s="7"/>
      <c r="F227" s="7"/>
      <c r="G227" s="7"/>
      <c r="H227" s="7"/>
      <c r="I227" s="7"/>
      <c r="J227" s="8"/>
      <c r="K227" s="9"/>
    </row>
    <row r="228">
      <c r="A228" s="6"/>
      <c r="B228" s="7"/>
      <c r="C228" s="7"/>
      <c r="D228" s="7"/>
      <c r="E228" s="7"/>
      <c r="F228" s="7"/>
      <c r="G228" s="7"/>
      <c r="H228" s="7"/>
      <c r="I228" s="7"/>
      <c r="J228" s="8"/>
      <c r="K228" s="9"/>
    </row>
    <row r="229">
      <c r="A229" s="6"/>
      <c r="B229" s="7"/>
      <c r="C229" s="7"/>
      <c r="D229" s="7"/>
      <c r="E229" s="7"/>
      <c r="F229" s="7"/>
      <c r="G229" s="7"/>
      <c r="H229" s="7"/>
      <c r="I229" s="7"/>
      <c r="J229" s="8"/>
      <c r="K229" s="9"/>
    </row>
    <row r="230">
      <c r="A230" s="6"/>
      <c r="B230" s="7"/>
      <c r="C230" s="7"/>
      <c r="D230" s="7"/>
      <c r="E230" s="7"/>
      <c r="F230" s="7"/>
      <c r="G230" s="7"/>
      <c r="H230" s="7"/>
      <c r="I230" s="7"/>
      <c r="J230" s="8"/>
      <c r="K230" s="9"/>
    </row>
    <row r="231">
      <c r="A231" s="6"/>
      <c r="B231" s="7"/>
      <c r="C231" s="7"/>
      <c r="D231" s="7"/>
      <c r="E231" s="7"/>
      <c r="F231" s="7"/>
      <c r="G231" s="7"/>
      <c r="H231" s="7"/>
      <c r="I231" s="7"/>
      <c r="J231" s="8"/>
      <c r="K231" s="9"/>
    </row>
    <row r="232">
      <c r="A232" s="6"/>
      <c r="B232" s="7"/>
      <c r="C232" s="7"/>
      <c r="D232" s="7"/>
      <c r="E232" s="7"/>
      <c r="F232" s="7"/>
      <c r="G232" s="7"/>
      <c r="H232" s="7"/>
      <c r="I232" s="7"/>
      <c r="J232" s="8"/>
      <c r="K232" s="9"/>
    </row>
    <row r="233">
      <c r="A233" s="6"/>
      <c r="B233" s="7"/>
      <c r="C233" s="7"/>
      <c r="D233" s="7"/>
      <c r="E233" s="7"/>
      <c r="F233" s="7"/>
      <c r="G233" s="7"/>
      <c r="H233" s="7"/>
      <c r="I233" s="7"/>
      <c r="J233" s="8"/>
      <c r="K233" s="9"/>
    </row>
    <row r="234">
      <c r="A234" s="6"/>
      <c r="B234" s="7"/>
      <c r="C234" s="7"/>
      <c r="D234" s="7"/>
      <c r="E234" s="7"/>
      <c r="F234" s="7"/>
      <c r="G234" s="7"/>
      <c r="H234" s="7"/>
      <c r="I234" s="7"/>
      <c r="J234" s="8"/>
      <c r="K234" s="9"/>
    </row>
    <row r="235">
      <c r="A235" s="6"/>
      <c r="B235" s="7"/>
      <c r="C235" s="7"/>
      <c r="D235" s="7"/>
      <c r="E235" s="7"/>
      <c r="F235" s="7"/>
      <c r="G235" s="7"/>
      <c r="H235" s="7"/>
      <c r="I235" s="7"/>
      <c r="J235" s="8"/>
      <c r="K235" s="9"/>
    </row>
    <row r="236">
      <c r="A236" s="6"/>
      <c r="B236" s="7"/>
      <c r="C236" s="7"/>
      <c r="D236" s="7"/>
      <c r="E236" s="7"/>
      <c r="F236" s="7"/>
      <c r="G236" s="7"/>
      <c r="H236" s="7"/>
      <c r="I236" s="7"/>
      <c r="J236" s="8"/>
      <c r="K236" s="9"/>
    </row>
    <row r="237">
      <c r="A237" s="6"/>
      <c r="B237" s="7"/>
      <c r="C237" s="7"/>
      <c r="D237" s="7"/>
      <c r="E237" s="7"/>
      <c r="F237" s="7"/>
      <c r="G237" s="7"/>
      <c r="H237" s="7"/>
      <c r="I237" s="7"/>
      <c r="J237" s="8"/>
      <c r="K237" s="9"/>
    </row>
    <row r="238">
      <c r="A238" s="6"/>
      <c r="B238" s="7"/>
      <c r="C238" s="7"/>
      <c r="D238" s="7"/>
      <c r="E238" s="7"/>
      <c r="F238" s="7"/>
      <c r="G238" s="7"/>
      <c r="H238" s="7"/>
      <c r="I238" s="7"/>
      <c r="J238" s="8"/>
      <c r="K238" s="9"/>
    </row>
    <row r="239">
      <c r="A239" s="6"/>
      <c r="B239" s="7"/>
      <c r="C239" s="7"/>
      <c r="D239" s="7"/>
      <c r="E239" s="7"/>
      <c r="F239" s="7"/>
      <c r="G239" s="7"/>
      <c r="H239" s="7"/>
      <c r="I239" s="7"/>
      <c r="J239" s="8"/>
      <c r="K239" s="9"/>
    </row>
    <row r="240">
      <c r="A240" s="6"/>
      <c r="B240" s="7"/>
      <c r="C240" s="7"/>
      <c r="D240" s="7"/>
      <c r="E240" s="7"/>
      <c r="F240" s="7"/>
      <c r="G240" s="7"/>
      <c r="H240" s="7"/>
      <c r="I240" s="7"/>
      <c r="J240" s="8"/>
      <c r="K240" s="9"/>
    </row>
    <row r="241">
      <c r="A241" s="6"/>
      <c r="B241" s="7"/>
      <c r="C241" s="7"/>
      <c r="D241" s="7"/>
      <c r="E241" s="7"/>
      <c r="F241" s="7"/>
      <c r="G241" s="7"/>
      <c r="H241" s="7"/>
      <c r="I241" s="7"/>
      <c r="J241" s="8"/>
      <c r="K241" s="9"/>
    </row>
    <row r="242">
      <c r="A242" s="6"/>
      <c r="B242" s="7"/>
      <c r="C242" s="7"/>
      <c r="D242" s="7"/>
      <c r="E242" s="7"/>
      <c r="F242" s="7"/>
      <c r="G242" s="7"/>
      <c r="H242" s="7"/>
      <c r="I242" s="7"/>
      <c r="J242" s="8"/>
      <c r="K242" s="9"/>
    </row>
    <row r="243">
      <c r="A243" s="6"/>
      <c r="B243" s="7"/>
      <c r="C243" s="7"/>
      <c r="D243" s="7"/>
      <c r="E243" s="7"/>
      <c r="F243" s="7"/>
      <c r="G243" s="7"/>
      <c r="H243" s="7"/>
      <c r="I243" s="7"/>
      <c r="J243" s="8"/>
      <c r="K243" s="9"/>
    </row>
    <row r="244">
      <c r="A244" s="6"/>
      <c r="B244" s="7"/>
      <c r="C244" s="7"/>
      <c r="D244" s="7"/>
      <c r="E244" s="7"/>
      <c r="F244" s="7"/>
      <c r="G244" s="7"/>
      <c r="H244" s="7"/>
      <c r="I244" s="7"/>
      <c r="J244" s="8"/>
      <c r="K244" s="9"/>
    </row>
    <row r="245">
      <c r="A245" s="6"/>
      <c r="B245" s="7"/>
      <c r="C245" s="7"/>
      <c r="D245" s="7"/>
      <c r="E245" s="7"/>
      <c r="F245" s="7"/>
      <c r="G245" s="7"/>
      <c r="H245" s="7"/>
      <c r="I245" s="7"/>
      <c r="J245" s="8"/>
      <c r="K245" s="9"/>
    </row>
    <row r="246">
      <c r="A246" s="6"/>
      <c r="B246" s="7"/>
      <c r="C246" s="7"/>
      <c r="D246" s="7"/>
      <c r="E246" s="7"/>
      <c r="F246" s="7"/>
      <c r="G246" s="7"/>
      <c r="H246" s="7"/>
      <c r="I246" s="7"/>
      <c r="J246" s="8"/>
      <c r="K246" s="9"/>
    </row>
    <row r="247">
      <c r="A247" s="6"/>
      <c r="B247" s="7"/>
      <c r="C247" s="7"/>
      <c r="D247" s="7"/>
      <c r="E247" s="7"/>
      <c r="F247" s="7"/>
      <c r="G247" s="7"/>
      <c r="H247" s="7"/>
      <c r="I247" s="7"/>
      <c r="J247" s="8"/>
      <c r="K247" s="9"/>
    </row>
    <row r="248">
      <c r="A248" s="6"/>
      <c r="B248" s="7"/>
      <c r="C248" s="7"/>
      <c r="D248" s="7"/>
      <c r="E248" s="7"/>
      <c r="F248" s="7"/>
      <c r="G248" s="7"/>
      <c r="H248" s="7"/>
      <c r="I248" s="7"/>
      <c r="J248" s="8"/>
      <c r="K248" s="9"/>
    </row>
    <row r="249">
      <c r="A249" s="6"/>
      <c r="B249" s="7"/>
      <c r="C249" s="7"/>
      <c r="D249" s="7"/>
      <c r="E249" s="7"/>
      <c r="F249" s="7"/>
      <c r="G249" s="7"/>
      <c r="H249" s="7"/>
      <c r="I249" s="7"/>
      <c r="J249" s="8"/>
      <c r="K249" s="9"/>
    </row>
    <row r="250">
      <c r="A250" s="6"/>
      <c r="B250" s="7"/>
      <c r="C250" s="7"/>
      <c r="D250" s="7"/>
      <c r="E250" s="7"/>
      <c r="F250" s="7"/>
      <c r="G250" s="7"/>
      <c r="H250" s="7"/>
      <c r="I250" s="7"/>
      <c r="J250" s="8"/>
      <c r="K250" s="9"/>
    </row>
    <row r="251">
      <c r="A251" s="6"/>
      <c r="B251" s="7"/>
      <c r="C251" s="7"/>
      <c r="D251" s="7"/>
      <c r="E251" s="7"/>
      <c r="F251" s="7"/>
      <c r="G251" s="7"/>
      <c r="H251" s="7"/>
      <c r="I251" s="7"/>
      <c r="J251" s="8"/>
      <c r="K251" s="9"/>
    </row>
    <row r="252">
      <c r="A252" s="6"/>
      <c r="B252" s="7"/>
      <c r="C252" s="7"/>
      <c r="D252" s="7"/>
      <c r="E252" s="7"/>
      <c r="F252" s="7"/>
      <c r="G252" s="7"/>
      <c r="H252" s="7"/>
      <c r="I252" s="7"/>
      <c r="J252" s="8"/>
      <c r="K252" s="9"/>
    </row>
    <row r="253">
      <c r="A253" s="6"/>
      <c r="B253" s="7"/>
      <c r="C253" s="7"/>
      <c r="D253" s="7"/>
      <c r="E253" s="7"/>
      <c r="F253" s="7"/>
      <c r="G253" s="7"/>
      <c r="H253" s="7"/>
      <c r="I253" s="7"/>
      <c r="J253" s="8"/>
      <c r="K253" s="9"/>
    </row>
    <row r="254">
      <c r="A254" s="6"/>
      <c r="B254" s="7"/>
      <c r="C254" s="7"/>
      <c r="D254" s="7"/>
      <c r="E254" s="7"/>
      <c r="F254" s="7"/>
      <c r="G254" s="7"/>
      <c r="H254" s="7"/>
      <c r="I254" s="7"/>
      <c r="J254" s="8"/>
      <c r="K254" s="9"/>
    </row>
    <row r="255">
      <c r="A255" s="6"/>
      <c r="B255" s="7"/>
      <c r="C255" s="7"/>
      <c r="D255" s="7"/>
      <c r="E255" s="7"/>
      <c r="F255" s="7"/>
      <c r="G255" s="7"/>
      <c r="H255" s="7"/>
      <c r="I255" s="7"/>
      <c r="J255" s="8"/>
      <c r="K255" s="9"/>
    </row>
    <row r="256">
      <c r="A256" s="6"/>
      <c r="B256" s="7"/>
      <c r="C256" s="7"/>
      <c r="D256" s="7"/>
      <c r="E256" s="7"/>
      <c r="F256" s="7"/>
      <c r="G256" s="7"/>
      <c r="H256" s="7"/>
      <c r="I256" s="7"/>
      <c r="J256" s="8"/>
      <c r="K256" s="9"/>
    </row>
    <row r="257">
      <c r="A257" s="6"/>
      <c r="B257" s="7"/>
      <c r="C257" s="7"/>
      <c r="D257" s="7"/>
      <c r="E257" s="7"/>
      <c r="F257" s="7"/>
      <c r="G257" s="7"/>
      <c r="H257" s="7"/>
      <c r="I257" s="7"/>
      <c r="J257" s="8"/>
      <c r="K257" s="9"/>
    </row>
    <row r="258">
      <c r="A258" s="6"/>
      <c r="B258" s="7"/>
      <c r="C258" s="7"/>
      <c r="D258" s="7"/>
      <c r="E258" s="7"/>
      <c r="F258" s="7"/>
      <c r="G258" s="7"/>
      <c r="H258" s="7"/>
      <c r="I258" s="7"/>
      <c r="J258" s="8"/>
      <c r="K258" s="9"/>
    </row>
    <row r="259">
      <c r="A259" s="6"/>
      <c r="B259" s="7"/>
      <c r="C259" s="7"/>
      <c r="D259" s="7"/>
      <c r="E259" s="7"/>
      <c r="F259" s="7"/>
      <c r="G259" s="7"/>
      <c r="H259" s="7"/>
      <c r="I259" s="7"/>
      <c r="J259" s="8"/>
      <c r="K259" s="9"/>
    </row>
    <row r="260">
      <c r="A260" s="6"/>
      <c r="B260" s="7"/>
      <c r="C260" s="7"/>
      <c r="D260" s="7"/>
      <c r="E260" s="7"/>
      <c r="F260" s="7"/>
      <c r="G260" s="7"/>
      <c r="H260" s="7"/>
      <c r="I260" s="7"/>
      <c r="J260" s="8"/>
      <c r="K260" s="9"/>
    </row>
    <row r="261">
      <c r="A261" s="6"/>
      <c r="B261" s="7"/>
      <c r="C261" s="7"/>
      <c r="D261" s="7"/>
      <c r="E261" s="7"/>
      <c r="F261" s="7"/>
      <c r="G261" s="7"/>
      <c r="H261" s="7"/>
      <c r="I261" s="7"/>
      <c r="J261" s="8"/>
      <c r="K261" s="9"/>
    </row>
    <row r="262">
      <c r="A262" s="6"/>
      <c r="B262" s="7"/>
      <c r="C262" s="7"/>
      <c r="D262" s="7"/>
      <c r="E262" s="7"/>
      <c r="F262" s="7"/>
      <c r="G262" s="7"/>
      <c r="H262" s="7"/>
      <c r="I262" s="7"/>
      <c r="J262" s="8"/>
      <c r="K262" s="9"/>
    </row>
    <row r="263">
      <c r="A263" s="6"/>
      <c r="B263" s="7"/>
      <c r="C263" s="7"/>
      <c r="D263" s="7"/>
      <c r="E263" s="7"/>
      <c r="F263" s="7"/>
      <c r="G263" s="7"/>
      <c r="H263" s="7"/>
      <c r="I263" s="7"/>
      <c r="J263" s="8"/>
      <c r="K263" s="9"/>
    </row>
    <row r="264">
      <c r="A264" s="6"/>
      <c r="B264" s="7"/>
      <c r="C264" s="7"/>
      <c r="D264" s="7"/>
      <c r="E264" s="7"/>
      <c r="F264" s="7"/>
      <c r="G264" s="7"/>
      <c r="H264" s="7"/>
      <c r="I264" s="7"/>
      <c r="J264" s="8"/>
      <c r="K264" s="9"/>
    </row>
    <row r="265">
      <c r="A265" s="6"/>
      <c r="B265" s="7"/>
      <c r="C265" s="7"/>
      <c r="D265" s="7"/>
      <c r="E265" s="7"/>
      <c r="F265" s="7"/>
      <c r="G265" s="7"/>
      <c r="H265" s="7"/>
      <c r="I265" s="7"/>
      <c r="J265" s="8"/>
      <c r="K265" s="9"/>
    </row>
    <row r="266">
      <c r="A266" s="6"/>
      <c r="B266" s="7"/>
      <c r="C266" s="7"/>
      <c r="D266" s="7"/>
      <c r="E266" s="7"/>
      <c r="F266" s="7"/>
      <c r="G266" s="7"/>
      <c r="H266" s="7"/>
      <c r="I266" s="7"/>
      <c r="J266" s="8"/>
      <c r="K266" s="9"/>
    </row>
    <row r="267">
      <c r="A267" s="6"/>
      <c r="B267" s="7"/>
      <c r="C267" s="7"/>
      <c r="D267" s="7"/>
      <c r="E267" s="7"/>
      <c r="F267" s="7"/>
      <c r="G267" s="7"/>
      <c r="H267" s="7"/>
      <c r="I267" s="7"/>
      <c r="J267" s="8"/>
      <c r="K267" s="9"/>
    </row>
    <row r="268">
      <c r="A268" s="6"/>
      <c r="B268" s="7"/>
      <c r="C268" s="7"/>
      <c r="D268" s="7"/>
      <c r="E268" s="7"/>
      <c r="F268" s="7"/>
      <c r="G268" s="7"/>
      <c r="H268" s="7"/>
      <c r="I268" s="7"/>
      <c r="J268" s="8"/>
      <c r="K268" s="9"/>
    </row>
    <row r="269">
      <c r="A269" s="6"/>
      <c r="B269" s="7"/>
      <c r="C269" s="7"/>
      <c r="D269" s="7"/>
      <c r="E269" s="7"/>
      <c r="F269" s="7"/>
      <c r="G269" s="7"/>
      <c r="H269" s="7"/>
      <c r="I269" s="7"/>
      <c r="J269" s="8"/>
      <c r="K269" s="9"/>
    </row>
    <row r="270">
      <c r="A270" s="6"/>
      <c r="B270" s="7"/>
      <c r="C270" s="7"/>
      <c r="D270" s="7"/>
      <c r="E270" s="7"/>
      <c r="F270" s="7"/>
      <c r="G270" s="7"/>
      <c r="H270" s="7"/>
      <c r="I270" s="7"/>
      <c r="J270" s="8"/>
      <c r="K270" s="9"/>
    </row>
    <row r="271">
      <c r="A271" s="6"/>
      <c r="B271" s="7"/>
      <c r="C271" s="7"/>
      <c r="D271" s="7"/>
      <c r="E271" s="7"/>
      <c r="F271" s="7"/>
      <c r="G271" s="7"/>
      <c r="H271" s="7"/>
      <c r="I271" s="7"/>
      <c r="J271" s="8"/>
      <c r="K271" s="9"/>
    </row>
    <row r="272">
      <c r="A272" s="6"/>
      <c r="B272" s="7"/>
      <c r="C272" s="7"/>
      <c r="D272" s="7"/>
      <c r="E272" s="7"/>
      <c r="F272" s="7"/>
      <c r="G272" s="7"/>
      <c r="H272" s="7"/>
      <c r="I272" s="7"/>
      <c r="J272" s="8"/>
      <c r="K272" s="9"/>
    </row>
    <row r="273">
      <c r="A273" s="6"/>
      <c r="B273" s="7"/>
      <c r="C273" s="7"/>
      <c r="D273" s="7"/>
      <c r="E273" s="7"/>
      <c r="F273" s="7"/>
      <c r="G273" s="7"/>
      <c r="H273" s="7"/>
      <c r="I273" s="7"/>
      <c r="J273" s="8"/>
      <c r="K273" s="9"/>
    </row>
    <row r="274">
      <c r="A274" s="6"/>
      <c r="B274" s="7"/>
      <c r="C274" s="7"/>
      <c r="D274" s="7"/>
      <c r="E274" s="7"/>
      <c r="F274" s="7"/>
      <c r="G274" s="7"/>
      <c r="H274" s="7"/>
      <c r="I274" s="7"/>
      <c r="J274" s="8"/>
      <c r="K274" s="9"/>
    </row>
    <row r="275">
      <c r="A275" s="6"/>
      <c r="B275" s="7"/>
      <c r="C275" s="7"/>
      <c r="D275" s="7"/>
      <c r="E275" s="7"/>
      <c r="F275" s="7"/>
      <c r="G275" s="7"/>
      <c r="H275" s="7"/>
      <c r="I275" s="7"/>
      <c r="J275" s="8"/>
      <c r="K275" s="9"/>
    </row>
    <row r="276">
      <c r="A276" s="6"/>
      <c r="B276" s="7"/>
      <c r="C276" s="7"/>
      <c r="D276" s="7"/>
      <c r="E276" s="7"/>
      <c r="F276" s="7"/>
      <c r="G276" s="7"/>
      <c r="H276" s="7"/>
      <c r="I276" s="7"/>
      <c r="J276" s="8"/>
      <c r="K276" s="9"/>
    </row>
    <row r="277">
      <c r="A277" s="6"/>
      <c r="B277" s="7"/>
      <c r="C277" s="7"/>
      <c r="D277" s="7"/>
      <c r="E277" s="7"/>
      <c r="F277" s="7"/>
      <c r="G277" s="7"/>
      <c r="H277" s="7"/>
      <c r="I277" s="7"/>
      <c r="J277" s="8"/>
      <c r="K277" s="9"/>
    </row>
    <row r="278">
      <c r="A278" s="6"/>
      <c r="B278" s="7"/>
      <c r="C278" s="7"/>
      <c r="D278" s="7"/>
      <c r="E278" s="7"/>
      <c r="F278" s="7"/>
      <c r="G278" s="7"/>
      <c r="H278" s="7"/>
      <c r="I278" s="7"/>
      <c r="J278" s="8"/>
      <c r="K278" s="9"/>
    </row>
    <row r="279">
      <c r="A279" s="6"/>
      <c r="B279" s="7"/>
      <c r="C279" s="7"/>
      <c r="D279" s="7"/>
      <c r="E279" s="7"/>
      <c r="F279" s="7"/>
      <c r="G279" s="7"/>
      <c r="H279" s="7"/>
      <c r="I279" s="7"/>
      <c r="J279" s="8"/>
      <c r="K279" s="9"/>
    </row>
    <row r="280">
      <c r="A280" s="6"/>
      <c r="B280" s="7"/>
      <c r="C280" s="7"/>
      <c r="D280" s="7"/>
      <c r="E280" s="7"/>
      <c r="F280" s="7"/>
      <c r="G280" s="7"/>
      <c r="H280" s="7"/>
      <c r="I280" s="7"/>
      <c r="J280" s="8"/>
      <c r="K280" s="9"/>
    </row>
    <row r="281">
      <c r="A281" s="6"/>
      <c r="B281" s="7"/>
      <c r="C281" s="7"/>
      <c r="D281" s="7"/>
      <c r="E281" s="7"/>
      <c r="F281" s="7"/>
      <c r="G281" s="7"/>
      <c r="H281" s="7"/>
      <c r="I281" s="7"/>
      <c r="J281" s="8"/>
      <c r="K281" s="9"/>
    </row>
    <row r="282">
      <c r="A282" s="6"/>
      <c r="B282" s="7"/>
      <c r="C282" s="7"/>
      <c r="D282" s="7"/>
      <c r="E282" s="7"/>
      <c r="F282" s="7"/>
      <c r="G282" s="7"/>
      <c r="H282" s="7"/>
      <c r="I282" s="7"/>
      <c r="J282" s="8"/>
      <c r="K282" s="9"/>
    </row>
    <row r="283">
      <c r="A283" s="6"/>
      <c r="B283" s="7"/>
      <c r="C283" s="7"/>
      <c r="D283" s="7"/>
      <c r="E283" s="7"/>
      <c r="F283" s="7"/>
      <c r="G283" s="7"/>
      <c r="H283" s="7"/>
      <c r="I283" s="7"/>
      <c r="J283" s="8"/>
      <c r="K283" s="9"/>
    </row>
    <row r="284">
      <c r="A284" s="6"/>
      <c r="B284" s="7"/>
      <c r="C284" s="7"/>
      <c r="D284" s="7"/>
      <c r="E284" s="7"/>
      <c r="F284" s="7"/>
      <c r="G284" s="7"/>
      <c r="H284" s="7"/>
      <c r="I284" s="7"/>
      <c r="J284" s="8"/>
      <c r="K284" s="9"/>
    </row>
    <row r="285">
      <c r="A285" s="6"/>
      <c r="B285" s="7"/>
      <c r="C285" s="7"/>
      <c r="D285" s="7"/>
      <c r="E285" s="7"/>
      <c r="F285" s="7"/>
      <c r="G285" s="7"/>
      <c r="H285" s="7"/>
      <c r="I285" s="7"/>
      <c r="J285" s="8"/>
      <c r="K285" s="9"/>
    </row>
    <row r="286">
      <c r="A286" s="6"/>
      <c r="B286" s="7"/>
      <c r="C286" s="7"/>
      <c r="D286" s="7"/>
      <c r="E286" s="7"/>
      <c r="F286" s="7"/>
      <c r="G286" s="7"/>
      <c r="H286" s="7"/>
      <c r="I286" s="7"/>
      <c r="J286" s="8"/>
      <c r="K286" s="9"/>
    </row>
    <row r="287">
      <c r="A287" s="6"/>
      <c r="B287" s="7"/>
      <c r="C287" s="7"/>
      <c r="D287" s="7"/>
      <c r="E287" s="7"/>
      <c r="F287" s="7"/>
      <c r="G287" s="7"/>
      <c r="H287" s="7"/>
      <c r="I287" s="7"/>
      <c r="J287" s="8"/>
      <c r="K287" s="9"/>
    </row>
    <row r="288">
      <c r="A288" s="6"/>
      <c r="B288" s="7"/>
      <c r="C288" s="7"/>
      <c r="D288" s="7"/>
      <c r="E288" s="7"/>
      <c r="F288" s="7"/>
      <c r="G288" s="7"/>
      <c r="H288" s="7"/>
      <c r="I288" s="7"/>
      <c r="J288" s="8"/>
      <c r="K288" s="9"/>
    </row>
    <row r="289">
      <c r="A289" s="6"/>
      <c r="B289" s="7"/>
      <c r="C289" s="7"/>
      <c r="D289" s="7"/>
      <c r="E289" s="7"/>
      <c r="F289" s="7"/>
      <c r="G289" s="7"/>
      <c r="H289" s="7"/>
      <c r="I289" s="7"/>
      <c r="J289" s="8"/>
      <c r="K289" s="9"/>
    </row>
    <row r="290">
      <c r="A290" s="6"/>
      <c r="B290" s="7"/>
      <c r="C290" s="7"/>
      <c r="D290" s="7"/>
      <c r="E290" s="7"/>
      <c r="F290" s="7"/>
      <c r="G290" s="7"/>
      <c r="H290" s="7"/>
      <c r="I290" s="7"/>
      <c r="J290" s="8"/>
      <c r="K290" s="9"/>
    </row>
    <row r="291">
      <c r="A291" s="6"/>
      <c r="B291" s="7"/>
      <c r="C291" s="7"/>
      <c r="D291" s="7"/>
      <c r="E291" s="7"/>
      <c r="F291" s="7"/>
      <c r="G291" s="7"/>
      <c r="H291" s="7"/>
      <c r="I291" s="7"/>
      <c r="J291" s="8"/>
      <c r="K291" s="9"/>
    </row>
    <row r="292">
      <c r="A292" s="6"/>
      <c r="B292" s="7"/>
      <c r="C292" s="7"/>
      <c r="D292" s="7"/>
      <c r="E292" s="7"/>
      <c r="F292" s="7"/>
      <c r="G292" s="7"/>
      <c r="H292" s="7"/>
      <c r="I292" s="7"/>
      <c r="J292" s="8"/>
      <c r="K292" s="9"/>
    </row>
    <row r="293">
      <c r="A293" s="6"/>
      <c r="B293" s="7"/>
      <c r="C293" s="7"/>
      <c r="D293" s="7"/>
      <c r="E293" s="7"/>
      <c r="F293" s="7"/>
      <c r="G293" s="7"/>
      <c r="H293" s="7"/>
      <c r="I293" s="7"/>
      <c r="J293" s="8"/>
      <c r="K293" s="9"/>
    </row>
    <row r="294">
      <c r="A294" s="6"/>
      <c r="B294" s="7"/>
      <c r="C294" s="7"/>
      <c r="D294" s="7"/>
      <c r="E294" s="7"/>
      <c r="F294" s="7"/>
      <c r="G294" s="7"/>
      <c r="H294" s="7"/>
      <c r="I294" s="7"/>
      <c r="J294" s="8"/>
      <c r="K294" s="9"/>
    </row>
    <row r="295">
      <c r="A295" s="6"/>
      <c r="B295" s="7"/>
      <c r="C295" s="7"/>
      <c r="D295" s="7"/>
      <c r="E295" s="7"/>
      <c r="F295" s="7"/>
      <c r="G295" s="7"/>
      <c r="H295" s="7"/>
      <c r="I295" s="7"/>
      <c r="J295" s="8"/>
      <c r="K295" s="9"/>
    </row>
    <row r="296">
      <c r="A296" s="6"/>
      <c r="B296" s="7"/>
      <c r="C296" s="7"/>
      <c r="D296" s="7"/>
      <c r="E296" s="7"/>
      <c r="F296" s="7"/>
      <c r="G296" s="7"/>
      <c r="H296" s="7"/>
      <c r="I296" s="7"/>
      <c r="J296" s="8"/>
      <c r="K296" s="9"/>
    </row>
    <row r="297">
      <c r="A297" s="6"/>
      <c r="B297" s="7"/>
      <c r="C297" s="7"/>
      <c r="D297" s="7"/>
      <c r="E297" s="7"/>
      <c r="F297" s="7"/>
      <c r="G297" s="7"/>
      <c r="H297" s="7"/>
      <c r="I297" s="7"/>
      <c r="J297" s="8"/>
      <c r="K297" s="9"/>
    </row>
    <row r="298">
      <c r="A298" s="6"/>
      <c r="B298" s="7"/>
      <c r="C298" s="7"/>
      <c r="D298" s="7"/>
      <c r="E298" s="7"/>
      <c r="F298" s="7"/>
      <c r="G298" s="7"/>
      <c r="H298" s="7"/>
      <c r="I298" s="7"/>
      <c r="J298" s="8"/>
      <c r="K298" s="9"/>
    </row>
    <row r="299">
      <c r="A299" s="6"/>
      <c r="B299" s="7"/>
      <c r="C299" s="7"/>
      <c r="D299" s="7"/>
      <c r="E299" s="7"/>
      <c r="F299" s="7"/>
      <c r="G299" s="7"/>
      <c r="H299" s="7"/>
      <c r="I299" s="7"/>
      <c r="J299" s="8"/>
      <c r="K299" s="9"/>
    </row>
    <row r="300">
      <c r="A300" s="6"/>
      <c r="B300" s="7"/>
      <c r="C300" s="7"/>
      <c r="D300" s="7"/>
      <c r="E300" s="7"/>
      <c r="F300" s="7"/>
      <c r="G300" s="7"/>
      <c r="H300" s="7"/>
      <c r="I300" s="7"/>
      <c r="J300" s="8"/>
      <c r="K300" s="9"/>
    </row>
    <row r="301">
      <c r="A301" s="6"/>
      <c r="B301" s="7"/>
      <c r="C301" s="7"/>
      <c r="D301" s="7"/>
      <c r="E301" s="7"/>
      <c r="F301" s="7"/>
      <c r="G301" s="7"/>
      <c r="H301" s="7"/>
      <c r="I301" s="7"/>
      <c r="J301" s="8"/>
      <c r="K301" s="9"/>
    </row>
    <row r="302">
      <c r="A302" s="6"/>
      <c r="B302" s="7"/>
      <c r="C302" s="7"/>
      <c r="D302" s="7"/>
      <c r="E302" s="7"/>
      <c r="F302" s="7"/>
      <c r="G302" s="7"/>
      <c r="H302" s="7"/>
      <c r="I302" s="7"/>
      <c r="J302" s="8"/>
      <c r="K302" s="9"/>
    </row>
    <row r="303">
      <c r="A303" s="6"/>
      <c r="B303" s="7"/>
      <c r="C303" s="7"/>
      <c r="D303" s="7"/>
      <c r="E303" s="7"/>
      <c r="F303" s="7"/>
      <c r="G303" s="7"/>
      <c r="H303" s="7"/>
      <c r="I303" s="7"/>
      <c r="J303" s="8"/>
      <c r="K303" s="9"/>
    </row>
    <row r="304">
      <c r="A304" s="6"/>
      <c r="B304" s="7"/>
      <c r="C304" s="7"/>
      <c r="D304" s="7"/>
      <c r="E304" s="7"/>
      <c r="F304" s="7"/>
      <c r="G304" s="7"/>
      <c r="H304" s="7"/>
      <c r="I304" s="7"/>
      <c r="J304" s="8"/>
      <c r="K304" s="9"/>
    </row>
    <row r="305">
      <c r="A305" s="6"/>
      <c r="B305" s="7"/>
      <c r="C305" s="7"/>
      <c r="D305" s="7"/>
      <c r="E305" s="7"/>
      <c r="F305" s="7"/>
      <c r="G305" s="7"/>
      <c r="H305" s="7"/>
      <c r="I305" s="7"/>
      <c r="J305" s="8"/>
      <c r="K305" s="9"/>
    </row>
    <row r="306">
      <c r="A306" s="6"/>
      <c r="B306" s="7"/>
      <c r="C306" s="7"/>
      <c r="D306" s="7"/>
      <c r="E306" s="7"/>
      <c r="F306" s="7"/>
      <c r="G306" s="7"/>
      <c r="H306" s="7"/>
      <c r="I306" s="7"/>
      <c r="J306" s="8"/>
      <c r="K306" s="9"/>
    </row>
    <row r="307">
      <c r="A307" s="6"/>
      <c r="B307" s="7"/>
      <c r="C307" s="7"/>
      <c r="D307" s="7"/>
      <c r="E307" s="7"/>
      <c r="F307" s="7"/>
      <c r="G307" s="7"/>
      <c r="H307" s="7"/>
      <c r="I307" s="7"/>
      <c r="J307" s="8"/>
      <c r="K307" s="9"/>
    </row>
    <row r="308">
      <c r="A308" s="6"/>
      <c r="B308" s="7"/>
      <c r="C308" s="7"/>
      <c r="D308" s="7"/>
      <c r="E308" s="7"/>
      <c r="F308" s="7"/>
      <c r="G308" s="7"/>
      <c r="H308" s="7"/>
      <c r="I308" s="7"/>
      <c r="J308" s="8"/>
      <c r="K308" s="9"/>
    </row>
    <row r="309">
      <c r="A309" s="6"/>
      <c r="B309" s="7"/>
      <c r="C309" s="7"/>
      <c r="D309" s="7"/>
      <c r="E309" s="7"/>
      <c r="F309" s="7"/>
      <c r="G309" s="7"/>
      <c r="H309" s="7"/>
      <c r="I309" s="7"/>
      <c r="J309" s="8"/>
      <c r="K309" s="9"/>
    </row>
    <row r="310">
      <c r="A310" s="6"/>
      <c r="B310" s="7"/>
      <c r="C310" s="7"/>
      <c r="D310" s="7"/>
      <c r="E310" s="7"/>
      <c r="F310" s="7"/>
      <c r="G310" s="7"/>
      <c r="H310" s="7"/>
      <c r="I310" s="7"/>
      <c r="J310" s="8"/>
      <c r="K310" s="9"/>
    </row>
    <row r="311">
      <c r="A311" s="6"/>
      <c r="B311" s="7"/>
      <c r="C311" s="7"/>
      <c r="D311" s="7"/>
      <c r="E311" s="7"/>
      <c r="F311" s="7"/>
      <c r="G311" s="7"/>
      <c r="H311" s="7"/>
      <c r="I311" s="7"/>
      <c r="J311" s="8"/>
      <c r="K311" s="9"/>
    </row>
    <row r="312">
      <c r="A312" s="6"/>
      <c r="B312" s="7"/>
      <c r="C312" s="7"/>
      <c r="D312" s="7"/>
      <c r="E312" s="7"/>
      <c r="F312" s="7"/>
      <c r="G312" s="7"/>
      <c r="H312" s="7"/>
      <c r="I312" s="7"/>
      <c r="J312" s="8"/>
      <c r="K312" s="9"/>
    </row>
    <row r="313">
      <c r="A313" s="6"/>
      <c r="B313" s="7"/>
      <c r="C313" s="7"/>
      <c r="D313" s="7"/>
      <c r="E313" s="7"/>
      <c r="F313" s="7"/>
      <c r="G313" s="7"/>
      <c r="H313" s="7"/>
      <c r="I313" s="7"/>
      <c r="J313" s="8"/>
      <c r="K313" s="9"/>
    </row>
    <row r="314">
      <c r="A314" s="6"/>
      <c r="B314" s="7"/>
      <c r="C314" s="7"/>
      <c r="D314" s="7"/>
      <c r="E314" s="7"/>
      <c r="F314" s="7"/>
      <c r="G314" s="7"/>
      <c r="H314" s="7"/>
      <c r="I314" s="7"/>
      <c r="J314" s="8"/>
      <c r="K314" s="9"/>
    </row>
    <row r="315">
      <c r="A315" s="6"/>
      <c r="B315" s="7"/>
      <c r="C315" s="7"/>
      <c r="D315" s="7"/>
      <c r="E315" s="7"/>
      <c r="F315" s="7"/>
      <c r="G315" s="7"/>
      <c r="H315" s="7"/>
      <c r="I315" s="7"/>
      <c r="J315" s="8"/>
      <c r="K315" s="9"/>
    </row>
    <row r="316">
      <c r="A316" s="6"/>
      <c r="B316" s="7"/>
      <c r="C316" s="7"/>
      <c r="D316" s="7"/>
      <c r="E316" s="7"/>
      <c r="F316" s="7"/>
      <c r="G316" s="7"/>
      <c r="H316" s="7"/>
      <c r="I316" s="7"/>
      <c r="J316" s="8"/>
      <c r="K316" s="9"/>
    </row>
    <row r="317">
      <c r="A317" s="6"/>
      <c r="B317" s="7"/>
      <c r="C317" s="7"/>
      <c r="D317" s="7"/>
      <c r="E317" s="7"/>
      <c r="F317" s="7"/>
      <c r="G317" s="7"/>
      <c r="H317" s="7"/>
      <c r="I317" s="7"/>
      <c r="J317" s="8"/>
      <c r="K317" s="9"/>
    </row>
    <row r="318">
      <c r="A318" s="6"/>
      <c r="B318" s="7"/>
      <c r="C318" s="7"/>
      <c r="D318" s="7"/>
      <c r="E318" s="7"/>
      <c r="F318" s="7"/>
      <c r="G318" s="7"/>
      <c r="H318" s="7"/>
      <c r="I318" s="7"/>
      <c r="J318" s="8"/>
      <c r="K318" s="9"/>
    </row>
    <row r="319">
      <c r="A319" s="6"/>
      <c r="B319" s="7"/>
      <c r="C319" s="7"/>
      <c r="D319" s="7"/>
      <c r="E319" s="7"/>
      <c r="F319" s="7"/>
      <c r="G319" s="7"/>
      <c r="H319" s="7"/>
      <c r="I319" s="7"/>
      <c r="J319" s="8"/>
      <c r="K319" s="9"/>
    </row>
    <row r="320">
      <c r="A320" s="6"/>
      <c r="B320" s="7"/>
      <c r="C320" s="7"/>
      <c r="D320" s="7"/>
      <c r="E320" s="7"/>
      <c r="F320" s="7"/>
      <c r="G320" s="7"/>
      <c r="H320" s="7"/>
      <c r="I320" s="7"/>
      <c r="J320" s="8"/>
      <c r="K320" s="9"/>
    </row>
    <row r="321">
      <c r="A321" s="6"/>
      <c r="B321" s="7"/>
      <c r="C321" s="7"/>
      <c r="D321" s="7"/>
      <c r="E321" s="7"/>
      <c r="F321" s="7"/>
      <c r="G321" s="7"/>
      <c r="H321" s="7"/>
      <c r="I321" s="7"/>
      <c r="J321" s="8"/>
      <c r="K321" s="9"/>
    </row>
    <row r="322">
      <c r="A322" s="6"/>
      <c r="B322" s="7"/>
      <c r="C322" s="7"/>
      <c r="D322" s="7"/>
      <c r="E322" s="7"/>
      <c r="F322" s="7"/>
      <c r="G322" s="7"/>
      <c r="H322" s="7"/>
      <c r="I322" s="7"/>
      <c r="J322" s="8"/>
      <c r="K322" s="9"/>
    </row>
    <row r="323">
      <c r="A323" s="6"/>
      <c r="B323" s="7"/>
      <c r="C323" s="7"/>
      <c r="D323" s="7"/>
      <c r="E323" s="7"/>
      <c r="F323" s="7"/>
      <c r="G323" s="7"/>
      <c r="H323" s="7"/>
      <c r="I323" s="7"/>
      <c r="J323" s="8"/>
      <c r="K323" s="9"/>
    </row>
    <row r="324">
      <c r="A324" s="6"/>
      <c r="B324" s="7"/>
      <c r="C324" s="7"/>
      <c r="D324" s="7"/>
      <c r="E324" s="7"/>
      <c r="F324" s="7"/>
      <c r="G324" s="7"/>
      <c r="H324" s="7"/>
      <c r="I324" s="7"/>
      <c r="J324" s="8"/>
      <c r="K324" s="9"/>
    </row>
    <row r="325">
      <c r="A325" s="6"/>
      <c r="B325" s="7"/>
      <c r="C325" s="7"/>
      <c r="D325" s="7"/>
      <c r="E325" s="7"/>
      <c r="F325" s="7"/>
      <c r="G325" s="7"/>
      <c r="H325" s="7"/>
      <c r="I325" s="7"/>
      <c r="J325" s="8"/>
      <c r="K325" s="9"/>
    </row>
    <row r="326">
      <c r="A326" s="6"/>
      <c r="B326" s="7"/>
      <c r="C326" s="7"/>
      <c r="D326" s="7"/>
      <c r="E326" s="7"/>
      <c r="F326" s="7"/>
      <c r="G326" s="7"/>
      <c r="H326" s="7"/>
      <c r="I326" s="7"/>
      <c r="J326" s="8"/>
      <c r="K326" s="9"/>
    </row>
    <row r="327">
      <c r="A327" s="6"/>
      <c r="B327" s="7"/>
      <c r="C327" s="7"/>
      <c r="D327" s="7"/>
      <c r="E327" s="7"/>
      <c r="F327" s="7"/>
      <c r="G327" s="7"/>
      <c r="H327" s="7"/>
      <c r="I327" s="7"/>
      <c r="J327" s="8"/>
      <c r="K327" s="9"/>
    </row>
    <row r="328">
      <c r="A328" s="6"/>
      <c r="B328" s="7"/>
      <c r="C328" s="7"/>
      <c r="D328" s="7"/>
      <c r="E328" s="7"/>
      <c r="F328" s="7"/>
      <c r="G328" s="7"/>
      <c r="H328" s="7"/>
      <c r="I328" s="7"/>
      <c r="J328" s="8"/>
      <c r="K328" s="9"/>
    </row>
    <row r="329">
      <c r="A329" s="6"/>
      <c r="B329" s="7"/>
      <c r="C329" s="7"/>
      <c r="D329" s="7"/>
      <c r="E329" s="7"/>
      <c r="F329" s="7"/>
      <c r="G329" s="7"/>
      <c r="H329" s="7"/>
      <c r="I329" s="7"/>
      <c r="J329" s="8"/>
      <c r="K329" s="9"/>
    </row>
    <row r="330">
      <c r="A330" s="6"/>
      <c r="B330" s="7"/>
      <c r="C330" s="7"/>
      <c r="D330" s="7"/>
      <c r="E330" s="7"/>
      <c r="F330" s="7"/>
      <c r="G330" s="7"/>
      <c r="H330" s="7"/>
      <c r="I330" s="7"/>
      <c r="J330" s="8"/>
      <c r="K330" s="9"/>
    </row>
    <row r="331">
      <c r="A331" s="6"/>
      <c r="B331" s="7"/>
      <c r="C331" s="7"/>
      <c r="D331" s="7"/>
      <c r="E331" s="7"/>
      <c r="F331" s="7"/>
      <c r="G331" s="7"/>
      <c r="H331" s="7"/>
      <c r="I331" s="7"/>
      <c r="J331" s="8"/>
      <c r="K331" s="9"/>
    </row>
    <row r="332">
      <c r="A332" s="6"/>
      <c r="B332" s="7"/>
      <c r="C332" s="7"/>
      <c r="D332" s="7"/>
      <c r="E332" s="7"/>
      <c r="F332" s="7"/>
      <c r="G332" s="7"/>
      <c r="H332" s="7"/>
      <c r="I332" s="7"/>
      <c r="J332" s="8"/>
      <c r="K332" s="9"/>
    </row>
    <row r="333">
      <c r="A333" s="6"/>
      <c r="B333" s="7"/>
      <c r="C333" s="7"/>
      <c r="D333" s="7"/>
      <c r="E333" s="7"/>
      <c r="F333" s="7"/>
      <c r="G333" s="7"/>
      <c r="H333" s="7"/>
      <c r="I333" s="7"/>
      <c r="J333" s="8"/>
      <c r="K333" s="9"/>
    </row>
    <row r="334">
      <c r="A334" s="6"/>
      <c r="B334" s="7"/>
      <c r="C334" s="7"/>
      <c r="D334" s="7"/>
      <c r="E334" s="7"/>
      <c r="F334" s="7"/>
      <c r="G334" s="7"/>
      <c r="H334" s="7"/>
      <c r="I334" s="7"/>
      <c r="J334" s="8"/>
      <c r="K334" s="9"/>
    </row>
    <row r="335">
      <c r="A335" s="6"/>
      <c r="B335" s="7"/>
      <c r="C335" s="7"/>
      <c r="D335" s="7"/>
      <c r="E335" s="7"/>
      <c r="F335" s="7"/>
      <c r="G335" s="7"/>
      <c r="H335" s="7"/>
      <c r="I335" s="7"/>
      <c r="J335" s="8"/>
      <c r="K335" s="9"/>
    </row>
    <row r="336">
      <c r="A336" s="6"/>
      <c r="B336" s="7"/>
      <c r="C336" s="7"/>
      <c r="D336" s="7"/>
      <c r="E336" s="7"/>
      <c r="F336" s="7"/>
      <c r="G336" s="7"/>
      <c r="H336" s="7"/>
      <c r="I336" s="7"/>
      <c r="J336" s="8"/>
      <c r="K336" s="9"/>
    </row>
    <row r="337">
      <c r="A337" s="6"/>
      <c r="B337" s="7"/>
      <c r="C337" s="7"/>
      <c r="D337" s="7"/>
      <c r="E337" s="7"/>
      <c r="F337" s="7"/>
      <c r="G337" s="7"/>
      <c r="H337" s="7"/>
      <c r="I337" s="7"/>
      <c r="J337" s="8"/>
      <c r="K337" s="9"/>
    </row>
    <row r="338">
      <c r="A338" s="6"/>
      <c r="B338" s="7"/>
      <c r="C338" s="7"/>
      <c r="D338" s="7"/>
      <c r="E338" s="7"/>
      <c r="F338" s="7"/>
      <c r="G338" s="7"/>
      <c r="H338" s="7"/>
      <c r="I338" s="7"/>
      <c r="J338" s="8"/>
      <c r="K338" s="9"/>
    </row>
    <row r="339">
      <c r="A339" s="6"/>
      <c r="B339" s="7"/>
      <c r="C339" s="7"/>
      <c r="D339" s="7"/>
      <c r="E339" s="7"/>
      <c r="F339" s="7"/>
      <c r="G339" s="7"/>
      <c r="H339" s="7"/>
      <c r="I339" s="7"/>
      <c r="J339" s="8"/>
      <c r="K339" s="9"/>
    </row>
    <row r="340">
      <c r="A340" s="6"/>
      <c r="B340" s="7"/>
      <c r="C340" s="7"/>
      <c r="D340" s="7"/>
      <c r="E340" s="7"/>
      <c r="F340" s="7"/>
      <c r="G340" s="7"/>
      <c r="H340" s="7"/>
      <c r="I340" s="7"/>
      <c r="J340" s="8"/>
      <c r="K340" s="9"/>
    </row>
    <row r="341">
      <c r="A341" s="6"/>
      <c r="B341" s="7"/>
      <c r="C341" s="7"/>
      <c r="D341" s="7"/>
      <c r="E341" s="7"/>
      <c r="F341" s="7"/>
      <c r="G341" s="7"/>
      <c r="H341" s="7"/>
      <c r="I341" s="7"/>
      <c r="J341" s="8"/>
      <c r="K341" s="9"/>
    </row>
    <row r="342">
      <c r="A342" s="6"/>
      <c r="B342" s="7"/>
      <c r="C342" s="7"/>
      <c r="D342" s="7"/>
      <c r="E342" s="7"/>
      <c r="F342" s="7"/>
      <c r="G342" s="7"/>
      <c r="H342" s="7"/>
      <c r="I342" s="7"/>
      <c r="J342" s="8"/>
      <c r="K342" s="9"/>
    </row>
    <row r="343">
      <c r="A343" s="6"/>
      <c r="B343" s="7"/>
      <c r="C343" s="7"/>
      <c r="D343" s="7"/>
      <c r="E343" s="7"/>
      <c r="F343" s="7"/>
      <c r="G343" s="7"/>
      <c r="H343" s="7"/>
      <c r="I343" s="7"/>
      <c r="J343" s="8"/>
      <c r="K343" s="9"/>
    </row>
    <row r="344">
      <c r="A344" s="6"/>
      <c r="B344" s="7"/>
      <c r="C344" s="7"/>
      <c r="D344" s="7"/>
      <c r="E344" s="7"/>
      <c r="F344" s="7"/>
      <c r="G344" s="7"/>
      <c r="H344" s="7"/>
      <c r="I344" s="7"/>
      <c r="J344" s="8"/>
      <c r="K344" s="9"/>
    </row>
    <row r="345">
      <c r="A345" s="6"/>
      <c r="B345" s="7"/>
      <c r="C345" s="7"/>
      <c r="D345" s="7"/>
      <c r="E345" s="7"/>
      <c r="F345" s="7"/>
      <c r="G345" s="7"/>
      <c r="H345" s="7"/>
      <c r="I345" s="7"/>
      <c r="J345" s="8"/>
      <c r="K345" s="9"/>
    </row>
    <row r="346">
      <c r="A346" s="6"/>
      <c r="B346" s="7"/>
      <c r="C346" s="7"/>
      <c r="D346" s="7"/>
      <c r="E346" s="7"/>
      <c r="F346" s="7"/>
      <c r="G346" s="7"/>
      <c r="H346" s="7"/>
      <c r="I346" s="7"/>
      <c r="J346" s="8"/>
      <c r="K346" s="9"/>
    </row>
    <row r="347">
      <c r="A347" s="6"/>
      <c r="B347" s="7"/>
      <c r="C347" s="7"/>
      <c r="D347" s="7"/>
      <c r="E347" s="7"/>
      <c r="F347" s="7"/>
      <c r="G347" s="7"/>
      <c r="H347" s="7"/>
      <c r="I347" s="7"/>
      <c r="J347" s="8"/>
      <c r="K347" s="9"/>
    </row>
    <row r="348">
      <c r="A348" s="6"/>
      <c r="B348" s="7"/>
      <c r="C348" s="7"/>
      <c r="D348" s="7"/>
      <c r="E348" s="7"/>
      <c r="F348" s="7"/>
      <c r="G348" s="7"/>
      <c r="H348" s="7"/>
      <c r="I348" s="7"/>
      <c r="J348" s="8"/>
      <c r="K348" s="9"/>
    </row>
    <row r="349">
      <c r="A349" s="6"/>
      <c r="B349" s="7"/>
      <c r="C349" s="7"/>
      <c r="D349" s="7"/>
      <c r="E349" s="7"/>
      <c r="F349" s="7"/>
      <c r="G349" s="7"/>
      <c r="H349" s="7"/>
      <c r="I349" s="7"/>
      <c r="J349" s="8"/>
      <c r="K349" s="9"/>
    </row>
    <row r="350">
      <c r="A350" s="6"/>
      <c r="B350" s="7"/>
      <c r="C350" s="7"/>
      <c r="D350" s="7"/>
      <c r="E350" s="7"/>
      <c r="F350" s="7"/>
      <c r="G350" s="7"/>
      <c r="H350" s="7"/>
      <c r="I350" s="7"/>
      <c r="J350" s="8"/>
      <c r="K350" s="9"/>
    </row>
    <row r="351">
      <c r="A351" s="6"/>
      <c r="B351" s="7"/>
      <c r="C351" s="7"/>
      <c r="D351" s="7"/>
      <c r="E351" s="7"/>
      <c r="F351" s="7"/>
      <c r="G351" s="7"/>
      <c r="H351" s="7"/>
      <c r="I351" s="7"/>
      <c r="J351" s="8"/>
      <c r="K351" s="9"/>
    </row>
    <row r="352">
      <c r="A352" s="6"/>
      <c r="B352" s="7"/>
      <c r="C352" s="7"/>
      <c r="D352" s="7"/>
      <c r="E352" s="7"/>
      <c r="F352" s="7"/>
      <c r="G352" s="7"/>
      <c r="H352" s="7"/>
      <c r="I352" s="7"/>
      <c r="J352" s="8"/>
      <c r="K352" s="9"/>
    </row>
    <row r="353">
      <c r="A353" s="6"/>
      <c r="B353" s="7"/>
      <c r="C353" s="7"/>
      <c r="D353" s="7"/>
      <c r="E353" s="7"/>
      <c r="F353" s="7"/>
      <c r="G353" s="7"/>
      <c r="H353" s="7"/>
      <c r="I353" s="7"/>
      <c r="J353" s="8"/>
      <c r="K353" s="9"/>
    </row>
    <row r="354">
      <c r="A354" s="6"/>
      <c r="B354" s="7"/>
      <c r="C354" s="7"/>
      <c r="D354" s="7"/>
      <c r="E354" s="7"/>
      <c r="F354" s="7"/>
      <c r="G354" s="7"/>
      <c r="H354" s="7"/>
      <c r="I354" s="7"/>
      <c r="J354" s="8"/>
      <c r="K354" s="9"/>
    </row>
    <row r="355">
      <c r="A355" s="6"/>
      <c r="B355" s="7"/>
      <c r="C355" s="7"/>
      <c r="D355" s="7"/>
      <c r="E355" s="7"/>
      <c r="F355" s="7"/>
      <c r="G355" s="7"/>
      <c r="H355" s="7"/>
      <c r="I355" s="7"/>
      <c r="J355" s="8"/>
      <c r="K355" s="9"/>
    </row>
    <row r="356">
      <c r="A356" s="6"/>
      <c r="B356" s="7"/>
      <c r="C356" s="7"/>
      <c r="D356" s="7"/>
      <c r="E356" s="7"/>
      <c r="F356" s="7"/>
      <c r="G356" s="7"/>
      <c r="H356" s="7"/>
      <c r="I356" s="7"/>
      <c r="J356" s="8"/>
      <c r="K356" s="9"/>
    </row>
    <row r="357">
      <c r="A357" s="6"/>
      <c r="B357" s="7"/>
      <c r="C357" s="7"/>
      <c r="D357" s="7"/>
      <c r="E357" s="7"/>
      <c r="F357" s="7"/>
      <c r="G357" s="7"/>
      <c r="H357" s="7"/>
      <c r="I357" s="7"/>
      <c r="J357" s="8"/>
      <c r="K357" s="9"/>
    </row>
    <row r="358">
      <c r="A358" s="6"/>
      <c r="B358" s="7"/>
      <c r="C358" s="7"/>
      <c r="D358" s="7"/>
      <c r="E358" s="7"/>
      <c r="F358" s="7"/>
      <c r="G358" s="7"/>
      <c r="H358" s="7"/>
      <c r="I358" s="7"/>
      <c r="J358" s="8"/>
      <c r="K358" s="9"/>
    </row>
    <row r="359">
      <c r="A359" s="6"/>
      <c r="B359" s="7"/>
      <c r="C359" s="7"/>
      <c r="D359" s="7"/>
      <c r="E359" s="7"/>
      <c r="F359" s="7"/>
      <c r="G359" s="7"/>
      <c r="H359" s="7"/>
      <c r="I359" s="7"/>
      <c r="J359" s="8"/>
      <c r="K359" s="9"/>
    </row>
    <row r="360">
      <c r="A360" s="6"/>
      <c r="B360" s="7"/>
      <c r="C360" s="7"/>
      <c r="D360" s="7"/>
      <c r="E360" s="7"/>
      <c r="F360" s="7"/>
      <c r="G360" s="7"/>
      <c r="H360" s="7"/>
      <c r="I360" s="7"/>
      <c r="J360" s="8"/>
      <c r="K360" s="9"/>
    </row>
    <row r="361">
      <c r="A361" s="6"/>
      <c r="B361" s="7"/>
      <c r="C361" s="7"/>
      <c r="D361" s="7"/>
      <c r="E361" s="7"/>
      <c r="F361" s="7"/>
      <c r="G361" s="7"/>
      <c r="H361" s="7"/>
      <c r="I361" s="7"/>
      <c r="J361" s="8"/>
      <c r="K361" s="9"/>
    </row>
    <row r="362">
      <c r="A362" s="6"/>
      <c r="B362" s="7"/>
      <c r="C362" s="7"/>
      <c r="D362" s="7"/>
      <c r="E362" s="7"/>
      <c r="F362" s="7"/>
      <c r="G362" s="7"/>
      <c r="H362" s="7"/>
      <c r="I362" s="7"/>
      <c r="J362" s="8"/>
      <c r="K362" s="9"/>
    </row>
    <row r="363">
      <c r="A363" s="6"/>
      <c r="B363" s="7"/>
      <c r="C363" s="7"/>
      <c r="D363" s="7"/>
      <c r="E363" s="7"/>
      <c r="F363" s="7"/>
      <c r="G363" s="7"/>
      <c r="H363" s="7"/>
      <c r="I363" s="7"/>
      <c r="J363" s="8"/>
      <c r="K363" s="9"/>
    </row>
    <row r="364">
      <c r="A364" s="6"/>
      <c r="B364" s="7"/>
      <c r="C364" s="7"/>
      <c r="D364" s="7"/>
      <c r="E364" s="7"/>
      <c r="F364" s="7"/>
      <c r="G364" s="7"/>
      <c r="H364" s="7"/>
      <c r="I364" s="7"/>
      <c r="J364" s="8"/>
      <c r="K364" s="9"/>
    </row>
    <row r="365">
      <c r="A365" s="6"/>
      <c r="B365" s="7"/>
      <c r="C365" s="7"/>
      <c r="D365" s="7"/>
      <c r="E365" s="7"/>
      <c r="F365" s="7"/>
      <c r="G365" s="7"/>
      <c r="H365" s="7"/>
      <c r="I365" s="7"/>
      <c r="J365" s="8"/>
      <c r="K365" s="9"/>
    </row>
    <row r="366">
      <c r="A366" s="6"/>
      <c r="B366" s="7"/>
      <c r="C366" s="7"/>
      <c r="D366" s="7"/>
      <c r="E366" s="7"/>
      <c r="F366" s="7"/>
      <c r="G366" s="7"/>
      <c r="H366" s="7"/>
      <c r="I366" s="7"/>
      <c r="J366" s="8"/>
      <c r="K366" s="9"/>
    </row>
    <row r="367">
      <c r="A367" s="6"/>
      <c r="B367" s="7"/>
      <c r="C367" s="7"/>
      <c r="D367" s="7"/>
      <c r="E367" s="7"/>
      <c r="F367" s="7"/>
      <c r="G367" s="7"/>
      <c r="H367" s="7"/>
      <c r="I367" s="7"/>
      <c r="J367" s="8"/>
      <c r="K367" s="9"/>
    </row>
    <row r="368">
      <c r="A368" s="6"/>
      <c r="B368" s="7"/>
      <c r="C368" s="7"/>
      <c r="D368" s="7"/>
      <c r="E368" s="7"/>
      <c r="F368" s="7"/>
      <c r="G368" s="7"/>
      <c r="H368" s="7"/>
      <c r="I368" s="7"/>
      <c r="J368" s="8"/>
      <c r="K368" s="9"/>
    </row>
    <row r="369">
      <c r="A369" s="6"/>
      <c r="B369" s="7"/>
      <c r="C369" s="7"/>
      <c r="D369" s="7"/>
      <c r="E369" s="7"/>
      <c r="F369" s="7"/>
      <c r="G369" s="7"/>
      <c r="H369" s="7"/>
      <c r="I369" s="7"/>
      <c r="J369" s="8"/>
      <c r="K369" s="9"/>
    </row>
    <row r="370">
      <c r="A370" s="6"/>
      <c r="B370" s="7"/>
      <c r="C370" s="7"/>
      <c r="D370" s="7"/>
      <c r="E370" s="7"/>
      <c r="F370" s="7"/>
      <c r="G370" s="7"/>
      <c r="H370" s="7"/>
      <c r="I370" s="7"/>
      <c r="J370" s="8"/>
      <c r="K370" s="9"/>
    </row>
    <row r="371">
      <c r="A371" s="6"/>
      <c r="B371" s="7"/>
      <c r="C371" s="7"/>
      <c r="D371" s="7"/>
      <c r="E371" s="7"/>
      <c r="F371" s="7"/>
      <c r="G371" s="7"/>
      <c r="H371" s="7"/>
      <c r="I371" s="7"/>
      <c r="J371" s="8"/>
      <c r="K371" s="9"/>
    </row>
    <row r="372">
      <c r="A372" s="6"/>
      <c r="B372" s="7"/>
      <c r="C372" s="7"/>
      <c r="D372" s="7"/>
      <c r="E372" s="7"/>
      <c r="F372" s="7"/>
      <c r="G372" s="7"/>
      <c r="H372" s="7"/>
      <c r="I372" s="7"/>
      <c r="J372" s="8"/>
      <c r="K372" s="9"/>
    </row>
    <row r="373">
      <c r="A373" s="6"/>
      <c r="B373" s="7"/>
      <c r="C373" s="7"/>
      <c r="D373" s="7"/>
      <c r="E373" s="7"/>
      <c r="F373" s="7"/>
      <c r="G373" s="7"/>
      <c r="H373" s="7"/>
      <c r="I373" s="7"/>
      <c r="J373" s="8"/>
      <c r="K373" s="9"/>
    </row>
    <row r="374">
      <c r="A374" s="6"/>
      <c r="B374" s="7"/>
      <c r="C374" s="7"/>
      <c r="D374" s="7"/>
      <c r="E374" s="7"/>
      <c r="F374" s="7"/>
      <c r="G374" s="7"/>
      <c r="H374" s="7"/>
      <c r="I374" s="7"/>
      <c r="J374" s="8"/>
      <c r="K374" s="9"/>
    </row>
    <row r="375">
      <c r="A375" s="6"/>
      <c r="B375" s="7"/>
      <c r="C375" s="7"/>
      <c r="D375" s="7"/>
      <c r="E375" s="7"/>
      <c r="F375" s="7"/>
      <c r="G375" s="7"/>
      <c r="H375" s="7"/>
      <c r="I375" s="7"/>
      <c r="J375" s="8"/>
      <c r="K375" s="9"/>
    </row>
    <row r="376">
      <c r="A376" s="6"/>
      <c r="B376" s="7"/>
      <c r="C376" s="7"/>
      <c r="D376" s="7"/>
      <c r="E376" s="7"/>
      <c r="F376" s="7"/>
      <c r="G376" s="7"/>
      <c r="H376" s="7"/>
      <c r="I376" s="7"/>
      <c r="J376" s="8"/>
      <c r="K376" s="9"/>
    </row>
    <row r="377">
      <c r="A377" s="6"/>
      <c r="B377" s="7"/>
      <c r="C377" s="7"/>
      <c r="D377" s="7"/>
      <c r="E377" s="7"/>
      <c r="F377" s="7"/>
      <c r="G377" s="7"/>
      <c r="H377" s="7"/>
      <c r="I377" s="7"/>
      <c r="J377" s="8"/>
      <c r="K377" s="9"/>
    </row>
    <row r="378">
      <c r="A378" s="6"/>
      <c r="B378" s="7"/>
      <c r="C378" s="7"/>
      <c r="D378" s="7"/>
      <c r="E378" s="7"/>
      <c r="F378" s="7"/>
      <c r="G378" s="7"/>
      <c r="H378" s="7"/>
      <c r="I378" s="7"/>
      <c r="J378" s="8"/>
      <c r="K378" s="9"/>
    </row>
    <row r="379">
      <c r="A379" s="6"/>
      <c r="B379" s="7"/>
      <c r="C379" s="7"/>
      <c r="D379" s="7"/>
      <c r="E379" s="7"/>
      <c r="F379" s="7"/>
      <c r="G379" s="7"/>
      <c r="H379" s="7"/>
      <c r="I379" s="7"/>
      <c r="J379" s="8"/>
      <c r="K379" s="9"/>
    </row>
    <row r="380">
      <c r="A380" s="6"/>
      <c r="B380" s="7"/>
      <c r="C380" s="7"/>
      <c r="D380" s="7"/>
      <c r="E380" s="7"/>
      <c r="F380" s="7"/>
      <c r="G380" s="7"/>
      <c r="H380" s="7"/>
      <c r="I380" s="7"/>
      <c r="J380" s="8"/>
      <c r="K380" s="9"/>
    </row>
    <row r="381">
      <c r="A381" s="6"/>
      <c r="B381" s="7"/>
      <c r="C381" s="7"/>
      <c r="D381" s="7"/>
      <c r="E381" s="7"/>
      <c r="F381" s="7"/>
      <c r="G381" s="7"/>
      <c r="H381" s="7"/>
      <c r="I381" s="7"/>
      <c r="J381" s="8"/>
      <c r="K381" s="9"/>
    </row>
    <row r="382">
      <c r="A382" s="6"/>
      <c r="B382" s="7"/>
      <c r="C382" s="7"/>
      <c r="D382" s="7"/>
      <c r="E382" s="7"/>
      <c r="F382" s="7"/>
      <c r="G382" s="7"/>
      <c r="H382" s="7"/>
      <c r="I382" s="7"/>
      <c r="J382" s="8"/>
      <c r="K382" s="9"/>
    </row>
    <row r="383">
      <c r="A383" s="6"/>
      <c r="B383" s="7"/>
      <c r="C383" s="7"/>
      <c r="D383" s="7"/>
      <c r="E383" s="7"/>
      <c r="F383" s="7"/>
      <c r="G383" s="7"/>
      <c r="H383" s="7"/>
      <c r="I383" s="7"/>
      <c r="J383" s="8"/>
      <c r="K383" s="9"/>
    </row>
    <row r="384">
      <c r="A384" s="6"/>
      <c r="B384" s="7"/>
      <c r="C384" s="7"/>
      <c r="D384" s="7"/>
      <c r="E384" s="7"/>
      <c r="F384" s="7"/>
      <c r="G384" s="7"/>
      <c r="H384" s="7"/>
      <c r="I384" s="7"/>
      <c r="J384" s="8"/>
      <c r="K384" s="9"/>
    </row>
    <row r="385">
      <c r="A385" s="6"/>
      <c r="B385" s="7"/>
      <c r="C385" s="7"/>
      <c r="D385" s="7"/>
      <c r="E385" s="7"/>
      <c r="F385" s="7"/>
      <c r="G385" s="7"/>
      <c r="H385" s="7"/>
      <c r="I385" s="7"/>
      <c r="J385" s="8"/>
      <c r="K385" s="9"/>
    </row>
    <row r="386">
      <c r="A386" s="6"/>
      <c r="B386" s="7"/>
      <c r="C386" s="7"/>
      <c r="D386" s="7"/>
      <c r="E386" s="7"/>
      <c r="F386" s="7"/>
      <c r="G386" s="7"/>
      <c r="H386" s="7"/>
      <c r="I386" s="7"/>
      <c r="J386" s="8"/>
      <c r="K386" s="9"/>
    </row>
    <row r="387">
      <c r="A387" s="6"/>
      <c r="B387" s="7"/>
      <c r="C387" s="7"/>
      <c r="D387" s="7"/>
      <c r="E387" s="7"/>
      <c r="F387" s="7"/>
      <c r="G387" s="7"/>
      <c r="H387" s="7"/>
      <c r="I387" s="7"/>
      <c r="J387" s="8"/>
      <c r="K387" s="9"/>
    </row>
    <row r="388">
      <c r="A388" s="6"/>
      <c r="B388" s="7"/>
      <c r="C388" s="7"/>
      <c r="D388" s="7"/>
      <c r="E388" s="7"/>
      <c r="F388" s="7"/>
      <c r="G388" s="7"/>
      <c r="H388" s="7"/>
      <c r="I388" s="7"/>
      <c r="J388" s="8"/>
      <c r="K388" s="9"/>
    </row>
    <row r="389">
      <c r="A389" s="6"/>
      <c r="B389" s="7"/>
      <c r="C389" s="7"/>
      <c r="D389" s="7"/>
      <c r="E389" s="7"/>
      <c r="F389" s="7"/>
      <c r="G389" s="7"/>
      <c r="H389" s="7"/>
      <c r="I389" s="7"/>
      <c r="J389" s="8"/>
      <c r="K389" s="9"/>
    </row>
    <row r="390">
      <c r="A390" s="6"/>
      <c r="B390" s="7"/>
      <c r="C390" s="7"/>
      <c r="D390" s="7"/>
      <c r="E390" s="7"/>
      <c r="F390" s="7"/>
      <c r="G390" s="7"/>
      <c r="H390" s="7"/>
      <c r="I390" s="7"/>
      <c r="J390" s="8"/>
      <c r="K390" s="9"/>
    </row>
    <row r="391">
      <c r="A391" s="6"/>
      <c r="B391" s="7"/>
      <c r="C391" s="7"/>
      <c r="D391" s="7"/>
      <c r="E391" s="7"/>
      <c r="F391" s="7"/>
      <c r="G391" s="7"/>
      <c r="H391" s="7"/>
      <c r="I391" s="7"/>
      <c r="J391" s="8"/>
      <c r="K391" s="9"/>
    </row>
    <row r="392">
      <c r="A392" s="6"/>
      <c r="B392" s="7"/>
      <c r="C392" s="7"/>
      <c r="D392" s="7"/>
      <c r="E392" s="7"/>
      <c r="F392" s="7"/>
      <c r="G392" s="7"/>
      <c r="H392" s="7"/>
      <c r="I392" s="7"/>
      <c r="J392" s="8"/>
      <c r="K392" s="9"/>
    </row>
    <row r="393">
      <c r="A393" s="6"/>
      <c r="B393" s="7"/>
      <c r="C393" s="7"/>
      <c r="D393" s="7"/>
      <c r="E393" s="7"/>
      <c r="F393" s="7"/>
      <c r="G393" s="7"/>
      <c r="H393" s="7"/>
      <c r="I393" s="7"/>
      <c r="J393" s="8"/>
      <c r="K393" s="9"/>
    </row>
    <row r="394">
      <c r="A394" s="6"/>
      <c r="B394" s="7"/>
      <c r="C394" s="7"/>
      <c r="D394" s="7"/>
      <c r="E394" s="7"/>
      <c r="F394" s="7"/>
      <c r="G394" s="7"/>
      <c r="H394" s="7"/>
      <c r="I394" s="7"/>
      <c r="J394" s="8"/>
      <c r="K394" s="9"/>
    </row>
    <row r="395">
      <c r="A395" s="6"/>
      <c r="B395" s="7"/>
      <c r="C395" s="7"/>
      <c r="D395" s="7"/>
      <c r="E395" s="7"/>
      <c r="F395" s="7"/>
      <c r="G395" s="7"/>
      <c r="H395" s="7"/>
      <c r="I395" s="7"/>
      <c r="J395" s="8"/>
      <c r="K395" s="9"/>
    </row>
    <row r="396">
      <c r="A396" s="6"/>
      <c r="B396" s="7"/>
      <c r="C396" s="7"/>
      <c r="D396" s="7"/>
      <c r="E396" s="7"/>
      <c r="F396" s="7"/>
      <c r="G396" s="7"/>
      <c r="H396" s="7"/>
      <c r="I396" s="7"/>
      <c r="J396" s="8"/>
      <c r="K396" s="9"/>
    </row>
    <row r="397">
      <c r="A397" s="6"/>
      <c r="B397" s="7"/>
      <c r="C397" s="7"/>
      <c r="D397" s="7"/>
      <c r="E397" s="7"/>
      <c r="F397" s="7"/>
      <c r="G397" s="7"/>
      <c r="H397" s="7"/>
      <c r="I397" s="7"/>
      <c r="J397" s="8"/>
      <c r="K397" s="9"/>
    </row>
    <row r="398">
      <c r="A398" s="6"/>
      <c r="B398" s="7"/>
      <c r="C398" s="7"/>
      <c r="D398" s="7"/>
      <c r="E398" s="7"/>
      <c r="F398" s="7"/>
      <c r="G398" s="7"/>
      <c r="H398" s="7"/>
      <c r="I398" s="7"/>
      <c r="J398" s="8"/>
      <c r="K398" s="9"/>
    </row>
    <row r="399">
      <c r="A399" s="6"/>
      <c r="B399" s="7"/>
      <c r="C399" s="7"/>
      <c r="D399" s="7"/>
      <c r="E399" s="7"/>
      <c r="F399" s="7"/>
      <c r="G399" s="7"/>
      <c r="H399" s="7"/>
      <c r="I399" s="7"/>
      <c r="J399" s="8"/>
      <c r="K399" s="9"/>
    </row>
    <row r="400">
      <c r="A400" s="6"/>
      <c r="B400" s="7"/>
      <c r="C400" s="7"/>
      <c r="D400" s="7"/>
      <c r="E400" s="7"/>
      <c r="F400" s="7"/>
      <c r="G400" s="7"/>
      <c r="H400" s="7"/>
      <c r="I400" s="7"/>
      <c r="J400" s="8"/>
      <c r="K400" s="9"/>
    </row>
    <row r="401">
      <c r="A401" s="6"/>
      <c r="B401" s="7"/>
      <c r="C401" s="7"/>
      <c r="D401" s="7"/>
      <c r="E401" s="7"/>
      <c r="F401" s="7"/>
      <c r="G401" s="7"/>
      <c r="H401" s="7"/>
      <c r="I401" s="7"/>
      <c r="J401" s="8"/>
      <c r="K401" s="9"/>
    </row>
    <row r="402">
      <c r="A402" s="6"/>
      <c r="B402" s="7"/>
      <c r="C402" s="7"/>
      <c r="D402" s="7"/>
      <c r="E402" s="7"/>
      <c r="F402" s="7"/>
      <c r="G402" s="7"/>
      <c r="H402" s="7"/>
      <c r="I402" s="7"/>
      <c r="J402" s="8"/>
      <c r="K402" s="9"/>
    </row>
    <row r="403">
      <c r="A403" s="6"/>
      <c r="B403" s="7"/>
      <c r="C403" s="7"/>
      <c r="D403" s="7"/>
      <c r="E403" s="7"/>
      <c r="F403" s="7"/>
      <c r="G403" s="7"/>
      <c r="H403" s="7"/>
      <c r="I403" s="7"/>
      <c r="J403" s="8"/>
      <c r="K403" s="9"/>
    </row>
    <row r="404">
      <c r="A404" s="6"/>
      <c r="B404" s="7"/>
      <c r="C404" s="7"/>
      <c r="D404" s="7"/>
      <c r="E404" s="7"/>
      <c r="F404" s="7"/>
      <c r="G404" s="7"/>
      <c r="H404" s="7"/>
      <c r="I404" s="7"/>
      <c r="J404" s="8"/>
      <c r="K404" s="9"/>
    </row>
    <row r="405">
      <c r="A405" s="6"/>
      <c r="B405" s="7"/>
      <c r="C405" s="7"/>
      <c r="D405" s="7"/>
      <c r="E405" s="7"/>
      <c r="F405" s="7"/>
      <c r="G405" s="7"/>
      <c r="H405" s="7"/>
      <c r="I405" s="7"/>
      <c r="J405" s="8"/>
      <c r="K405" s="9"/>
    </row>
    <row r="406">
      <c r="A406" s="6"/>
      <c r="B406" s="7"/>
      <c r="C406" s="7"/>
      <c r="D406" s="7"/>
      <c r="E406" s="7"/>
      <c r="F406" s="7"/>
      <c r="G406" s="7"/>
      <c r="H406" s="7"/>
      <c r="I406" s="7"/>
      <c r="J406" s="8"/>
      <c r="K406" s="9"/>
    </row>
    <row r="407">
      <c r="A407" s="6"/>
      <c r="B407" s="7"/>
      <c r="C407" s="7"/>
      <c r="D407" s="7"/>
      <c r="E407" s="7"/>
      <c r="F407" s="7"/>
      <c r="G407" s="7"/>
      <c r="H407" s="7"/>
      <c r="I407" s="7"/>
      <c r="J407" s="8"/>
      <c r="K407" s="9"/>
    </row>
    <row r="408">
      <c r="A408" s="6"/>
      <c r="B408" s="7"/>
      <c r="C408" s="7"/>
      <c r="D408" s="7"/>
      <c r="E408" s="7"/>
      <c r="F408" s="7"/>
      <c r="G408" s="7"/>
      <c r="H408" s="7"/>
      <c r="I408" s="7"/>
      <c r="J408" s="8"/>
      <c r="K408" s="9"/>
    </row>
    <row r="409">
      <c r="A409" s="6"/>
      <c r="B409" s="7"/>
      <c r="C409" s="7"/>
      <c r="D409" s="7"/>
      <c r="E409" s="7"/>
      <c r="F409" s="7"/>
      <c r="G409" s="7"/>
      <c r="H409" s="7"/>
      <c r="I409" s="7"/>
      <c r="J409" s="8"/>
      <c r="K409" s="9"/>
    </row>
    <row r="410">
      <c r="A410" s="6"/>
      <c r="B410" s="7"/>
      <c r="C410" s="7"/>
      <c r="D410" s="7"/>
      <c r="E410" s="7"/>
      <c r="F410" s="7"/>
      <c r="G410" s="7"/>
      <c r="H410" s="7"/>
      <c r="I410" s="7"/>
      <c r="J410" s="8"/>
      <c r="K410" s="9"/>
    </row>
    <row r="411">
      <c r="A411" s="6"/>
      <c r="B411" s="7"/>
      <c r="C411" s="7"/>
      <c r="D411" s="7"/>
      <c r="E411" s="7"/>
      <c r="F411" s="7"/>
      <c r="G411" s="7"/>
      <c r="H411" s="7"/>
      <c r="I411" s="7"/>
      <c r="J411" s="8"/>
      <c r="K411" s="9"/>
    </row>
    <row r="412">
      <c r="A412" s="6"/>
      <c r="B412" s="7"/>
      <c r="C412" s="7"/>
      <c r="D412" s="7"/>
      <c r="E412" s="7"/>
      <c r="F412" s="7"/>
      <c r="G412" s="7"/>
      <c r="H412" s="7"/>
      <c r="I412" s="7"/>
      <c r="J412" s="8"/>
      <c r="K412" s="9"/>
    </row>
    <row r="413">
      <c r="A413" s="6"/>
      <c r="B413" s="7"/>
      <c r="C413" s="7"/>
      <c r="D413" s="7"/>
      <c r="E413" s="7"/>
      <c r="F413" s="7"/>
      <c r="G413" s="7"/>
      <c r="H413" s="7"/>
      <c r="I413" s="7"/>
      <c r="J413" s="8"/>
      <c r="K413" s="9"/>
    </row>
    <row r="414">
      <c r="A414" s="6"/>
      <c r="B414" s="7"/>
      <c r="C414" s="7"/>
      <c r="D414" s="7"/>
      <c r="E414" s="7"/>
      <c r="F414" s="7"/>
      <c r="G414" s="7"/>
      <c r="H414" s="7"/>
      <c r="I414" s="7"/>
      <c r="J414" s="8"/>
      <c r="K414" s="9"/>
    </row>
    <row r="415">
      <c r="A415" s="6"/>
      <c r="B415" s="7"/>
      <c r="C415" s="7"/>
      <c r="D415" s="7"/>
      <c r="E415" s="7"/>
      <c r="F415" s="7"/>
      <c r="G415" s="7"/>
      <c r="H415" s="7"/>
      <c r="I415" s="7"/>
      <c r="J415" s="8"/>
      <c r="K415" s="9"/>
    </row>
    <row r="416">
      <c r="A416" s="6"/>
      <c r="B416" s="7"/>
      <c r="C416" s="7"/>
      <c r="D416" s="7"/>
      <c r="E416" s="7"/>
      <c r="F416" s="7"/>
      <c r="G416" s="7"/>
      <c r="H416" s="7"/>
      <c r="I416" s="7"/>
      <c r="J416" s="8"/>
      <c r="K416" s="9"/>
    </row>
    <row r="417">
      <c r="A417" s="6"/>
      <c r="B417" s="7"/>
      <c r="C417" s="7"/>
      <c r="D417" s="7"/>
      <c r="E417" s="7"/>
      <c r="F417" s="7"/>
      <c r="G417" s="7"/>
      <c r="H417" s="7"/>
      <c r="I417" s="7"/>
      <c r="J417" s="8"/>
      <c r="K417" s="9"/>
    </row>
    <row r="418">
      <c r="A418" s="6"/>
      <c r="B418" s="7"/>
      <c r="C418" s="7"/>
      <c r="D418" s="7"/>
      <c r="E418" s="7"/>
      <c r="F418" s="7"/>
      <c r="G418" s="7"/>
      <c r="H418" s="7"/>
      <c r="I418" s="7"/>
      <c r="J418" s="8"/>
      <c r="K418" s="9"/>
    </row>
    <row r="419">
      <c r="A419" s="6"/>
      <c r="B419" s="7"/>
      <c r="C419" s="7"/>
      <c r="D419" s="7"/>
      <c r="E419" s="7"/>
      <c r="F419" s="7"/>
      <c r="G419" s="7"/>
      <c r="H419" s="7"/>
      <c r="I419" s="7"/>
      <c r="J419" s="8"/>
      <c r="K419" s="9"/>
    </row>
    <row r="420">
      <c r="A420" s="6"/>
      <c r="B420" s="7"/>
      <c r="C420" s="7"/>
      <c r="D420" s="7"/>
      <c r="E420" s="7"/>
      <c r="F420" s="7"/>
      <c r="G420" s="7"/>
      <c r="H420" s="7"/>
      <c r="I420" s="7"/>
      <c r="J420" s="8"/>
      <c r="K420" s="9"/>
    </row>
    <row r="421">
      <c r="A421" s="6"/>
      <c r="B421" s="7"/>
      <c r="C421" s="7"/>
      <c r="D421" s="7"/>
      <c r="E421" s="7"/>
      <c r="F421" s="7"/>
      <c r="G421" s="7"/>
      <c r="H421" s="7"/>
      <c r="I421" s="7"/>
      <c r="J421" s="8"/>
      <c r="K421" s="9"/>
    </row>
    <row r="422">
      <c r="A422" s="6"/>
      <c r="B422" s="7"/>
      <c r="C422" s="7"/>
      <c r="D422" s="7"/>
      <c r="E422" s="7"/>
      <c r="F422" s="7"/>
      <c r="G422" s="7"/>
      <c r="H422" s="7"/>
      <c r="I422" s="7"/>
      <c r="J422" s="8"/>
      <c r="K422" s="9"/>
    </row>
    <row r="423">
      <c r="A423" s="6"/>
      <c r="B423" s="7"/>
      <c r="C423" s="7"/>
      <c r="D423" s="7"/>
      <c r="E423" s="7"/>
      <c r="F423" s="7"/>
      <c r="G423" s="7"/>
      <c r="H423" s="7"/>
      <c r="I423" s="7"/>
      <c r="J423" s="8"/>
      <c r="K423" s="9"/>
    </row>
    <row r="424">
      <c r="A424" s="6"/>
      <c r="B424" s="7"/>
      <c r="C424" s="7"/>
      <c r="D424" s="7"/>
      <c r="E424" s="7"/>
      <c r="F424" s="7"/>
      <c r="G424" s="7"/>
      <c r="H424" s="7"/>
      <c r="I424" s="7"/>
      <c r="J424" s="8"/>
      <c r="K424" s="9"/>
    </row>
    <row r="425">
      <c r="A425" s="6"/>
      <c r="B425" s="7"/>
      <c r="C425" s="7"/>
      <c r="D425" s="7"/>
      <c r="E425" s="7"/>
      <c r="F425" s="7"/>
      <c r="G425" s="7"/>
      <c r="H425" s="7"/>
      <c r="I425" s="7"/>
      <c r="J425" s="8"/>
      <c r="K425" s="9"/>
    </row>
    <row r="426">
      <c r="A426" s="6"/>
      <c r="B426" s="7"/>
      <c r="C426" s="7"/>
      <c r="D426" s="7"/>
      <c r="E426" s="7"/>
      <c r="F426" s="7"/>
      <c r="G426" s="7"/>
      <c r="H426" s="7"/>
      <c r="I426" s="7"/>
      <c r="J426" s="8"/>
      <c r="K426" s="9"/>
    </row>
    <row r="427">
      <c r="A427" s="6"/>
      <c r="B427" s="7"/>
      <c r="C427" s="7"/>
      <c r="D427" s="7"/>
      <c r="E427" s="7"/>
      <c r="F427" s="7"/>
      <c r="G427" s="7"/>
      <c r="H427" s="7"/>
      <c r="I427" s="7"/>
      <c r="J427" s="8"/>
      <c r="K427" s="9"/>
    </row>
    <row r="428">
      <c r="A428" s="6"/>
      <c r="B428" s="7"/>
      <c r="C428" s="7"/>
      <c r="D428" s="7"/>
      <c r="E428" s="7"/>
      <c r="F428" s="7"/>
      <c r="G428" s="7"/>
      <c r="H428" s="7"/>
      <c r="I428" s="7"/>
      <c r="J428" s="8"/>
      <c r="K428" s="9"/>
    </row>
    <row r="429">
      <c r="A429" s="6"/>
      <c r="B429" s="7"/>
      <c r="C429" s="7"/>
      <c r="D429" s="7"/>
      <c r="E429" s="7"/>
      <c r="F429" s="7"/>
      <c r="G429" s="7"/>
      <c r="H429" s="7"/>
      <c r="I429" s="7"/>
      <c r="J429" s="8"/>
      <c r="K429" s="9"/>
    </row>
    <row r="430">
      <c r="A430" s="6"/>
      <c r="B430" s="7"/>
      <c r="C430" s="7"/>
      <c r="D430" s="7"/>
      <c r="E430" s="7"/>
      <c r="F430" s="7"/>
      <c r="G430" s="7"/>
      <c r="H430" s="7"/>
      <c r="I430" s="7"/>
      <c r="J430" s="8"/>
      <c r="K430" s="9"/>
    </row>
    <row r="431">
      <c r="A431" s="6"/>
      <c r="B431" s="7"/>
      <c r="C431" s="7"/>
      <c r="D431" s="7"/>
      <c r="E431" s="7"/>
      <c r="F431" s="7"/>
      <c r="G431" s="7"/>
      <c r="H431" s="7"/>
      <c r="I431" s="7"/>
      <c r="J431" s="8"/>
      <c r="K431" s="9"/>
    </row>
    <row r="432">
      <c r="A432" s="6"/>
      <c r="B432" s="7"/>
      <c r="C432" s="7"/>
      <c r="D432" s="7"/>
      <c r="E432" s="7"/>
      <c r="F432" s="7"/>
      <c r="G432" s="7"/>
      <c r="H432" s="7"/>
      <c r="I432" s="7"/>
      <c r="J432" s="8"/>
      <c r="K432" s="9"/>
    </row>
    <row r="433">
      <c r="A433" s="6"/>
      <c r="B433" s="7"/>
      <c r="C433" s="7"/>
      <c r="D433" s="7"/>
      <c r="E433" s="7"/>
      <c r="F433" s="7"/>
      <c r="G433" s="7"/>
      <c r="H433" s="7"/>
      <c r="I433" s="7"/>
      <c r="J433" s="8"/>
      <c r="K433" s="9"/>
    </row>
    <row r="434">
      <c r="A434" s="6"/>
      <c r="B434" s="7"/>
      <c r="C434" s="7"/>
      <c r="D434" s="7"/>
      <c r="E434" s="7"/>
      <c r="F434" s="7"/>
      <c r="G434" s="7"/>
      <c r="H434" s="7"/>
      <c r="I434" s="7"/>
      <c r="J434" s="8"/>
      <c r="K434" s="9"/>
    </row>
    <row r="435">
      <c r="A435" s="6"/>
      <c r="B435" s="7"/>
      <c r="C435" s="7"/>
      <c r="D435" s="7"/>
      <c r="E435" s="7"/>
      <c r="F435" s="7"/>
      <c r="G435" s="7"/>
      <c r="H435" s="7"/>
      <c r="I435" s="7"/>
      <c r="J435" s="8"/>
      <c r="K435" s="9"/>
    </row>
    <row r="436">
      <c r="A436" s="6"/>
      <c r="B436" s="7"/>
      <c r="C436" s="7"/>
      <c r="D436" s="7"/>
      <c r="E436" s="7"/>
      <c r="F436" s="7"/>
      <c r="G436" s="7"/>
      <c r="H436" s="7"/>
      <c r="I436" s="7"/>
      <c r="J436" s="8"/>
      <c r="K436" s="9"/>
    </row>
    <row r="437">
      <c r="A437" s="6"/>
      <c r="B437" s="7"/>
      <c r="C437" s="7"/>
      <c r="D437" s="7"/>
      <c r="E437" s="7"/>
      <c r="F437" s="7"/>
      <c r="G437" s="7"/>
      <c r="H437" s="7"/>
      <c r="I437" s="7"/>
      <c r="J437" s="8"/>
      <c r="K437" s="9"/>
    </row>
    <row r="438">
      <c r="A438" s="6"/>
      <c r="B438" s="7"/>
      <c r="C438" s="7"/>
      <c r="D438" s="7"/>
      <c r="E438" s="7"/>
      <c r="F438" s="7"/>
      <c r="G438" s="7"/>
      <c r="H438" s="7"/>
      <c r="I438" s="7"/>
      <c r="J438" s="8"/>
      <c r="K438" s="9"/>
    </row>
    <row r="439">
      <c r="A439" s="6"/>
      <c r="B439" s="7"/>
      <c r="C439" s="7"/>
      <c r="D439" s="7"/>
      <c r="E439" s="7"/>
      <c r="F439" s="7"/>
      <c r="G439" s="7"/>
      <c r="H439" s="7"/>
      <c r="I439" s="7"/>
      <c r="J439" s="8"/>
      <c r="K439" s="9"/>
    </row>
    <row r="440">
      <c r="A440" s="6"/>
      <c r="B440" s="7"/>
      <c r="C440" s="7"/>
      <c r="D440" s="7"/>
      <c r="E440" s="7"/>
      <c r="F440" s="7"/>
      <c r="G440" s="7"/>
      <c r="H440" s="7"/>
      <c r="I440" s="7"/>
      <c r="J440" s="8"/>
      <c r="K440" s="9"/>
    </row>
    <row r="441">
      <c r="A441" s="6"/>
      <c r="B441" s="7"/>
      <c r="C441" s="7"/>
      <c r="D441" s="7"/>
      <c r="E441" s="7"/>
      <c r="F441" s="7"/>
      <c r="G441" s="7"/>
      <c r="H441" s="7"/>
      <c r="I441" s="7"/>
      <c r="J441" s="8"/>
      <c r="K441" s="9"/>
    </row>
    <row r="442">
      <c r="A442" s="6"/>
      <c r="B442" s="7"/>
      <c r="C442" s="7"/>
      <c r="D442" s="7"/>
      <c r="E442" s="7"/>
      <c r="F442" s="7"/>
      <c r="G442" s="7"/>
      <c r="H442" s="7"/>
      <c r="I442" s="7"/>
      <c r="J442" s="8"/>
      <c r="K442" s="9"/>
    </row>
    <row r="443">
      <c r="A443" s="6"/>
      <c r="B443" s="7"/>
      <c r="C443" s="7"/>
      <c r="D443" s="7"/>
      <c r="E443" s="7"/>
      <c r="F443" s="7"/>
      <c r="G443" s="7"/>
      <c r="H443" s="7"/>
      <c r="I443" s="7"/>
      <c r="J443" s="8"/>
      <c r="K443" s="9"/>
    </row>
    <row r="444">
      <c r="A444" s="6"/>
      <c r="B444" s="7"/>
      <c r="C444" s="7"/>
      <c r="D444" s="7"/>
      <c r="E444" s="7"/>
      <c r="F444" s="7"/>
      <c r="G444" s="7"/>
      <c r="H444" s="7"/>
      <c r="I444" s="7"/>
      <c r="J444" s="8"/>
      <c r="K444" s="9"/>
    </row>
    <row r="445">
      <c r="A445" s="6"/>
      <c r="B445" s="7"/>
      <c r="C445" s="7"/>
      <c r="D445" s="7"/>
      <c r="E445" s="7"/>
      <c r="F445" s="7"/>
      <c r="G445" s="7"/>
      <c r="H445" s="7"/>
      <c r="I445" s="7"/>
      <c r="J445" s="8"/>
      <c r="K445" s="9"/>
    </row>
    <row r="446">
      <c r="A446" s="6"/>
      <c r="B446" s="7"/>
      <c r="C446" s="7"/>
      <c r="D446" s="7"/>
      <c r="E446" s="7"/>
      <c r="F446" s="7"/>
      <c r="G446" s="7"/>
      <c r="H446" s="7"/>
      <c r="I446" s="7"/>
      <c r="J446" s="8"/>
      <c r="K446" s="9"/>
    </row>
    <row r="447">
      <c r="A447" s="6"/>
      <c r="B447" s="7"/>
      <c r="C447" s="7"/>
      <c r="D447" s="7"/>
      <c r="E447" s="7"/>
      <c r="F447" s="7"/>
      <c r="G447" s="7"/>
      <c r="H447" s="7"/>
      <c r="I447" s="7"/>
      <c r="J447" s="8"/>
      <c r="K447" s="9"/>
    </row>
    <row r="448">
      <c r="A448" s="6"/>
      <c r="B448" s="7"/>
      <c r="C448" s="7"/>
      <c r="D448" s="7"/>
      <c r="E448" s="7"/>
      <c r="F448" s="7"/>
      <c r="G448" s="7"/>
      <c r="H448" s="7"/>
      <c r="I448" s="7"/>
      <c r="J448" s="8"/>
      <c r="K448" s="9"/>
    </row>
    <row r="449">
      <c r="A449" s="6"/>
      <c r="B449" s="7"/>
      <c r="C449" s="7"/>
      <c r="D449" s="7"/>
      <c r="E449" s="7"/>
      <c r="F449" s="7"/>
      <c r="G449" s="7"/>
      <c r="H449" s="7"/>
      <c r="I449" s="7"/>
      <c r="J449" s="8"/>
      <c r="K449" s="9"/>
    </row>
    <row r="450">
      <c r="A450" s="6"/>
      <c r="B450" s="7"/>
      <c r="C450" s="7"/>
      <c r="D450" s="7"/>
      <c r="E450" s="7"/>
      <c r="F450" s="7"/>
      <c r="G450" s="7"/>
      <c r="H450" s="7"/>
      <c r="I450" s="7"/>
      <c r="J450" s="8"/>
      <c r="K450" s="9"/>
    </row>
    <row r="451">
      <c r="A451" s="6"/>
      <c r="B451" s="7"/>
      <c r="C451" s="7"/>
      <c r="D451" s="7"/>
      <c r="E451" s="7"/>
      <c r="F451" s="7"/>
      <c r="G451" s="7"/>
      <c r="H451" s="7"/>
      <c r="I451" s="7"/>
      <c r="J451" s="8"/>
      <c r="K451" s="9"/>
    </row>
    <row r="452">
      <c r="A452" s="6"/>
      <c r="B452" s="7"/>
      <c r="C452" s="7"/>
      <c r="D452" s="7"/>
      <c r="E452" s="7"/>
      <c r="F452" s="7"/>
      <c r="G452" s="7"/>
      <c r="H452" s="7"/>
      <c r="I452" s="7"/>
      <c r="J452" s="8"/>
      <c r="K452" s="9"/>
    </row>
    <row r="453">
      <c r="A453" s="6"/>
      <c r="B453" s="7"/>
      <c r="C453" s="7"/>
      <c r="D453" s="7"/>
      <c r="E453" s="7"/>
      <c r="F453" s="7"/>
      <c r="G453" s="7"/>
      <c r="H453" s="7"/>
      <c r="I453" s="7"/>
      <c r="J453" s="8"/>
      <c r="K453" s="9"/>
    </row>
    <row r="454">
      <c r="A454" s="6"/>
      <c r="B454" s="7"/>
      <c r="C454" s="7"/>
      <c r="D454" s="7"/>
      <c r="E454" s="7"/>
      <c r="F454" s="7"/>
      <c r="G454" s="7"/>
      <c r="H454" s="7"/>
      <c r="I454" s="7"/>
      <c r="J454" s="8"/>
      <c r="K454" s="9"/>
    </row>
    <row r="455">
      <c r="A455" s="6"/>
      <c r="B455" s="7"/>
      <c r="C455" s="7"/>
      <c r="D455" s="7"/>
      <c r="E455" s="7"/>
      <c r="F455" s="7"/>
      <c r="G455" s="7"/>
      <c r="H455" s="7"/>
      <c r="I455" s="7"/>
      <c r="J455" s="8"/>
      <c r="K455" s="9"/>
    </row>
    <row r="456">
      <c r="A456" s="6"/>
      <c r="B456" s="7"/>
      <c r="C456" s="7"/>
      <c r="D456" s="7"/>
      <c r="E456" s="7"/>
      <c r="F456" s="7"/>
      <c r="G456" s="7"/>
      <c r="H456" s="7"/>
      <c r="I456" s="7"/>
      <c r="J456" s="8"/>
      <c r="K456" s="9"/>
    </row>
    <row r="457">
      <c r="A457" s="6"/>
      <c r="B457" s="7"/>
      <c r="C457" s="7"/>
      <c r="D457" s="7"/>
      <c r="E457" s="7"/>
      <c r="F457" s="7"/>
      <c r="G457" s="7"/>
      <c r="H457" s="7"/>
      <c r="I457" s="7"/>
      <c r="J457" s="8"/>
      <c r="K457" s="9"/>
    </row>
    <row r="458">
      <c r="A458" s="6"/>
      <c r="B458" s="7"/>
      <c r="C458" s="7"/>
      <c r="D458" s="7"/>
      <c r="E458" s="7"/>
      <c r="F458" s="7"/>
      <c r="G458" s="7"/>
      <c r="H458" s="7"/>
      <c r="I458" s="7"/>
      <c r="J458" s="8"/>
      <c r="K458" s="9"/>
    </row>
    <row r="459">
      <c r="A459" s="6"/>
      <c r="B459" s="7"/>
      <c r="C459" s="7"/>
      <c r="D459" s="7"/>
      <c r="E459" s="7"/>
      <c r="F459" s="7"/>
      <c r="G459" s="7"/>
      <c r="H459" s="7"/>
      <c r="I459" s="7"/>
      <c r="J459" s="8"/>
      <c r="K459" s="9"/>
    </row>
    <row r="460">
      <c r="A460" s="6"/>
      <c r="B460" s="7"/>
      <c r="C460" s="7"/>
      <c r="D460" s="7"/>
      <c r="E460" s="7"/>
      <c r="F460" s="7"/>
      <c r="G460" s="7"/>
      <c r="H460" s="7"/>
      <c r="I460" s="7"/>
      <c r="J460" s="8"/>
      <c r="K460" s="9"/>
    </row>
    <row r="461">
      <c r="A461" s="6"/>
      <c r="B461" s="7"/>
      <c r="C461" s="7"/>
      <c r="D461" s="7"/>
      <c r="E461" s="7"/>
      <c r="F461" s="7"/>
      <c r="G461" s="7"/>
      <c r="H461" s="7"/>
      <c r="I461" s="7"/>
      <c r="J461" s="8"/>
      <c r="K461" s="9"/>
    </row>
    <row r="462">
      <c r="A462" s="6"/>
      <c r="B462" s="7"/>
      <c r="C462" s="7"/>
      <c r="D462" s="7"/>
      <c r="E462" s="7"/>
      <c r="F462" s="7"/>
      <c r="G462" s="7"/>
      <c r="H462" s="7"/>
      <c r="I462" s="7"/>
      <c r="J462" s="8"/>
      <c r="K462" s="9"/>
    </row>
    <row r="463">
      <c r="A463" s="6"/>
      <c r="B463" s="7"/>
      <c r="C463" s="7"/>
      <c r="D463" s="7"/>
      <c r="E463" s="7"/>
      <c r="F463" s="7"/>
      <c r="G463" s="7"/>
      <c r="H463" s="7"/>
      <c r="I463" s="7"/>
      <c r="J463" s="8"/>
      <c r="K463" s="9"/>
    </row>
    <row r="464">
      <c r="A464" s="6"/>
      <c r="B464" s="7"/>
      <c r="C464" s="7"/>
      <c r="D464" s="7"/>
      <c r="E464" s="7"/>
      <c r="F464" s="7"/>
      <c r="G464" s="7"/>
      <c r="H464" s="7"/>
      <c r="I464" s="7"/>
      <c r="J464" s="8"/>
      <c r="K464" s="9"/>
    </row>
    <row r="465">
      <c r="A465" s="6"/>
      <c r="B465" s="7"/>
      <c r="C465" s="7"/>
      <c r="D465" s="7"/>
      <c r="E465" s="7"/>
      <c r="F465" s="7"/>
      <c r="G465" s="7"/>
      <c r="H465" s="7"/>
      <c r="I465" s="7"/>
      <c r="J465" s="8"/>
      <c r="K465" s="9"/>
    </row>
    <row r="466">
      <c r="A466" s="6"/>
      <c r="B466" s="7"/>
      <c r="C466" s="7"/>
      <c r="D466" s="7"/>
      <c r="E466" s="7"/>
      <c r="F466" s="7"/>
      <c r="G466" s="7"/>
      <c r="H466" s="7"/>
      <c r="I466" s="7"/>
      <c r="J466" s="8"/>
      <c r="K466" s="9"/>
    </row>
    <row r="467">
      <c r="A467" s="6"/>
      <c r="B467" s="7"/>
      <c r="C467" s="7"/>
      <c r="D467" s="7"/>
      <c r="E467" s="7"/>
      <c r="F467" s="7"/>
      <c r="G467" s="7"/>
      <c r="H467" s="7"/>
      <c r="I467" s="7"/>
      <c r="J467" s="8"/>
      <c r="K467" s="9"/>
    </row>
    <row r="468">
      <c r="A468" s="6"/>
      <c r="B468" s="7"/>
      <c r="C468" s="7"/>
      <c r="D468" s="7"/>
      <c r="E468" s="7"/>
      <c r="F468" s="7"/>
      <c r="G468" s="7"/>
      <c r="H468" s="7"/>
      <c r="I468" s="7"/>
      <c r="J468" s="8"/>
      <c r="K468" s="9"/>
    </row>
    <row r="469">
      <c r="A469" s="6"/>
      <c r="B469" s="7"/>
      <c r="C469" s="7"/>
      <c r="D469" s="7"/>
      <c r="E469" s="7"/>
      <c r="F469" s="7"/>
      <c r="G469" s="7"/>
      <c r="H469" s="7"/>
      <c r="I469" s="7"/>
      <c r="J469" s="8"/>
      <c r="K469" s="9"/>
    </row>
    <row r="470">
      <c r="A470" s="6"/>
      <c r="B470" s="7"/>
      <c r="C470" s="7"/>
      <c r="D470" s="7"/>
      <c r="E470" s="7"/>
      <c r="F470" s="7"/>
      <c r="G470" s="7"/>
      <c r="H470" s="7"/>
      <c r="I470" s="7"/>
      <c r="J470" s="8"/>
      <c r="K470" s="9"/>
    </row>
    <row r="471">
      <c r="A471" s="6"/>
      <c r="B471" s="7"/>
      <c r="C471" s="7"/>
      <c r="D471" s="7"/>
      <c r="E471" s="7"/>
      <c r="F471" s="7"/>
      <c r="G471" s="7"/>
      <c r="H471" s="7"/>
      <c r="I471" s="7"/>
      <c r="J471" s="8"/>
      <c r="K471" s="9"/>
    </row>
    <row r="472">
      <c r="A472" s="6"/>
      <c r="B472" s="7"/>
      <c r="C472" s="7"/>
      <c r="D472" s="7"/>
      <c r="E472" s="7"/>
      <c r="F472" s="7"/>
      <c r="G472" s="7"/>
      <c r="H472" s="7"/>
      <c r="I472" s="7"/>
      <c r="J472" s="8"/>
      <c r="K472" s="9"/>
    </row>
    <row r="473">
      <c r="A473" s="6"/>
      <c r="B473" s="7"/>
      <c r="C473" s="7"/>
      <c r="D473" s="7"/>
      <c r="E473" s="7"/>
      <c r="F473" s="7"/>
      <c r="G473" s="7"/>
      <c r="H473" s="7"/>
      <c r="I473" s="7"/>
      <c r="J473" s="8"/>
      <c r="K473" s="9"/>
    </row>
    <row r="474">
      <c r="A474" s="6"/>
      <c r="B474" s="7"/>
      <c r="C474" s="7"/>
      <c r="D474" s="7"/>
      <c r="E474" s="7"/>
      <c r="F474" s="7"/>
      <c r="G474" s="7"/>
      <c r="H474" s="7"/>
      <c r="I474" s="7"/>
      <c r="J474" s="8"/>
      <c r="K474" s="9"/>
    </row>
    <row r="475">
      <c r="A475" s="6"/>
      <c r="B475" s="7"/>
      <c r="C475" s="7"/>
      <c r="D475" s="7"/>
      <c r="E475" s="7"/>
      <c r="F475" s="7"/>
      <c r="G475" s="7"/>
      <c r="H475" s="7"/>
      <c r="I475" s="7"/>
      <c r="J475" s="8"/>
      <c r="K475" s="9"/>
    </row>
    <row r="476">
      <c r="A476" s="6"/>
      <c r="B476" s="7"/>
      <c r="C476" s="7"/>
      <c r="D476" s="7"/>
      <c r="E476" s="7"/>
      <c r="F476" s="7"/>
      <c r="G476" s="7"/>
      <c r="H476" s="7"/>
      <c r="I476" s="7"/>
      <c r="J476" s="8"/>
      <c r="K476" s="9"/>
    </row>
    <row r="477">
      <c r="A477" s="6"/>
      <c r="B477" s="7"/>
      <c r="C477" s="7"/>
      <c r="D477" s="7"/>
      <c r="E477" s="7"/>
      <c r="F477" s="7"/>
      <c r="G477" s="7"/>
      <c r="H477" s="7"/>
      <c r="I477" s="7"/>
      <c r="J477" s="8"/>
      <c r="K477" s="9"/>
    </row>
    <row r="478">
      <c r="A478" s="6"/>
      <c r="B478" s="7"/>
      <c r="C478" s="7"/>
      <c r="D478" s="7"/>
      <c r="E478" s="7"/>
      <c r="F478" s="7"/>
      <c r="G478" s="7"/>
      <c r="H478" s="7"/>
      <c r="I478" s="7"/>
      <c r="J478" s="8"/>
      <c r="K478" s="9"/>
    </row>
    <row r="479">
      <c r="A479" s="6"/>
      <c r="B479" s="7"/>
      <c r="C479" s="7"/>
      <c r="D479" s="7"/>
      <c r="E479" s="7"/>
      <c r="F479" s="7"/>
      <c r="G479" s="7"/>
      <c r="H479" s="7"/>
      <c r="I479" s="7"/>
      <c r="J479" s="8"/>
      <c r="K479" s="9"/>
    </row>
    <row r="480">
      <c r="A480" s="6"/>
      <c r="B480" s="7"/>
      <c r="C480" s="7"/>
      <c r="D480" s="7"/>
      <c r="E480" s="7"/>
      <c r="F480" s="7"/>
      <c r="G480" s="7"/>
      <c r="H480" s="7"/>
      <c r="I480" s="7"/>
      <c r="J480" s="8"/>
      <c r="K480" s="9"/>
    </row>
    <row r="481">
      <c r="A481" s="6"/>
      <c r="B481" s="7"/>
      <c r="C481" s="7"/>
      <c r="D481" s="7"/>
      <c r="E481" s="7"/>
      <c r="F481" s="7"/>
      <c r="G481" s="7"/>
      <c r="H481" s="7"/>
      <c r="I481" s="7"/>
      <c r="J481" s="8"/>
      <c r="K481" s="9"/>
    </row>
    <row r="482">
      <c r="A482" s="6"/>
      <c r="B482" s="7"/>
      <c r="C482" s="7"/>
      <c r="D482" s="7"/>
      <c r="E482" s="7"/>
      <c r="F482" s="7"/>
      <c r="G482" s="7"/>
      <c r="H482" s="7"/>
      <c r="I482" s="7"/>
      <c r="J482" s="8"/>
      <c r="K482" s="9"/>
    </row>
    <row r="483">
      <c r="A483" s="6"/>
      <c r="B483" s="7"/>
      <c r="C483" s="7"/>
      <c r="D483" s="7"/>
      <c r="E483" s="7"/>
      <c r="F483" s="7"/>
      <c r="G483" s="7"/>
      <c r="H483" s="7"/>
      <c r="I483" s="7"/>
      <c r="J483" s="8"/>
      <c r="K483" s="9"/>
    </row>
    <row r="484">
      <c r="A484" s="6"/>
      <c r="B484" s="7"/>
      <c r="C484" s="7"/>
      <c r="D484" s="7"/>
      <c r="E484" s="7"/>
      <c r="F484" s="7"/>
      <c r="G484" s="7"/>
      <c r="H484" s="7"/>
      <c r="I484" s="7"/>
      <c r="J484" s="8"/>
      <c r="K484" s="9"/>
    </row>
    <row r="485">
      <c r="A485" s="6"/>
      <c r="B485" s="7"/>
      <c r="C485" s="7"/>
      <c r="D485" s="7"/>
      <c r="E485" s="7"/>
      <c r="F485" s="7"/>
      <c r="G485" s="7"/>
      <c r="H485" s="7"/>
      <c r="I485" s="7"/>
      <c r="J485" s="8"/>
      <c r="K485" s="9"/>
    </row>
    <row r="486">
      <c r="A486" s="6"/>
      <c r="B486" s="7"/>
      <c r="C486" s="7"/>
      <c r="D486" s="7"/>
      <c r="E486" s="7"/>
      <c r="F486" s="7"/>
      <c r="G486" s="7"/>
      <c r="H486" s="7"/>
      <c r="I486" s="7"/>
      <c r="J486" s="8"/>
      <c r="K486" s="9"/>
    </row>
    <row r="487">
      <c r="A487" s="6"/>
      <c r="B487" s="7"/>
      <c r="C487" s="7"/>
      <c r="D487" s="7"/>
      <c r="E487" s="7"/>
      <c r="F487" s="7"/>
      <c r="G487" s="7"/>
      <c r="H487" s="7"/>
      <c r="I487" s="7"/>
      <c r="J487" s="8"/>
      <c r="K487" s="9"/>
    </row>
    <row r="488">
      <c r="A488" s="6"/>
      <c r="B488" s="7"/>
      <c r="C488" s="7"/>
      <c r="D488" s="7"/>
      <c r="E488" s="7"/>
      <c r="F488" s="7"/>
      <c r="G488" s="7"/>
      <c r="H488" s="7"/>
      <c r="I488" s="7"/>
      <c r="J488" s="8"/>
      <c r="K488" s="9"/>
    </row>
    <row r="489">
      <c r="A489" s="6"/>
      <c r="B489" s="7"/>
      <c r="C489" s="7"/>
      <c r="D489" s="7"/>
      <c r="E489" s="7"/>
      <c r="F489" s="7"/>
      <c r="G489" s="7"/>
      <c r="H489" s="7"/>
      <c r="I489" s="7"/>
      <c r="J489" s="8"/>
      <c r="K489" s="9"/>
    </row>
    <row r="490">
      <c r="A490" s="6"/>
      <c r="B490" s="7"/>
      <c r="C490" s="7"/>
      <c r="D490" s="7"/>
      <c r="E490" s="7"/>
      <c r="F490" s="7"/>
      <c r="G490" s="7"/>
      <c r="H490" s="7"/>
      <c r="I490" s="7"/>
      <c r="J490" s="8"/>
      <c r="K490" s="9"/>
    </row>
    <row r="491">
      <c r="A491" s="6"/>
      <c r="B491" s="7"/>
      <c r="C491" s="7"/>
      <c r="D491" s="7"/>
      <c r="E491" s="7"/>
      <c r="F491" s="7"/>
      <c r="G491" s="7"/>
      <c r="H491" s="7"/>
      <c r="I491" s="7"/>
      <c r="J491" s="8"/>
      <c r="K491" s="9"/>
    </row>
    <row r="492">
      <c r="A492" s="6"/>
      <c r="B492" s="7"/>
      <c r="C492" s="7"/>
      <c r="D492" s="7"/>
      <c r="E492" s="7"/>
      <c r="F492" s="7"/>
      <c r="G492" s="7"/>
      <c r="H492" s="7"/>
      <c r="I492" s="7"/>
      <c r="J492" s="8"/>
      <c r="K492" s="9"/>
    </row>
    <row r="493">
      <c r="A493" s="6"/>
      <c r="B493" s="7"/>
      <c r="C493" s="7"/>
      <c r="D493" s="7"/>
      <c r="E493" s="7"/>
      <c r="F493" s="7"/>
      <c r="G493" s="7"/>
      <c r="H493" s="7"/>
      <c r="I493" s="7"/>
      <c r="J493" s="8"/>
      <c r="K493" s="9"/>
    </row>
    <row r="494">
      <c r="A494" s="6"/>
      <c r="B494" s="7"/>
      <c r="C494" s="7"/>
      <c r="D494" s="7"/>
      <c r="E494" s="7"/>
      <c r="F494" s="7"/>
      <c r="G494" s="7"/>
      <c r="H494" s="7"/>
      <c r="I494" s="7"/>
      <c r="J494" s="8"/>
      <c r="K494" s="9"/>
    </row>
    <row r="495">
      <c r="A495" s="6"/>
      <c r="B495" s="7"/>
      <c r="C495" s="7"/>
      <c r="D495" s="7"/>
      <c r="E495" s="7"/>
      <c r="F495" s="7"/>
      <c r="G495" s="7"/>
      <c r="H495" s="7"/>
      <c r="I495" s="7"/>
      <c r="J495" s="8"/>
      <c r="K495" s="9"/>
    </row>
    <row r="496">
      <c r="A496" s="6"/>
      <c r="B496" s="7"/>
      <c r="C496" s="7"/>
      <c r="D496" s="7"/>
      <c r="E496" s="7"/>
      <c r="F496" s="7"/>
      <c r="G496" s="7"/>
      <c r="H496" s="7"/>
      <c r="I496" s="7"/>
      <c r="J496" s="8"/>
      <c r="K496" s="9"/>
    </row>
    <row r="497">
      <c r="A497" s="6"/>
      <c r="B497" s="7"/>
      <c r="C497" s="7"/>
      <c r="D497" s="7"/>
      <c r="E497" s="7"/>
      <c r="F497" s="7"/>
      <c r="G497" s="7"/>
      <c r="H497" s="7"/>
      <c r="I497" s="7"/>
      <c r="J497" s="8"/>
      <c r="K497" s="9"/>
    </row>
    <row r="498">
      <c r="A498" s="6"/>
      <c r="B498" s="7"/>
      <c r="C498" s="7"/>
      <c r="D498" s="7"/>
      <c r="E498" s="7"/>
      <c r="F498" s="7"/>
      <c r="G498" s="7"/>
      <c r="H498" s="7"/>
      <c r="I498" s="7"/>
      <c r="J498" s="8"/>
      <c r="K498" s="9"/>
    </row>
    <row r="499">
      <c r="A499" s="6"/>
      <c r="B499" s="7"/>
      <c r="C499" s="7"/>
      <c r="D499" s="7"/>
      <c r="E499" s="7"/>
      <c r="F499" s="7"/>
      <c r="G499" s="7"/>
      <c r="H499" s="7"/>
      <c r="I499" s="7"/>
      <c r="J499" s="8"/>
      <c r="K499" s="9"/>
    </row>
    <row r="500">
      <c r="A500" s="6"/>
      <c r="B500" s="7"/>
      <c r="C500" s="7"/>
      <c r="D500" s="7"/>
      <c r="E500" s="7"/>
      <c r="F500" s="7"/>
      <c r="G500" s="7"/>
      <c r="H500" s="7"/>
      <c r="I500" s="7"/>
      <c r="J500" s="8"/>
      <c r="K500" s="9"/>
    </row>
    <row r="501">
      <c r="A501" s="6"/>
      <c r="B501" s="7"/>
      <c r="C501" s="7"/>
      <c r="D501" s="7"/>
      <c r="E501" s="7"/>
      <c r="F501" s="7"/>
      <c r="G501" s="7"/>
      <c r="H501" s="7"/>
      <c r="I501" s="7"/>
      <c r="J501" s="8"/>
      <c r="K501" s="9"/>
    </row>
    <row r="502">
      <c r="A502" s="6"/>
      <c r="B502" s="7"/>
      <c r="C502" s="7"/>
      <c r="D502" s="7"/>
      <c r="E502" s="7"/>
      <c r="F502" s="7"/>
      <c r="G502" s="7"/>
      <c r="H502" s="7"/>
      <c r="I502" s="7"/>
      <c r="J502" s="8"/>
      <c r="K502" s="9"/>
    </row>
    <row r="503">
      <c r="A503" s="6"/>
      <c r="B503" s="7"/>
      <c r="C503" s="7"/>
      <c r="D503" s="7"/>
      <c r="E503" s="7"/>
      <c r="F503" s="7"/>
      <c r="G503" s="7"/>
      <c r="H503" s="7"/>
      <c r="I503" s="7"/>
      <c r="J503" s="8"/>
      <c r="K503" s="9"/>
    </row>
    <row r="504">
      <c r="A504" s="6"/>
      <c r="B504" s="7"/>
      <c r="C504" s="7"/>
      <c r="D504" s="7"/>
      <c r="E504" s="7"/>
      <c r="F504" s="7"/>
      <c r="G504" s="7"/>
      <c r="H504" s="7"/>
      <c r="I504" s="7"/>
      <c r="J504" s="8"/>
      <c r="K504" s="9"/>
    </row>
    <row r="505">
      <c r="A505" s="6"/>
      <c r="B505" s="7"/>
      <c r="C505" s="7"/>
      <c r="D505" s="7"/>
      <c r="E505" s="7"/>
      <c r="F505" s="7"/>
      <c r="G505" s="7"/>
      <c r="H505" s="7"/>
      <c r="I505" s="7"/>
      <c r="J505" s="8"/>
      <c r="K505" s="9"/>
    </row>
    <row r="506">
      <c r="A506" s="6"/>
      <c r="B506" s="7"/>
      <c r="C506" s="7"/>
      <c r="D506" s="7"/>
      <c r="E506" s="7"/>
      <c r="F506" s="7"/>
      <c r="G506" s="7"/>
      <c r="H506" s="7"/>
      <c r="I506" s="7"/>
      <c r="J506" s="8"/>
      <c r="K506" s="9"/>
    </row>
    <row r="507">
      <c r="A507" s="6"/>
      <c r="B507" s="7"/>
      <c r="C507" s="7"/>
      <c r="D507" s="7"/>
      <c r="E507" s="7"/>
      <c r="F507" s="7"/>
      <c r="G507" s="7"/>
      <c r="H507" s="7"/>
      <c r="I507" s="7"/>
      <c r="J507" s="8"/>
      <c r="K507" s="9"/>
    </row>
    <row r="508">
      <c r="A508" s="6"/>
      <c r="B508" s="7"/>
      <c r="C508" s="7"/>
      <c r="D508" s="7"/>
      <c r="E508" s="7"/>
      <c r="F508" s="7"/>
      <c r="G508" s="7"/>
      <c r="H508" s="7"/>
      <c r="I508" s="7"/>
      <c r="J508" s="8"/>
      <c r="K508" s="9"/>
    </row>
    <row r="509">
      <c r="A509" s="6"/>
      <c r="B509" s="7"/>
      <c r="C509" s="7"/>
      <c r="D509" s="7"/>
      <c r="E509" s="7"/>
      <c r="F509" s="7"/>
      <c r="G509" s="7"/>
      <c r="H509" s="7"/>
      <c r="I509" s="7"/>
      <c r="J509" s="8"/>
      <c r="K509" s="9"/>
    </row>
    <row r="510">
      <c r="A510" s="6"/>
      <c r="B510" s="7"/>
      <c r="C510" s="7"/>
      <c r="D510" s="7"/>
      <c r="E510" s="7"/>
      <c r="F510" s="7"/>
      <c r="G510" s="7"/>
      <c r="H510" s="7"/>
      <c r="I510" s="7"/>
      <c r="J510" s="8"/>
      <c r="K510" s="9"/>
    </row>
    <row r="511">
      <c r="A511" s="6"/>
      <c r="B511" s="7"/>
      <c r="C511" s="7"/>
      <c r="D511" s="7"/>
      <c r="E511" s="7"/>
      <c r="F511" s="7"/>
      <c r="G511" s="7"/>
      <c r="H511" s="7"/>
      <c r="I511" s="7"/>
      <c r="J511" s="8"/>
      <c r="K511" s="9"/>
    </row>
    <row r="512">
      <c r="A512" s="6"/>
      <c r="B512" s="7"/>
      <c r="C512" s="7"/>
      <c r="D512" s="7"/>
      <c r="E512" s="7"/>
      <c r="F512" s="7"/>
      <c r="G512" s="7"/>
      <c r="H512" s="7"/>
      <c r="I512" s="7"/>
      <c r="J512" s="8"/>
      <c r="K512" s="9"/>
    </row>
    <row r="513">
      <c r="A513" s="6"/>
      <c r="B513" s="7"/>
      <c r="C513" s="7"/>
      <c r="D513" s="7"/>
      <c r="E513" s="7"/>
      <c r="F513" s="7"/>
      <c r="G513" s="7"/>
      <c r="H513" s="7"/>
      <c r="I513" s="7"/>
      <c r="J513" s="8"/>
      <c r="K513" s="9"/>
    </row>
    <row r="514">
      <c r="A514" s="6"/>
      <c r="B514" s="7"/>
      <c r="C514" s="7"/>
      <c r="D514" s="7"/>
      <c r="E514" s="7"/>
      <c r="F514" s="7"/>
      <c r="G514" s="7"/>
      <c r="H514" s="7"/>
      <c r="I514" s="7"/>
      <c r="J514" s="8"/>
      <c r="K514" s="9"/>
    </row>
    <row r="515">
      <c r="A515" s="6"/>
      <c r="B515" s="7"/>
      <c r="C515" s="7"/>
      <c r="D515" s="7"/>
      <c r="E515" s="7"/>
      <c r="F515" s="7"/>
      <c r="G515" s="7"/>
      <c r="H515" s="7"/>
      <c r="I515" s="7"/>
      <c r="J515" s="8"/>
      <c r="K515" s="9"/>
    </row>
    <row r="516">
      <c r="A516" s="6"/>
      <c r="B516" s="7"/>
      <c r="C516" s="7"/>
      <c r="D516" s="7"/>
      <c r="E516" s="7"/>
      <c r="F516" s="7"/>
      <c r="G516" s="7"/>
      <c r="H516" s="7"/>
      <c r="I516" s="7"/>
      <c r="J516" s="8"/>
      <c r="K516" s="9"/>
    </row>
    <row r="517">
      <c r="A517" s="6"/>
      <c r="B517" s="7"/>
      <c r="C517" s="7"/>
      <c r="D517" s="7"/>
      <c r="E517" s="7"/>
      <c r="F517" s="7"/>
      <c r="G517" s="7"/>
      <c r="H517" s="7"/>
      <c r="I517" s="7"/>
      <c r="J517" s="8"/>
      <c r="K517" s="9"/>
    </row>
    <row r="518">
      <c r="A518" s="6"/>
      <c r="B518" s="7"/>
      <c r="C518" s="7"/>
      <c r="D518" s="7"/>
      <c r="E518" s="7"/>
      <c r="F518" s="7"/>
      <c r="G518" s="7"/>
      <c r="H518" s="7"/>
      <c r="I518" s="7"/>
      <c r="J518" s="8"/>
      <c r="K518" s="9"/>
    </row>
    <row r="519">
      <c r="A519" s="6"/>
      <c r="B519" s="7"/>
      <c r="C519" s="7"/>
      <c r="D519" s="7"/>
      <c r="E519" s="7"/>
      <c r="F519" s="7"/>
      <c r="G519" s="7"/>
      <c r="H519" s="7"/>
      <c r="I519" s="7"/>
      <c r="J519" s="8"/>
      <c r="K519" s="9"/>
    </row>
    <row r="520">
      <c r="A520" s="6"/>
      <c r="B520" s="7"/>
      <c r="C520" s="7"/>
      <c r="D520" s="7"/>
      <c r="E520" s="7"/>
      <c r="F520" s="7"/>
      <c r="G520" s="7"/>
      <c r="H520" s="7"/>
      <c r="I520" s="7"/>
      <c r="J520" s="8"/>
      <c r="K520" s="9"/>
    </row>
    <row r="521">
      <c r="A521" s="6"/>
      <c r="B521" s="7"/>
      <c r="C521" s="7"/>
      <c r="D521" s="7"/>
      <c r="E521" s="7"/>
      <c r="F521" s="7"/>
      <c r="G521" s="7"/>
      <c r="H521" s="7"/>
      <c r="I521" s="7"/>
      <c r="J521" s="8"/>
      <c r="K521" s="9"/>
    </row>
    <row r="522">
      <c r="A522" s="6"/>
      <c r="B522" s="7"/>
      <c r="C522" s="7"/>
      <c r="D522" s="7"/>
      <c r="E522" s="7"/>
      <c r="F522" s="7"/>
      <c r="G522" s="7"/>
      <c r="H522" s="7"/>
      <c r="I522" s="7"/>
      <c r="J522" s="8"/>
      <c r="K522" s="9"/>
    </row>
    <row r="523">
      <c r="A523" s="6"/>
      <c r="B523" s="7"/>
      <c r="C523" s="7"/>
      <c r="D523" s="7"/>
      <c r="E523" s="7"/>
      <c r="F523" s="7"/>
      <c r="G523" s="7"/>
      <c r="H523" s="7"/>
      <c r="I523" s="7"/>
      <c r="J523" s="8"/>
      <c r="K523" s="9"/>
    </row>
    <row r="524">
      <c r="A524" s="6"/>
      <c r="B524" s="7"/>
      <c r="C524" s="7"/>
      <c r="D524" s="7"/>
      <c r="E524" s="7"/>
      <c r="F524" s="7"/>
      <c r="G524" s="7"/>
      <c r="H524" s="7"/>
      <c r="I524" s="7"/>
      <c r="J524" s="8"/>
      <c r="K524" s="9"/>
    </row>
    <row r="525">
      <c r="A525" s="6"/>
      <c r="B525" s="7"/>
      <c r="C525" s="7"/>
      <c r="D525" s="7"/>
      <c r="E525" s="7"/>
      <c r="F525" s="7"/>
      <c r="G525" s="7"/>
      <c r="H525" s="7"/>
      <c r="I525" s="7"/>
      <c r="J525" s="8"/>
      <c r="K525" s="9"/>
    </row>
    <row r="526">
      <c r="A526" s="6"/>
      <c r="B526" s="7"/>
      <c r="C526" s="7"/>
      <c r="D526" s="7"/>
      <c r="E526" s="7"/>
      <c r="F526" s="7"/>
      <c r="G526" s="7"/>
      <c r="H526" s="7"/>
      <c r="I526" s="7"/>
      <c r="J526" s="8"/>
      <c r="K526" s="9"/>
    </row>
    <row r="527">
      <c r="A527" s="6"/>
      <c r="B527" s="7"/>
      <c r="C527" s="7"/>
      <c r="D527" s="7"/>
      <c r="E527" s="7"/>
      <c r="F527" s="7"/>
      <c r="G527" s="7"/>
      <c r="H527" s="7"/>
      <c r="I527" s="7"/>
      <c r="J527" s="8"/>
      <c r="K527" s="9"/>
    </row>
    <row r="528">
      <c r="A528" s="6"/>
      <c r="B528" s="7"/>
      <c r="C528" s="7"/>
      <c r="D528" s="7"/>
      <c r="E528" s="7"/>
      <c r="F528" s="7"/>
      <c r="G528" s="7"/>
      <c r="H528" s="7"/>
      <c r="I528" s="7"/>
      <c r="J528" s="8"/>
      <c r="K528" s="9"/>
    </row>
    <row r="529">
      <c r="A529" s="6"/>
      <c r="B529" s="7"/>
      <c r="C529" s="7"/>
      <c r="D529" s="7"/>
      <c r="E529" s="7"/>
      <c r="F529" s="7"/>
      <c r="G529" s="7"/>
      <c r="H529" s="7"/>
      <c r="I529" s="7"/>
      <c r="J529" s="8"/>
      <c r="K529" s="9"/>
    </row>
    <row r="530">
      <c r="A530" s="6"/>
      <c r="B530" s="7"/>
      <c r="C530" s="7"/>
      <c r="D530" s="7"/>
      <c r="E530" s="7"/>
      <c r="F530" s="7"/>
      <c r="G530" s="7"/>
      <c r="H530" s="7"/>
      <c r="I530" s="7"/>
      <c r="J530" s="8"/>
      <c r="K530" s="9"/>
    </row>
    <row r="531">
      <c r="A531" s="6"/>
      <c r="B531" s="7"/>
      <c r="C531" s="7"/>
      <c r="D531" s="7"/>
      <c r="E531" s="7"/>
      <c r="F531" s="7"/>
      <c r="G531" s="7"/>
      <c r="H531" s="7"/>
      <c r="I531" s="7"/>
      <c r="J531" s="8"/>
      <c r="K531" s="9"/>
    </row>
    <row r="532">
      <c r="A532" s="6"/>
      <c r="B532" s="7"/>
      <c r="C532" s="7"/>
      <c r="D532" s="7"/>
      <c r="E532" s="7"/>
      <c r="F532" s="7"/>
      <c r="G532" s="7"/>
      <c r="H532" s="7"/>
      <c r="I532" s="7"/>
      <c r="J532" s="8"/>
      <c r="K532" s="9"/>
    </row>
    <row r="533">
      <c r="A533" s="6"/>
      <c r="B533" s="7"/>
      <c r="C533" s="7"/>
      <c r="D533" s="7"/>
      <c r="E533" s="7"/>
      <c r="F533" s="7"/>
      <c r="G533" s="7"/>
      <c r="H533" s="7"/>
      <c r="I533" s="7"/>
      <c r="J533" s="8"/>
      <c r="K533" s="9"/>
    </row>
    <row r="534">
      <c r="A534" s="6"/>
      <c r="B534" s="7"/>
      <c r="C534" s="7"/>
      <c r="D534" s="7"/>
      <c r="E534" s="7"/>
      <c r="F534" s="7"/>
      <c r="G534" s="7"/>
      <c r="H534" s="7"/>
      <c r="I534" s="7"/>
      <c r="J534" s="8"/>
      <c r="K534" s="9"/>
    </row>
    <row r="535">
      <c r="A535" s="6"/>
      <c r="B535" s="7"/>
      <c r="C535" s="7"/>
      <c r="D535" s="7"/>
      <c r="E535" s="7"/>
      <c r="F535" s="7"/>
      <c r="G535" s="7"/>
      <c r="H535" s="7"/>
      <c r="I535" s="7"/>
      <c r="J535" s="8"/>
      <c r="K535" s="9"/>
    </row>
    <row r="536">
      <c r="A536" s="6"/>
      <c r="B536" s="7"/>
      <c r="C536" s="7"/>
      <c r="D536" s="7"/>
      <c r="E536" s="7"/>
      <c r="F536" s="7"/>
      <c r="G536" s="7"/>
      <c r="H536" s="7"/>
      <c r="I536" s="7"/>
      <c r="J536" s="8"/>
      <c r="K536" s="9"/>
    </row>
    <row r="537">
      <c r="A537" s="6"/>
      <c r="B537" s="7"/>
      <c r="C537" s="7"/>
      <c r="D537" s="7"/>
      <c r="E537" s="7"/>
      <c r="F537" s="7"/>
      <c r="G537" s="7"/>
      <c r="H537" s="7"/>
      <c r="I537" s="7"/>
      <c r="J537" s="8"/>
      <c r="K537" s="9"/>
    </row>
    <row r="538">
      <c r="A538" s="6"/>
      <c r="B538" s="7"/>
      <c r="C538" s="7"/>
      <c r="D538" s="7"/>
      <c r="E538" s="7"/>
      <c r="F538" s="7"/>
      <c r="G538" s="7"/>
      <c r="H538" s="7"/>
      <c r="I538" s="7"/>
      <c r="J538" s="8"/>
      <c r="K538" s="9"/>
    </row>
    <row r="539">
      <c r="A539" s="6"/>
      <c r="B539" s="7"/>
      <c r="C539" s="7"/>
      <c r="D539" s="7"/>
      <c r="E539" s="7"/>
      <c r="F539" s="7"/>
      <c r="G539" s="7"/>
      <c r="H539" s="7"/>
      <c r="I539" s="7"/>
      <c r="J539" s="8"/>
      <c r="K539" s="9"/>
    </row>
    <row r="540">
      <c r="A540" s="6"/>
      <c r="B540" s="7"/>
      <c r="C540" s="7"/>
      <c r="D540" s="7"/>
      <c r="E540" s="7"/>
      <c r="F540" s="7"/>
      <c r="G540" s="7"/>
      <c r="H540" s="7"/>
      <c r="I540" s="7"/>
      <c r="J540" s="8"/>
      <c r="K540" s="9"/>
    </row>
    <row r="541">
      <c r="A541" s="6"/>
      <c r="B541" s="7"/>
      <c r="C541" s="7"/>
      <c r="D541" s="7"/>
      <c r="E541" s="7"/>
      <c r="F541" s="7"/>
      <c r="G541" s="7"/>
      <c r="H541" s="7"/>
      <c r="I541" s="7"/>
      <c r="J541" s="8"/>
      <c r="K541" s="9"/>
    </row>
    <row r="542">
      <c r="A542" s="6"/>
      <c r="B542" s="7"/>
      <c r="C542" s="7"/>
      <c r="D542" s="7"/>
      <c r="E542" s="7"/>
      <c r="F542" s="7"/>
      <c r="G542" s="7"/>
      <c r="H542" s="7"/>
      <c r="I542" s="7"/>
      <c r="J542" s="8"/>
      <c r="K542" s="9"/>
    </row>
    <row r="543">
      <c r="A543" s="6"/>
      <c r="B543" s="7"/>
      <c r="C543" s="7"/>
      <c r="D543" s="7"/>
      <c r="E543" s="7"/>
      <c r="F543" s="7"/>
      <c r="G543" s="7"/>
      <c r="H543" s="7"/>
      <c r="I543" s="7"/>
      <c r="J543" s="8"/>
      <c r="K543" s="9"/>
    </row>
    <row r="544">
      <c r="A544" s="6"/>
      <c r="B544" s="7"/>
      <c r="C544" s="7"/>
      <c r="D544" s="7"/>
      <c r="E544" s="7"/>
      <c r="F544" s="7"/>
      <c r="G544" s="7"/>
      <c r="H544" s="7"/>
      <c r="I544" s="7"/>
      <c r="J544" s="8"/>
      <c r="K544" s="9"/>
    </row>
    <row r="545">
      <c r="A545" s="6"/>
      <c r="B545" s="7"/>
      <c r="C545" s="7"/>
      <c r="D545" s="7"/>
      <c r="E545" s="7"/>
      <c r="F545" s="7"/>
      <c r="G545" s="7"/>
      <c r="H545" s="7"/>
      <c r="I545" s="7"/>
      <c r="J545" s="8"/>
      <c r="K545" s="9"/>
    </row>
    <row r="546">
      <c r="A546" s="6"/>
      <c r="B546" s="7"/>
      <c r="C546" s="7"/>
      <c r="D546" s="7"/>
      <c r="E546" s="7"/>
      <c r="F546" s="7"/>
      <c r="G546" s="7"/>
      <c r="H546" s="7"/>
      <c r="I546" s="7"/>
      <c r="J546" s="8"/>
      <c r="K546" s="9"/>
    </row>
    <row r="547">
      <c r="A547" s="6"/>
      <c r="B547" s="7"/>
      <c r="C547" s="7"/>
      <c r="D547" s="7"/>
      <c r="E547" s="7"/>
      <c r="F547" s="7"/>
      <c r="G547" s="7"/>
      <c r="H547" s="7"/>
      <c r="I547" s="7"/>
      <c r="J547" s="8"/>
      <c r="K547" s="9"/>
    </row>
    <row r="548">
      <c r="A548" s="6"/>
      <c r="B548" s="7"/>
      <c r="C548" s="7"/>
      <c r="D548" s="7"/>
      <c r="E548" s="7"/>
      <c r="F548" s="7"/>
      <c r="G548" s="7"/>
      <c r="H548" s="7"/>
      <c r="I548" s="7"/>
      <c r="J548" s="8"/>
      <c r="K548" s="9"/>
    </row>
    <row r="549">
      <c r="A549" s="6"/>
      <c r="B549" s="7"/>
      <c r="C549" s="7"/>
      <c r="D549" s="7"/>
      <c r="E549" s="7"/>
      <c r="F549" s="7"/>
      <c r="G549" s="7"/>
      <c r="H549" s="7"/>
      <c r="I549" s="7"/>
      <c r="J549" s="8"/>
      <c r="K549" s="9"/>
    </row>
    <row r="550">
      <c r="A550" s="6"/>
      <c r="B550" s="7"/>
      <c r="C550" s="7"/>
      <c r="D550" s="7"/>
      <c r="E550" s="7"/>
      <c r="F550" s="7"/>
      <c r="G550" s="7"/>
      <c r="H550" s="7"/>
      <c r="I550" s="7"/>
      <c r="J550" s="8"/>
      <c r="K550" s="9"/>
    </row>
    <row r="551">
      <c r="A551" s="6"/>
      <c r="B551" s="7"/>
      <c r="C551" s="7"/>
      <c r="D551" s="7"/>
      <c r="E551" s="7"/>
      <c r="F551" s="7"/>
      <c r="G551" s="7"/>
      <c r="H551" s="7"/>
      <c r="I551" s="7"/>
      <c r="J551" s="8"/>
      <c r="K551" s="9"/>
    </row>
    <row r="552">
      <c r="A552" s="6"/>
      <c r="B552" s="7"/>
      <c r="C552" s="7"/>
      <c r="D552" s="7"/>
      <c r="E552" s="7"/>
      <c r="F552" s="7"/>
      <c r="G552" s="7"/>
      <c r="H552" s="7"/>
      <c r="I552" s="7"/>
      <c r="J552" s="8"/>
      <c r="K552" s="9"/>
    </row>
    <row r="553">
      <c r="A553" s="6"/>
      <c r="B553" s="7"/>
      <c r="C553" s="7"/>
      <c r="D553" s="7"/>
      <c r="E553" s="7"/>
      <c r="F553" s="7"/>
      <c r="G553" s="7"/>
      <c r="H553" s="7"/>
      <c r="I553" s="7"/>
      <c r="J553" s="8"/>
      <c r="K553" s="9"/>
    </row>
    <row r="554">
      <c r="A554" s="6"/>
      <c r="B554" s="7"/>
      <c r="C554" s="7"/>
      <c r="D554" s="7"/>
      <c r="E554" s="7"/>
      <c r="F554" s="7"/>
      <c r="G554" s="7"/>
      <c r="H554" s="7"/>
      <c r="I554" s="7"/>
      <c r="J554" s="8"/>
      <c r="K554" s="9"/>
    </row>
    <row r="555">
      <c r="A555" s="6"/>
      <c r="B555" s="7"/>
      <c r="C555" s="7"/>
      <c r="D555" s="7"/>
      <c r="E555" s="7"/>
      <c r="F555" s="7"/>
      <c r="G555" s="7"/>
      <c r="H555" s="7"/>
      <c r="I555" s="7"/>
      <c r="J555" s="8"/>
      <c r="K555" s="9"/>
    </row>
    <row r="556">
      <c r="A556" s="6"/>
      <c r="B556" s="7"/>
      <c r="C556" s="7"/>
      <c r="D556" s="7"/>
      <c r="E556" s="7"/>
      <c r="F556" s="7"/>
      <c r="G556" s="7"/>
      <c r="H556" s="7"/>
      <c r="I556" s="7"/>
      <c r="J556" s="8"/>
      <c r="K556" s="9"/>
    </row>
    <row r="557">
      <c r="A557" s="6"/>
      <c r="B557" s="7"/>
      <c r="C557" s="7"/>
      <c r="D557" s="7"/>
      <c r="E557" s="7"/>
      <c r="F557" s="7"/>
      <c r="G557" s="7"/>
      <c r="H557" s="7"/>
      <c r="I557" s="7"/>
      <c r="J557" s="8"/>
      <c r="K557" s="9"/>
    </row>
    <row r="558">
      <c r="A558" s="6"/>
      <c r="B558" s="7"/>
      <c r="C558" s="7"/>
      <c r="D558" s="7"/>
      <c r="E558" s="7"/>
      <c r="F558" s="7"/>
      <c r="G558" s="7"/>
      <c r="H558" s="7"/>
      <c r="I558" s="7"/>
      <c r="J558" s="8"/>
      <c r="K558" s="9"/>
    </row>
    <row r="559">
      <c r="A559" s="6"/>
      <c r="B559" s="7"/>
      <c r="C559" s="7"/>
      <c r="D559" s="7"/>
      <c r="E559" s="7"/>
      <c r="F559" s="7"/>
      <c r="G559" s="7"/>
      <c r="H559" s="7"/>
      <c r="I559" s="7"/>
      <c r="J559" s="8"/>
      <c r="K559" s="9"/>
    </row>
    <row r="560">
      <c r="A560" s="6"/>
      <c r="B560" s="7"/>
      <c r="C560" s="7"/>
      <c r="D560" s="7"/>
      <c r="E560" s="7"/>
      <c r="F560" s="7"/>
      <c r="G560" s="7"/>
      <c r="H560" s="7"/>
      <c r="I560" s="7"/>
      <c r="J560" s="8"/>
      <c r="K560" s="9"/>
    </row>
    <row r="561">
      <c r="A561" s="6"/>
      <c r="B561" s="7"/>
      <c r="C561" s="7"/>
      <c r="D561" s="7"/>
      <c r="E561" s="7"/>
      <c r="F561" s="7"/>
      <c r="G561" s="7"/>
      <c r="H561" s="7"/>
      <c r="I561" s="7"/>
      <c r="J561" s="8"/>
      <c r="K561" s="9"/>
    </row>
    <row r="562">
      <c r="A562" s="6"/>
      <c r="B562" s="7"/>
      <c r="C562" s="7"/>
      <c r="D562" s="7"/>
      <c r="E562" s="7"/>
      <c r="F562" s="7"/>
      <c r="G562" s="7"/>
      <c r="H562" s="7"/>
      <c r="I562" s="7"/>
      <c r="J562" s="8"/>
      <c r="K562" s="9"/>
    </row>
    <row r="563">
      <c r="A563" s="6"/>
      <c r="B563" s="7"/>
      <c r="C563" s="7"/>
      <c r="D563" s="7"/>
      <c r="E563" s="7"/>
      <c r="F563" s="7"/>
      <c r="G563" s="7"/>
      <c r="H563" s="7"/>
      <c r="I563" s="7"/>
      <c r="J563" s="8"/>
      <c r="K563" s="9"/>
    </row>
    <row r="564">
      <c r="A564" s="6"/>
      <c r="B564" s="7"/>
      <c r="C564" s="7"/>
      <c r="D564" s="7"/>
      <c r="E564" s="7"/>
      <c r="F564" s="7"/>
      <c r="G564" s="7"/>
      <c r="H564" s="7"/>
      <c r="I564" s="7"/>
      <c r="J564" s="8"/>
      <c r="K564" s="9"/>
    </row>
    <row r="565">
      <c r="A565" s="6"/>
      <c r="B565" s="7"/>
      <c r="C565" s="7"/>
      <c r="D565" s="7"/>
      <c r="E565" s="7"/>
      <c r="F565" s="7"/>
      <c r="G565" s="7"/>
      <c r="H565" s="7"/>
      <c r="I565" s="7"/>
      <c r="J565" s="8"/>
      <c r="K565" s="9"/>
    </row>
    <row r="566">
      <c r="A566" s="6"/>
      <c r="B566" s="7"/>
      <c r="C566" s="7"/>
      <c r="D566" s="7"/>
      <c r="E566" s="7"/>
      <c r="F566" s="7"/>
      <c r="G566" s="7"/>
      <c r="H566" s="7"/>
      <c r="I566" s="7"/>
      <c r="J566" s="8"/>
      <c r="K566" s="9"/>
    </row>
    <row r="567">
      <c r="A567" s="6"/>
      <c r="B567" s="7"/>
      <c r="C567" s="7"/>
      <c r="D567" s="7"/>
      <c r="E567" s="7"/>
      <c r="F567" s="7"/>
      <c r="G567" s="7"/>
      <c r="H567" s="7"/>
      <c r="I567" s="7"/>
      <c r="J567" s="8"/>
      <c r="K567" s="9"/>
    </row>
    <row r="568">
      <c r="A568" s="6"/>
      <c r="B568" s="7"/>
      <c r="C568" s="7"/>
      <c r="D568" s="7"/>
      <c r="E568" s="7"/>
      <c r="F568" s="7"/>
      <c r="G568" s="7"/>
      <c r="H568" s="7"/>
      <c r="I568" s="7"/>
      <c r="J568" s="8"/>
      <c r="K568" s="9"/>
    </row>
    <row r="569">
      <c r="A569" s="6"/>
      <c r="B569" s="7"/>
      <c r="C569" s="7"/>
      <c r="D569" s="7"/>
      <c r="E569" s="7"/>
      <c r="F569" s="7"/>
      <c r="G569" s="7"/>
      <c r="H569" s="7"/>
      <c r="I569" s="7"/>
      <c r="J569" s="8"/>
      <c r="K569" s="9"/>
    </row>
    <row r="570">
      <c r="A570" s="6"/>
      <c r="B570" s="7"/>
      <c r="C570" s="7"/>
      <c r="D570" s="7"/>
      <c r="E570" s="7"/>
      <c r="F570" s="7"/>
      <c r="G570" s="7"/>
      <c r="H570" s="7"/>
      <c r="I570" s="7"/>
      <c r="J570" s="8"/>
      <c r="K570" s="9"/>
    </row>
    <row r="571">
      <c r="A571" s="6"/>
      <c r="B571" s="7"/>
      <c r="C571" s="7"/>
      <c r="D571" s="7"/>
      <c r="E571" s="7"/>
      <c r="F571" s="7"/>
      <c r="G571" s="7"/>
      <c r="H571" s="7"/>
      <c r="I571" s="7"/>
      <c r="J571" s="8"/>
      <c r="K571" s="9"/>
    </row>
    <row r="572">
      <c r="A572" s="6"/>
      <c r="B572" s="7"/>
      <c r="C572" s="7"/>
      <c r="D572" s="7"/>
      <c r="E572" s="7"/>
      <c r="F572" s="7"/>
      <c r="G572" s="7"/>
      <c r="H572" s="7"/>
      <c r="I572" s="7"/>
      <c r="J572" s="8"/>
      <c r="K572" s="9"/>
    </row>
    <row r="573">
      <c r="A573" s="6"/>
      <c r="B573" s="7"/>
      <c r="C573" s="7"/>
      <c r="D573" s="7"/>
      <c r="E573" s="7"/>
      <c r="F573" s="7"/>
      <c r="G573" s="7"/>
      <c r="H573" s="7"/>
      <c r="I573" s="7"/>
      <c r="J573" s="8"/>
      <c r="K573" s="9"/>
    </row>
    <row r="574">
      <c r="A574" s="6"/>
      <c r="B574" s="7"/>
      <c r="C574" s="7"/>
      <c r="D574" s="7"/>
      <c r="E574" s="7"/>
      <c r="F574" s="7"/>
      <c r="G574" s="7"/>
      <c r="H574" s="7"/>
      <c r="I574" s="7"/>
      <c r="J574" s="8"/>
      <c r="K574" s="9"/>
    </row>
    <row r="575">
      <c r="A575" s="6"/>
      <c r="B575" s="7"/>
      <c r="C575" s="7"/>
      <c r="D575" s="7"/>
      <c r="E575" s="7"/>
      <c r="F575" s="7"/>
      <c r="G575" s="7"/>
      <c r="H575" s="7"/>
      <c r="I575" s="7"/>
      <c r="J575" s="8"/>
      <c r="K575" s="9"/>
    </row>
    <row r="576">
      <c r="A576" s="6"/>
      <c r="B576" s="7"/>
      <c r="C576" s="7"/>
      <c r="D576" s="7"/>
      <c r="E576" s="7"/>
      <c r="F576" s="7"/>
      <c r="G576" s="7"/>
      <c r="H576" s="7"/>
      <c r="I576" s="7"/>
      <c r="J576" s="8"/>
      <c r="K576" s="9"/>
    </row>
    <row r="577">
      <c r="A577" s="6"/>
      <c r="B577" s="7"/>
      <c r="C577" s="7"/>
      <c r="D577" s="7"/>
      <c r="E577" s="7"/>
      <c r="F577" s="7"/>
      <c r="G577" s="7"/>
      <c r="H577" s="7"/>
      <c r="I577" s="7"/>
      <c r="J577" s="8"/>
      <c r="K577" s="9"/>
    </row>
    <row r="578">
      <c r="A578" s="6"/>
      <c r="B578" s="7"/>
      <c r="C578" s="7"/>
      <c r="D578" s="7"/>
      <c r="E578" s="7"/>
      <c r="F578" s="7"/>
      <c r="G578" s="7"/>
      <c r="H578" s="7"/>
      <c r="I578" s="7"/>
      <c r="J578" s="8"/>
      <c r="K578" s="9"/>
    </row>
    <row r="579">
      <c r="A579" s="6"/>
      <c r="B579" s="7"/>
      <c r="C579" s="7"/>
      <c r="D579" s="7"/>
      <c r="E579" s="7"/>
      <c r="F579" s="7"/>
      <c r="G579" s="7"/>
      <c r="H579" s="7"/>
      <c r="I579" s="7"/>
      <c r="J579" s="8"/>
      <c r="K579" s="9"/>
    </row>
    <row r="580">
      <c r="A580" s="6"/>
      <c r="B580" s="7"/>
      <c r="C580" s="7"/>
      <c r="D580" s="7"/>
      <c r="E580" s="7"/>
      <c r="F580" s="7"/>
      <c r="G580" s="7"/>
      <c r="H580" s="7"/>
      <c r="I580" s="7"/>
      <c r="J580" s="8"/>
      <c r="K580" s="9"/>
    </row>
    <row r="581">
      <c r="A581" s="6"/>
      <c r="B581" s="7"/>
      <c r="C581" s="7"/>
      <c r="D581" s="7"/>
      <c r="E581" s="7"/>
      <c r="F581" s="7"/>
      <c r="G581" s="7"/>
      <c r="H581" s="7"/>
      <c r="I581" s="7"/>
      <c r="J581" s="8"/>
      <c r="K581" s="9"/>
    </row>
    <row r="582">
      <c r="A582" s="6"/>
      <c r="B582" s="7"/>
      <c r="C582" s="7"/>
      <c r="D582" s="7"/>
      <c r="E582" s="7"/>
      <c r="F582" s="7"/>
      <c r="G582" s="7"/>
      <c r="H582" s="7"/>
      <c r="I582" s="7"/>
      <c r="J582" s="8"/>
      <c r="K582" s="9"/>
    </row>
    <row r="583">
      <c r="A583" s="6"/>
      <c r="B583" s="7"/>
      <c r="C583" s="7"/>
      <c r="D583" s="7"/>
      <c r="E583" s="7"/>
      <c r="F583" s="7"/>
      <c r="G583" s="7"/>
      <c r="H583" s="7"/>
      <c r="I583" s="7"/>
      <c r="J583" s="8"/>
      <c r="K583" s="9"/>
    </row>
    <row r="584">
      <c r="A584" s="6"/>
      <c r="B584" s="7"/>
      <c r="C584" s="7"/>
      <c r="D584" s="7"/>
      <c r="E584" s="7"/>
      <c r="F584" s="7"/>
      <c r="G584" s="7"/>
      <c r="H584" s="7"/>
      <c r="I584" s="7"/>
      <c r="J584" s="8"/>
      <c r="K584" s="9"/>
    </row>
    <row r="585">
      <c r="A585" s="6"/>
      <c r="B585" s="7"/>
      <c r="C585" s="7"/>
      <c r="D585" s="7"/>
      <c r="E585" s="7"/>
      <c r="F585" s="7"/>
      <c r="G585" s="7"/>
      <c r="H585" s="7"/>
      <c r="I585" s="7"/>
      <c r="J585" s="8"/>
      <c r="K585" s="9"/>
    </row>
    <row r="586">
      <c r="A586" s="6"/>
      <c r="B586" s="7"/>
      <c r="C586" s="7"/>
      <c r="D586" s="7"/>
      <c r="E586" s="7"/>
      <c r="F586" s="7"/>
      <c r="G586" s="7"/>
      <c r="H586" s="7"/>
      <c r="I586" s="7"/>
      <c r="J586" s="8"/>
      <c r="K586" s="9"/>
    </row>
    <row r="587">
      <c r="A587" s="6"/>
      <c r="B587" s="7"/>
      <c r="C587" s="7"/>
      <c r="D587" s="7"/>
      <c r="E587" s="7"/>
      <c r="F587" s="7"/>
      <c r="G587" s="7"/>
      <c r="H587" s="7"/>
      <c r="I587" s="7"/>
      <c r="J587" s="8"/>
      <c r="K587" s="9"/>
    </row>
    <row r="588">
      <c r="A588" s="6"/>
      <c r="B588" s="7"/>
      <c r="C588" s="7"/>
      <c r="D588" s="7"/>
      <c r="E588" s="7"/>
      <c r="F588" s="7"/>
      <c r="G588" s="7"/>
      <c r="H588" s="7"/>
      <c r="I588" s="7"/>
      <c r="J588" s="8"/>
      <c r="K588" s="9"/>
    </row>
    <row r="589">
      <c r="A589" s="6"/>
      <c r="B589" s="7"/>
      <c r="C589" s="7"/>
      <c r="D589" s="7"/>
      <c r="E589" s="7"/>
      <c r="F589" s="7"/>
      <c r="G589" s="7"/>
      <c r="H589" s="7"/>
      <c r="I589" s="7"/>
      <c r="J589" s="8"/>
      <c r="K589" s="9"/>
    </row>
    <row r="590">
      <c r="A590" s="6"/>
      <c r="B590" s="7"/>
      <c r="C590" s="7"/>
      <c r="D590" s="7"/>
      <c r="E590" s="7"/>
      <c r="F590" s="7"/>
      <c r="G590" s="7"/>
      <c r="H590" s="7"/>
      <c r="I590" s="7"/>
      <c r="J590" s="8"/>
      <c r="K590" s="9"/>
    </row>
    <row r="591">
      <c r="A591" s="6"/>
      <c r="B591" s="7"/>
      <c r="C591" s="7"/>
      <c r="D591" s="7"/>
      <c r="E591" s="7"/>
      <c r="F591" s="7"/>
      <c r="G591" s="7"/>
      <c r="H591" s="7"/>
      <c r="I591" s="7"/>
      <c r="J591" s="8"/>
      <c r="K591" s="9"/>
    </row>
    <row r="592">
      <c r="A592" s="6"/>
      <c r="B592" s="7"/>
      <c r="C592" s="7"/>
      <c r="D592" s="7"/>
      <c r="E592" s="7"/>
      <c r="F592" s="7"/>
      <c r="G592" s="7"/>
      <c r="H592" s="7"/>
      <c r="I592" s="7"/>
      <c r="J592" s="8"/>
      <c r="K592" s="9"/>
    </row>
    <row r="593">
      <c r="A593" s="6"/>
      <c r="B593" s="7"/>
      <c r="C593" s="7"/>
      <c r="D593" s="7"/>
      <c r="E593" s="7"/>
      <c r="F593" s="7"/>
      <c r="G593" s="7"/>
      <c r="H593" s="7"/>
      <c r="I593" s="7"/>
      <c r="J593" s="8"/>
      <c r="K593" s="9"/>
    </row>
    <row r="594">
      <c r="A594" s="6"/>
      <c r="B594" s="7"/>
      <c r="C594" s="7"/>
      <c r="D594" s="7"/>
      <c r="E594" s="7"/>
      <c r="F594" s="7"/>
      <c r="G594" s="7"/>
      <c r="H594" s="7"/>
      <c r="I594" s="7"/>
      <c r="J594" s="8"/>
      <c r="K594" s="9"/>
    </row>
    <row r="595">
      <c r="A595" s="6"/>
      <c r="B595" s="7"/>
      <c r="C595" s="7"/>
      <c r="D595" s="7"/>
      <c r="E595" s="7"/>
      <c r="F595" s="7"/>
      <c r="G595" s="7"/>
      <c r="H595" s="7"/>
      <c r="I595" s="7"/>
      <c r="J595" s="8"/>
      <c r="K595" s="9"/>
    </row>
    <row r="596">
      <c r="A596" s="6"/>
      <c r="B596" s="7"/>
      <c r="C596" s="7"/>
      <c r="D596" s="7"/>
      <c r="E596" s="7"/>
      <c r="F596" s="7"/>
      <c r="G596" s="7"/>
      <c r="H596" s="7"/>
      <c r="I596" s="7"/>
      <c r="J596" s="8"/>
      <c r="K596" s="9"/>
    </row>
    <row r="597">
      <c r="A597" s="6"/>
      <c r="B597" s="7"/>
      <c r="C597" s="7"/>
      <c r="D597" s="7"/>
      <c r="E597" s="7"/>
      <c r="F597" s="7"/>
      <c r="G597" s="7"/>
      <c r="H597" s="7"/>
      <c r="I597" s="7"/>
      <c r="J597" s="8"/>
      <c r="K597" s="9"/>
    </row>
    <row r="598">
      <c r="A598" s="6"/>
      <c r="B598" s="7"/>
      <c r="C598" s="7"/>
      <c r="D598" s="7"/>
      <c r="E598" s="7"/>
      <c r="F598" s="7"/>
      <c r="G598" s="7"/>
      <c r="H598" s="7"/>
      <c r="I598" s="7"/>
      <c r="J598" s="8"/>
      <c r="K598" s="9"/>
    </row>
    <row r="599">
      <c r="A599" s="6"/>
      <c r="B599" s="7"/>
      <c r="C599" s="7"/>
      <c r="D599" s="7"/>
      <c r="E599" s="7"/>
      <c r="F599" s="7"/>
      <c r="G599" s="7"/>
      <c r="H599" s="7"/>
      <c r="I599" s="7"/>
      <c r="J599" s="8"/>
      <c r="K599" s="9"/>
    </row>
    <row r="600">
      <c r="A600" s="6"/>
      <c r="B600" s="7"/>
      <c r="C600" s="7"/>
      <c r="D600" s="7"/>
      <c r="E600" s="7"/>
      <c r="F600" s="7"/>
      <c r="G600" s="7"/>
      <c r="H600" s="7"/>
      <c r="I600" s="7"/>
      <c r="J600" s="8"/>
      <c r="K600" s="9"/>
    </row>
    <row r="601">
      <c r="A601" s="6"/>
      <c r="B601" s="7"/>
      <c r="C601" s="7"/>
      <c r="D601" s="7"/>
      <c r="E601" s="7"/>
      <c r="F601" s="7"/>
      <c r="G601" s="7"/>
      <c r="H601" s="7"/>
      <c r="I601" s="7"/>
      <c r="J601" s="8"/>
      <c r="K601" s="9"/>
    </row>
    <row r="602">
      <c r="A602" s="6"/>
      <c r="B602" s="7"/>
      <c r="C602" s="7"/>
      <c r="D602" s="7"/>
      <c r="E602" s="7"/>
      <c r="F602" s="7"/>
      <c r="G602" s="7"/>
      <c r="H602" s="7"/>
      <c r="I602" s="7"/>
      <c r="J602" s="8"/>
      <c r="K602" s="9"/>
    </row>
    <row r="603">
      <c r="A603" s="6"/>
      <c r="B603" s="7"/>
      <c r="C603" s="7"/>
      <c r="D603" s="7"/>
      <c r="E603" s="7"/>
      <c r="F603" s="7"/>
      <c r="G603" s="7"/>
      <c r="H603" s="7"/>
      <c r="I603" s="7"/>
      <c r="J603" s="8"/>
      <c r="K603" s="9"/>
    </row>
    <row r="604">
      <c r="A604" s="6"/>
      <c r="B604" s="7"/>
      <c r="C604" s="7"/>
      <c r="D604" s="7"/>
      <c r="E604" s="7"/>
      <c r="F604" s="7"/>
      <c r="G604" s="7"/>
      <c r="H604" s="7"/>
      <c r="I604" s="7"/>
      <c r="J604" s="8"/>
      <c r="K604" s="9"/>
    </row>
    <row r="605">
      <c r="A605" s="6"/>
      <c r="B605" s="7"/>
      <c r="C605" s="7"/>
      <c r="D605" s="7"/>
      <c r="E605" s="7"/>
      <c r="F605" s="7"/>
      <c r="G605" s="7"/>
      <c r="H605" s="7"/>
      <c r="I605" s="7"/>
      <c r="J605" s="8"/>
      <c r="K605" s="9"/>
    </row>
    <row r="606">
      <c r="A606" s="6"/>
      <c r="B606" s="7"/>
      <c r="C606" s="7"/>
      <c r="D606" s="7"/>
      <c r="E606" s="7"/>
      <c r="F606" s="7"/>
      <c r="G606" s="7"/>
      <c r="H606" s="7"/>
      <c r="I606" s="7"/>
      <c r="J606" s="8"/>
      <c r="K606" s="9"/>
    </row>
    <row r="607">
      <c r="A607" s="6"/>
      <c r="B607" s="7"/>
      <c r="C607" s="7"/>
      <c r="D607" s="7"/>
      <c r="E607" s="7"/>
      <c r="F607" s="7"/>
      <c r="G607" s="7"/>
      <c r="H607" s="7"/>
      <c r="I607" s="7"/>
      <c r="J607" s="8"/>
      <c r="K607" s="9"/>
    </row>
    <row r="608">
      <c r="A608" s="6"/>
      <c r="B608" s="7"/>
      <c r="C608" s="7"/>
      <c r="D608" s="7"/>
      <c r="E608" s="7"/>
      <c r="F608" s="7"/>
      <c r="G608" s="7"/>
      <c r="H608" s="7"/>
      <c r="I608" s="7"/>
      <c r="J608" s="8"/>
      <c r="K608" s="9"/>
    </row>
    <row r="609">
      <c r="A609" s="6"/>
      <c r="B609" s="7"/>
      <c r="C609" s="7"/>
      <c r="D609" s="7"/>
      <c r="E609" s="7"/>
      <c r="F609" s="7"/>
      <c r="G609" s="7"/>
      <c r="H609" s="7"/>
      <c r="I609" s="7"/>
      <c r="J609" s="8"/>
      <c r="K609" s="9"/>
    </row>
    <row r="610">
      <c r="A610" s="6"/>
      <c r="B610" s="7"/>
      <c r="C610" s="7"/>
      <c r="D610" s="7"/>
      <c r="E610" s="7"/>
      <c r="F610" s="7"/>
      <c r="G610" s="7"/>
      <c r="H610" s="7"/>
      <c r="I610" s="7"/>
      <c r="J610" s="8"/>
      <c r="K610" s="9"/>
    </row>
    <row r="611">
      <c r="A611" s="6"/>
      <c r="B611" s="7"/>
      <c r="C611" s="7"/>
      <c r="D611" s="7"/>
      <c r="E611" s="7"/>
      <c r="F611" s="7"/>
      <c r="G611" s="7"/>
      <c r="H611" s="7"/>
      <c r="I611" s="7"/>
      <c r="J611" s="8"/>
      <c r="K611" s="9"/>
    </row>
    <row r="612">
      <c r="A612" s="6"/>
      <c r="B612" s="7"/>
      <c r="C612" s="7"/>
      <c r="D612" s="7"/>
      <c r="E612" s="7"/>
      <c r="F612" s="7"/>
      <c r="G612" s="7"/>
      <c r="H612" s="7"/>
      <c r="I612" s="7"/>
      <c r="J612" s="8"/>
      <c r="K612" s="9"/>
    </row>
    <row r="613">
      <c r="A613" s="6"/>
      <c r="B613" s="7"/>
      <c r="C613" s="7"/>
      <c r="D613" s="7"/>
      <c r="E613" s="7"/>
      <c r="F613" s="7"/>
      <c r="G613" s="7"/>
      <c r="H613" s="7"/>
      <c r="I613" s="7"/>
      <c r="J613" s="8"/>
      <c r="K613" s="9"/>
    </row>
    <row r="614">
      <c r="A614" s="6"/>
      <c r="B614" s="7"/>
      <c r="C614" s="7"/>
      <c r="D614" s="7"/>
      <c r="E614" s="7"/>
      <c r="F614" s="7"/>
      <c r="G614" s="7"/>
      <c r="H614" s="7"/>
      <c r="I614" s="7"/>
      <c r="J614" s="8"/>
      <c r="K614" s="9"/>
    </row>
    <row r="615">
      <c r="A615" s="6"/>
      <c r="B615" s="7"/>
      <c r="C615" s="7"/>
      <c r="D615" s="7"/>
      <c r="E615" s="7"/>
      <c r="F615" s="7"/>
      <c r="G615" s="7"/>
      <c r="H615" s="7"/>
      <c r="I615" s="7"/>
      <c r="J615" s="8"/>
      <c r="K615" s="9"/>
    </row>
    <row r="616">
      <c r="A616" s="6"/>
      <c r="B616" s="7"/>
      <c r="C616" s="7"/>
      <c r="D616" s="7"/>
      <c r="E616" s="7"/>
      <c r="F616" s="7"/>
      <c r="G616" s="7"/>
      <c r="H616" s="7"/>
      <c r="I616" s="7"/>
      <c r="J616" s="8"/>
      <c r="K616" s="9"/>
    </row>
    <row r="617">
      <c r="A617" s="6"/>
      <c r="B617" s="7"/>
      <c r="C617" s="7"/>
      <c r="D617" s="7"/>
      <c r="E617" s="7"/>
      <c r="F617" s="7"/>
      <c r="G617" s="7"/>
      <c r="H617" s="7"/>
      <c r="I617" s="7"/>
      <c r="J617" s="8"/>
      <c r="K617" s="9"/>
    </row>
    <row r="618">
      <c r="A618" s="6"/>
      <c r="B618" s="7"/>
      <c r="C618" s="7"/>
      <c r="D618" s="7"/>
      <c r="E618" s="7"/>
      <c r="F618" s="7"/>
      <c r="G618" s="7"/>
      <c r="H618" s="7"/>
      <c r="I618" s="7"/>
      <c r="J618" s="8"/>
      <c r="K618" s="9"/>
    </row>
    <row r="619">
      <c r="A619" s="6"/>
      <c r="B619" s="7"/>
      <c r="C619" s="7"/>
      <c r="D619" s="7"/>
      <c r="E619" s="7"/>
      <c r="F619" s="7"/>
      <c r="G619" s="7"/>
      <c r="H619" s="7"/>
      <c r="I619" s="7"/>
      <c r="J619" s="8"/>
      <c r="K619" s="9"/>
    </row>
    <row r="620">
      <c r="A620" s="6"/>
      <c r="B620" s="7"/>
      <c r="C620" s="7"/>
      <c r="D620" s="7"/>
      <c r="E620" s="7"/>
      <c r="F620" s="7"/>
      <c r="G620" s="7"/>
      <c r="H620" s="7"/>
      <c r="I620" s="7"/>
      <c r="J620" s="8"/>
      <c r="K620" s="9"/>
    </row>
    <row r="621">
      <c r="A621" s="6"/>
      <c r="B621" s="7"/>
      <c r="C621" s="7"/>
      <c r="D621" s="7"/>
      <c r="E621" s="7"/>
      <c r="F621" s="7"/>
      <c r="G621" s="7"/>
      <c r="H621" s="7"/>
      <c r="I621" s="7"/>
      <c r="J621" s="8"/>
      <c r="K621" s="9"/>
    </row>
    <row r="622">
      <c r="A622" s="6"/>
      <c r="B622" s="7"/>
      <c r="C622" s="7"/>
      <c r="D622" s="7"/>
      <c r="E622" s="7"/>
      <c r="F622" s="7"/>
      <c r="G622" s="7"/>
      <c r="H622" s="7"/>
      <c r="I622" s="7"/>
      <c r="J622" s="8"/>
      <c r="K622" s="9"/>
    </row>
    <row r="623">
      <c r="A623" s="6"/>
      <c r="B623" s="7"/>
      <c r="C623" s="7"/>
      <c r="D623" s="7"/>
      <c r="E623" s="7"/>
      <c r="F623" s="7"/>
      <c r="G623" s="7"/>
      <c r="H623" s="7"/>
      <c r="I623" s="7"/>
      <c r="J623" s="8"/>
      <c r="K623" s="9"/>
    </row>
    <row r="624">
      <c r="A624" s="6"/>
      <c r="B624" s="7"/>
      <c r="C624" s="7"/>
      <c r="D624" s="7"/>
      <c r="E624" s="7"/>
      <c r="F624" s="7"/>
      <c r="G624" s="7"/>
      <c r="H624" s="7"/>
      <c r="I624" s="7"/>
      <c r="J624" s="8"/>
      <c r="K624" s="9"/>
    </row>
    <row r="625">
      <c r="A625" s="6"/>
      <c r="B625" s="7"/>
      <c r="C625" s="7"/>
      <c r="D625" s="7"/>
      <c r="E625" s="7"/>
      <c r="F625" s="7"/>
      <c r="G625" s="7"/>
      <c r="H625" s="7"/>
      <c r="I625" s="7"/>
      <c r="J625" s="8"/>
      <c r="K625" s="9"/>
    </row>
    <row r="626">
      <c r="A626" s="6"/>
      <c r="B626" s="7"/>
      <c r="C626" s="7"/>
      <c r="D626" s="7"/>
      <c r="E626" s="7"/>
      <c r="F626" s="7"/>
      <c r="G626" s="7"/>
      <c r="H626" s="7"/>
      <c r="I626" s="7"/>
      <c r="J626" s="8"/>
      <c r="K626" s="9"/>
    </row>
    <row r="627">
      <c r="A627" s="6"/>
      <c r="B627" s="7"/>
      <c r="C627" s="7"/>
      <c r="D627" s="7"/>
      <c r="E627" s="7"/>
      <c r="F627" s="7"/>
      <c r="G627" s="7"/>
      <c r="H627" s="7"/>
      <c r="I627" s="7"/>
      <c r="J627" s="8"/>
      <c r="K627" s="9"/>
    </row>
    <row r="628">
      <c r="A628" s="6"/>
      <c r="B628" s="7"/>
      <c r="C628" s="7"/>
      <c r="D628" s="7"/>
      <c r="E628" s="7"/>
      <c r="F628" s="7"/>
      <c r="G628" s="7"/>
      <c r="H628" s="7"/>
      <c r="I628" s="7"/>
      <c r="J628" s="8"/>
      <c r="K628" s="9"/>
    </row>
    <row r="629">
      <c r="A629" s="6"/>
      <c r="B629" s="7"/>
      <c r="C629" s="7"/>
      <c r="D629" s="7"/>
      <c r="E629" s="7"/>
      <c r="F629" s="7"/>
      <c r="G629" s="7"/>
      <c r="H629" s="7"/>
      <c r="I629" s="7"/>
      <c r="J629" s="8"/>
      <c r="K629" s="9"/>
    </row>
    <row r="630">
      <c r="A630" s="6"/>
      <c r="B630" s="7"/>
      <c r="C630" s="7"/>
      <c r="D630" s="7"/>
      <c r="E630" s="7"/>
      <c r="F630" s="7"/>
      <c r="G630" s="7"/>
      <c r="H630" s="7"/>
      <c r="I630" s="7"/>
      <c r="J630" s="8"/>
      <c r="K630" s="9"/>
    </row>
    <row r="631">
      <c r="A631" s="6"/>
      <c r="B631" s="7"/>
      <c r="C631" s="7"/>
      <c r="D631" s="7"/>
      <c r="E631" s="7"/>
      <c r="F631" s="7"/>
      <c r="G631" s="7"/>
      <c r="H631" s="7"/>
      <c r="I631" s="7"/>
      <c r="J631" s="8"/>
      <c r="K631" s="9"/>
    </row>
    <row r="632">
      <c r="A632" s="6"/>
      <c r="B632" s="7"/>
      <c r="C632" s="7"/>
      <c r="D632" s="7"/>
      <c r="E632" s="7"/>
      <c r="F632" s="7"/>
      <c r="G632" s="7"/>
      <c r="H632" s="7"/>
      <c r="I632" s="7"/>
      <c r="J632" s="8"/>
      <c r="K632" s="9"/>
    </row>
    <row r="633">
      <c r="A633" s="6"/>
      <c r="B633" s="7"/>
      <c r="C633" s="7"/>
      <c r="D633" s="7"/>
      <c r="E633" s="7"/>
      <c r="F633" s="7"/>
      <c r="G633" s="7"/>
      <c r="H633" s="7"/>
      <c r="I633" s="7"/>
      <c r="J633" s="8"/>
      <c r="K633" s="9"/>
    </row>
    <row r="634">
      <c r="A634" s="6"/>
      <c r="B634" s="7"/>
      <c r="C634" s="7"/>
      <c r="D634" s="7"/>
      <c r="E634" s="7"/>
      <c r="F634" s="7"/>
      <c r="G634" s="7"/>
      <c r="H634" s="7"/>
      <c r="I634" s="7"/>
      <c r="J634" s="8"/>
      <c r="K634" s="9"/>
    </row>
    <row r="635">
      <c r="A635" s="6"/>
      <c r="B635" s="7"/>
      <c r="C635" s="7"/>
      <c r="D635" s="7"/>
      <c r="E635" s="7"/>
      <c r="F635" s="7"/>
      <c r="G635" s="7"/>
      <c r="H635" s="7"/>
      <c r="I635" s="7"/>
      <c r="J635" s="8"/>
      <c r="K635" s="9"/>
    </row>
    <row r="636">
      <c r="A636" s="6"/>
      <c r="B636" s="7"/>
      <c r="C636" s="7"/>
      <c r="D636" s="7"/>
      <c r="E636" s="7"/>
      <c r="F636" s="7"/>
      <c r="G636" s="7"/>
      <c r="H636" s="7"/>
      <c r="I636" s="7"/>
      <c r="J636" s="8"/>
      <c r="K636" s="9"/>
    </row>
    <row r="637">
      <c r="A637" s="6"/>
      <c r="B637" s="7"/>
      <c r="C637" s="7"/>
      <c r="D637" s="7"/>
      <c r="E637" s="7"/>
      <c r="F637" s="7"/>
      <c r="G637" s="7"/>
      <c r="H637" s="7"/>
      <c r="I637" s="7"/>
      <c r="J637" s="8"/>
      <c r="K637" s="9"/>
    </row>
    <row r="638">
      <c r="A638" s="6"/>
      <c r="B638" s="7"/>
      <c r="C638" s="7"/>
      <c r="D638" s="7"/>
      <c r="E638" s="7"/>
      <c r="F638" s="7"/>
      <c r="G638" s="7"/>
      <c r="H638" s="7"/>
      <c r="I638" s="7"/>
      <c r="J638" s="8"/>
      <c r="K638" s="9"/>
    </row>
    <row r="639">
      <c r="A639" s="6"/>
      <c r="B639" s="7"/>
      <c r="C639" s="7"/>
      <c r="D639" s="7"/>
      <c r="E639" s="7"/>
      <c r="F639" s="7"/>
      <c r="G639" s="7"/>
      <c r="H639" s="7"/>
      <c r="I639" s="7"/>
      <c r="J639" s="8"/>
      <c r="K639" s="9"/>
    </row>
    <row r="640">
      <c r="A640" s="6"/>
      <c r="B640" s="7"/>
      <c r="C640" s="7"/>
      <c r="D640" s="7"/>
      <c r="E640" s="7"/>
      <c r="F640" s="7"/>
      <c r="G640" s="7"/>
      <c r="H640" s="7"/>
      <c r="I640" s="7"/>
      <c r="J640" s="8"/>
      <c r="K640" s="9"/>
    </row>
    <row r="641">
      <c r="A641" s="6"/>
      <c r="B641" s="7"/>
      <c r="C641" s="7"/>
      <c r="D641" s="7"/>
      <c r="E641" s="7"/>
      <c r="F641" s="7"/>
      <c r="G641" s="7"/>
      <c r="H641" s="7"/>
      <c r="I641" s="7"/>
      <c r="J641" s="8"/>
      <c r="K641" s="9"/>
    </row>
    <row r="642">
      <c r="A642" s="6"/>
      <c r="B642" s="7"/>
      <c r="C642" s="7"/>
      <c r="D642" s="7"/>
      <c r="E642" s="7"/>
      <c r="F642" s="7"/>
      <c r="G642" s="7"/>
      <c r="H642" s="7"/>
      <c r="I642" s="7"/>
      <c r="J642" s="8"/>
      <c r="K642" s="9"/>
    </row>
    <row r="643">
      <c r="A643" s="6"/>
      <c r="B643" s="7"/>
      <c r="C643" s="7"/>
      <c r="D643" s="7"/>
      <c r="E643" s="7"/>
      <c r="F643" s="7"/>
      <c r="G643" s="7"/>
      <c r="H643" s="7"/>
      <c r="I643" s="7"/>
      <c r="J643" s="8"/>
      <c r="K643" s="9"/>
    </row>
    <row r="644">
      <c r="A644" s="6"/>
      <c r="B644" s="7"/>
      <c r="C644" s="7"/>
      <c r="D644" s="7"/>
      <c r="E644" s="7"/>
      <c r="F644" s="7"/>
      <c r="G644" s="7"/>
      <c r="H644" s="7"/>
      <c r="I644" s="7"/>
      <c r="J644" s="8"/>
      <c r="K644" s="9"/>
    </row>
    <row r="645">
      <c r="A645" s="6"/>
      <c r="B645" s="7"/>
      <c r="C645" s="7"/>
      <c r="D645" s="7"/>
      <c r="E645" s="7"/>
      <c r="F645" s="7"/>
      <c r="G645" s="7"/>
      <c r="H645" s="7"/>
      <c r="I645" s="7"/>
      <c r="J645" s="8"/>
      <c r="K645" s="9"/>
    </row>
    <row r="646">
      <c r="A646" s="6"/>
      <c r="B646" s="7"/>
      <c r="C646" s="7"/>
      <c r="D646" s="7"/>
      <c r="E646" s="7"/>
      <c r="F646" s="7"/>
      <c r="G646" s="7"/>
      <c r="H646" s="7"/>
      <c r="I646" s="7"/>
      <c r="J646" s="8"/>
      <c r="K646" s="9"/>
    </row>
    <row r="647">
      <c r="A647" s="6"/>
      <c r="B647" s="7"/>
      <c r="C647" s="7"/>
      <c r="D647" s="7"/>
      <c r="E647" s="7"/>
      <c r="F647" s="7"/>
      <c r="G647" s="7"/>
      <c r="H647" s="7"/>
      <c r="I647" s="7"/>
      <c r="J647" s="8"/>
      <c r="K647" s="9"/>
    </row>
    <row r="648">
      <c r="A648" s="6"/>
      <c r="B648" s="7"/>
      <c r="C648" s="7"/>
      <c r="D648" s="7"/>
      <c r="E648" s="7"/>
      <c r="F648" s="7"/>
      <c r="G648" s="7"/>
      <c r="H648" s="7"/>
      <c r="I648" s="7"/>
      <c r="J648" s="8"/>
      <c r="K648" s="9"/>
    </row>
    <row r="649">
      <c r="A649" s="6"/>
      <c r="B649" s="7"/>
      <c r="C649" s="7"/>
      <c r="D649" s="7"/>
      <c r="E649" s="7"/>
      <c r="F649" s="7"/>
      <c r="G649" s="7"/>
      <c r="H649" s="7"/>
      <c r="I649" s="7"/>
      <c r="J649" s="8"/>
      <c r="K649" s="9"/>
    </row>
    <row r="650">
      <c r="A650" s="6"/>
      <c r="B650" s="7"/>
      <c r="C650" s="7"/>
      <c r="D650" s="7"/>
      <c r="E650" s="7"/>
      <c r="F650" s="7"/>
      <c r="G650" s="7"/>
      <c r="H650" s="7"/>
      <c r="I650" s="7"/>
      <c r="J650" s="8"/>
      <c r="K650" s="9"/>
    </row>
    <row r="651">
      <c r="A651" s="6"/>
      <c r="B651" s="7"/>
      <c r="C651" s="7"/>
      <c r="D651" s="7"/>
      <c r="E651" s="7"/>
      <c r="F651" s="7"/>
      <c r="G651" s="7"/>
      <c r="H651" s="7"/>
      <c r="I651" s="7"/>
      <c r="J651" s="8"/>
      <c r="K651" s="9"/>
    </row>
    <row r="652">
      <c r="A652" s="6"/>
      <c r="B652" s="7"/>
      <c r="C652" s="7"/>
      <c r="D652" s="7"/>
      <c r="E652" s="7"/>
      <c r="F652" s="7"/>
      <c r="G652" s="7"/>
      <c r="H652" s="7"/>
      <c r="I652" s="7"/>
      <c r="J652" s="8"/>
      <c r="K652" s="9"/>
    </row>
    <row r="653">
      <c r="A653" s="6"/>
      <c r="B653" s="7"/>
      <c r="C653" s="7"/>
      <c r="D653" s="7"/>
      <c r="E653" s="7"/>
      <c r="F653" s="7"/>
      <c r="G653" s="7"/>
      <c r="H653" s="7"/>
      <c r="I653" s="7"/>
      <c r="J653" s="8"/>
      <c r="K653" s="9"/>
    </row>
    <row r="654">
      <c r="A654" s="6"/>
      <c r="B654" s="7"/>
      <c r="C654" s="7"/>
      <c r="D654" s="7"/>
      <c r="E654" s="7"/>
      <c r="F654" s="7"/>
      <c r="G654" s="7"/>
      <c r="H654" s="7"/>
      <c r="I654" s="7"/>
      <c r="J654" s="8"/>
      <c r="K654" s="9"/>
    </row>
    <row r="655">
      <c r="A655" s="6"/>
      <c r="B655" s="7"/>
      <c r="C655" s="7"/>
      <c r="D655" s="7"/>
      <c r="E655" s="7"/>
      <c r="F655" s="7"/>
      <c r="G655" s="7"/>
      <c r="H655" s="7"/>
      <c r="I655" s="7"/>
      <c r="J655" s="8"/>
      <c r="K655" s="9"/>
    </row>
    <row r="656">
      <c r="A656" s="6"/>
      <c r="B656" s="7"/>
      <c r="C656" s="7"/>
      <c r="D656" s="7"/>
      <c r="E656" s="7"/>
      <c r="F656" s="7"/>
      <c r="G656" s="7"/>
      <c r="H656" s="7"/>
      <c r="I656" s="7"/>
      <c r="J656" s="8"/>
      <c r="K656" s="9"/>
    </row>
    <row r="657">
      <c r="A657" s="6"/>
      <c r="B657" s="7"/>
      <c r="C657" s="7"/>
      <c r="D657" s="7"/>
      <c r="E657" s="7"/>
      <c r="F657" s="7"/>
      <c r="G657" s="7"/>
      <c r="H657" s="7"/>
      <c r="I657" s="7"/>
      <c r="J657" s="8"/>
      <c r="K657" s="9"/>
    </row>
    <row r="658">
      <c r="A658" s="6"/>
      <c r="B658" s="7"/>
      <c r="C658" s="7"/>
      <c r="D658" s="7"/>
      <c r="E658" s="7"/>
      <c r="F658" s="7"/>
      <c r="G658" s="7"/>
      <c r="H658" s="7"/>
      <c r="I658" s="7"/>
      <c r="J658" s="8"/>
      <c r="K658" s="9"/>
    </row>
    <row r="659">
      <c r="A659" s="6"/>
      <c r="B659" s="7"/>
      <c r="C659" s="7"/>
      <c r="D659" s="7"/>
      <c r="E659" s="7"/>
      <c r="F659" s="7"/>
      <c r="G659" s="7"/>
      <c r="H659" s="7"/>
      <c r="I659" s="7"/>
      <c r="J659" s="8"/>
      <c r="K659" s="9"/>
    </row>
    <row r="660">
      <c r="A660" s="6"/>
      <c r="B660" s="7"/>
      <c r="C660" s="7"/>
      <c r="D660" s="7"/>
      <c r="E660" s="7"/>
      <c r="F660" s="7"/>
      <c r="G660" s="7"/>
      <c r="H660" s="7"/>
      <c r="I660" s="7"/>
      <c r="J660" s="8"/>
      <c r="K660" s="9"/>
    </row>
    <row r="661">
      <c r="A661" s="6"/>
      <c r="B661" s="7"/>
      <c r="C661" s="7"/>
      <c r="D661" s="7"/>
      <c r="E661" s="7"/>
      <c r="F661" s="7"/>
      <c r="G661" s="7"/>
      <c r="H661" s="7"/>
      <c r="I661" s="7"/>
      <c r="J661" s="8"/>
      <c r="K661" s="9"/>
    </row>
    <row r="662">
      <c r="A662" s="6"/>
      <c r="B662" s="7"/>
      <c r="C662" s="7"/>
      <c r="D662" s="7"/>
      <c r="E662" s="7"/>
      <c r="F662" s="7"/>
      <c r="G662" s="7"/>
      <c r="H662" s="7"/>
      <c r="I662" s="7"/>
      <c r="J662" s="8"/>
      <c r="K662" s="9"/>
    </row>
    <row r="663">
      <c r="A663" s="6"/>
      <c r="B663" s="7"/>
      <c r="C663" s="7"/>
      <c r="D663" s="7"/>
      <c r="E663" s="7"/>
      <c r="F663" s="7"/>
      <c r="G663" s="7"/>
      <c r="H663" s="7"/>
      <c r="I663" s="7"/>
      <c r="J663" s="8"/>
      <c r="K663" s="9"/>
    </row>
    <row r="664">
      <c r="A664" s="6"/>
      <c r="B664" s="7"/>
      <c r="C664" s="7"/>
      <c r="D664" s="7"/>
      <c r="E664" s="7"/>
      <c r="F664" s="7"/>
      <c r="G664" s="7"/>
      <c r="H664" s="7"/>
      <c r="I664" s="7"/>
      <c r="J664" s="8"/>
      <c r="K664" s="9"/>
    </row>
    <row r="665">
      <c r="A665" s="6"/>
      <c r="B665" s="7"/>
      <c r="C665" s="7"/>
      <c r="D665" s="7"/>
      <c r="E665" s="7"/>
      <c r="F665" s="7"/>
      <c r="G665" s="7"/>
      <c r="H665" s="7"/>
      <c r="I665" s="7"/>
      <c r="J665" s="8"/>
      <c r="K665" s="9"/>
    </row>
    <row r="666">
      <c r="A666" s="6"/>
      <c r="B666" s="7"/>
      <c r="C666" s="7"/>
      <c r="D666" s="7"/>
      <c r="E666" s="7"/>
      <c r="F666" s="7"/>
      <c r="G666" s="7"/>
      <c r="H666" s="7"/>
      <c r="I666" s="7"/>
      <c r="J666" s="8"/>
      <c r="K666" s="9"/>
    </row>
    <row r="667">
      <c r="A667" s="6"/>
      <c r="B667" s="7"/>
      <c r="C667" s="7"/>
      <c r="D667" s="7"/>
      <c r="E667" s="7"/>
      <c r="F667" s="7"/>
      <c r="G667" s="7"/>
      <c r="H667" s="7"/>
      <c r="I667" s="7"/>
      <c r="J667" s="8"/>
      <c r="K667" s="9"/>
    </row>
    <row r="668">
      <c r="A668" s="6"/>
      <c r="B668" s="7"/>
      <c r="C668" s="7"/>
      <c r="D668" s="7"/>
      <c r="E668" s="7"/>
      <c r="F668" s="7"/>
      <c r="G668" s="7"/>
      <c r="H668" s="7"/>
      <c r="I668" s="7"/>
      <c r="J668" s="8"/>
      <c r="K668" s="9"/>
    </row>
    <row r="669">
      <c r="A669" s="6"/>
      <c r="B669" s="7"/>
      <c r="C669" s="7"/>
      <c r="D669" s="7"/>
      <c r="E669" s="7"/>
      <c r="F669" s="7"/>
      <c r="G669" s="7"/>
      <c r="H669" s="7"/>
      <c r="I669" s="7"/>
      <c r="J669" s="8"/>
      <c r="K669" s="9"/>
    </row>
    <row r="670">
      <c r="A670" s="6"/>
      <c r="B670" s="7"/>
      <c r="C670" s="7"/>
      <c r="D670" s="7"/>
      <c r="E670" s="7"/>
      <c r="F670" s="7"/>
      <c r="G670" s="7"/>
      <c r="H670" s="7"/>
      <c r="I670" s="7"/>
      <c r="J670" s="8"/>
      <c r="K670" s="9"/>
    </row>
    <row r="671">
      <c r="A671" s="6"/>
      <c r="B671" s="7"/>
      <c r="C671" s="7"/>
      <c r="D671" s="7"/>
      <c r="E671" s="7"/>
      <c r="F671" s="7"/>
      <c r="G671" s="7"/>
      <c r="H671" s="7"/>
      <c r="I671" s="7"/>
      <c r="J671" s="8"/>
      <c r="K671" s="9"/>
    </row>
    <row r="672">
      <c r="A672" s="6"/>
      <c r="B672" s="7"/>
      <c r="C672" s="7"/>
      <c r="D672" s="7"/>
      <c r="E672" s="7"/>
      <c r="F672" s="7"/>
      <c r="G672" s="7"/>
      <c r="H672" s="7"/>
      <c r="I672" s="7"/>
      <c r="J672" s="8"/>
      <c r="K672" s="9"/>
    </row>
    <row r="673">
      <c r="A673" s="6"/>
      <c r="B673" s="7"/>
      <c r="C673" s="7"/>
      <c r="D673" s="7"/>
      <c r="E673" s="7"/>
      <c r="F673" s="7"/>
      <c r="G673" s="7"/>
      <c r="H673" s="7"/>
      <c r="I673" s="7"/>
      <c r="J673" s="8"/>
      <c r="K673" s="9"/>
    </row>
    <row r="674">
      <c r="A674" s="6"/>
      <c r="B674" s="7"/>
      <c r="C674" s="7"/>
      <c r="D674" s="7"/>
      <c r="E674" s="7"/>
      <c r="F674" s="7"/>
      <c r="G674" s="7"/>
      <c r="H674" s="7"/>
      <c r="I674" s="7"/>
      <c r="J674" s="8"/>
      <c r="K674" s="9"/>
    </row>
    <row r="675">
      <c r="A675" s="6"/>
      <c r="B675" s="7"/>
      <c r="C675" s="7"/>
      <c r="D675" s="7"/>
      <c r="E675" s="7"/>
      <c r="F675" s="7"/>
      <c r="G675" s="7"/>
      <c r="H675" s="7"/>
      <c r="I675" s="7"/>
      <c r="J675" s="8"/>
      <c r="K675" s="9"/>
    </row>
    <row r="676">
      <c r="A676" s="6"/>
      <c r="B676" s="7"/>
      <c r="C676" s="7"/>
      <c r="D676" s="7"/>
      <c r="E676" s="7"/>
      <c r="F676" s="7"/>
      <c r="G676" s="7"/>
      <c r="H676" s="7"/>
      <c r="I676" s="7"/>
      <c r="J676" s="8"/>
      <c r="K676" s="9"/>
    </row>
    <row r="677">
      <c r="A677" s="6"/>
      <c r="B677" s="7"/>
      <c r="C677" s="7"/>
      <c r="D677" s="7"/>
      <c r="E677" s="7"/>
      <c r="F677" s="7"/>
      <c r="G677" s="7"/>
      <c r="H677" s="7"/>
      <c r="I677" s="7"/>
      <c r="J677" s="8"/>
      <c r="K677" s="9"/>
    </row>
    <row r="678">
      <c r="A678" s="6"/>
      <c r="B678" s="7"/>
      <c r="C678" s="7"/>
      <c r="D678" s="7"/>
      <c r="E678" s="7"/>
      <c r="F678" s="7"/>
      <c r="G678" s="7"/>
      <c r="H678" s="7"/>
      <c r="I678" s="7"/>
      <c r="J678" s="8"/>
      <c r="K678" s="9"/>
    </row>
    <row r="679">
      <c r="A679" s="6"/>
      <c r="B679" s="7"/>
      <c r="C679" s="7"/>
      <c r="D679" s="7"/>
      <c r="E679" s="7"/>
      <c r="F679" s="7"/>
      <c r="G679" s="7"/>
      <c r="H679" s="7"/>
      <c r="I679" s="7"/>
      <c r="J679" s="8"/>
      <c r="K679" s="9"/>
    </row>
    <row r="680">
      <c r="A680" s="6"/>
      <c r="B680" s="7"/>
      <c r="C680" s="7"/>
      <c r="D680" s="7"/>
      <c r="E680" s="7"/>
      <c r="F680" s="7"/>
      <c r="G680" s="7"/>
      <c r="H680" s="7"/>
      <c r="I680" s="7"/>
      <c r="J680" s="8"/>
      <c r="K680" s="9"/>
    </row>
    <row r="681">
      <c r="A681" s="6"/>
      <c r="B681" s="7"/>
      <c r="C681" s="7"/>
      <c r="D681" s="7"/>
      <c r="E681" s="7"/>
      <c r="F681" s="7"/>
      <c r="G681" s="7"/>
      <c r="H681" s="7"/>
      <c r="I681" s="7"/>
      <c r="J681" s="8"/>
      <c r="K681" s="9"/>
    </row>
    <row r="682">
      <c r="A682" s="6"/>
      <c r="B682" s="7"/>
      <c r="C682" s="7"/>
      <c r="D682" s="7"/>
      <c r="E682" s="7"/>
      <c r="F682" s="7"/>
      <c r="G682" s="7"/>
      <c r="H682" s="7"/>
      <c r="I682" s="7"/>
      <c r="J682" s="8"/>
      <c r="K682" s="9"/>
    </row>
    <row r="683">
      <c r="A683" s="6"/>
      <c r="B683" s="7"/>
      <c r="C683" s="7"/>
      <c r="D683" s="7"/>
      <c r="E683" s="7"/>
      <c r="F683" s="7"/>
      <c r="G683" s="7"/>
      <c r="H683" s="7"/>
      <c r="I683" s="7"/>
      <c r="J683" s="8"/>
      <c r="K683" s="9"/>
    </row>
    <row r="684">
      <c r="A684" s="6"/>
      <c r="B684" s="7"/>
      <c r="C684" s="7"/>
      <c r="D684" s="7"/>
      <c r="E684" s="7"/>
      <c r="F684" s="7"/>
      <c r="G684" s="7"/>
      <c r="H684" s="7"/>
      <c r="I684" s="7"/>
      <c r="J684" s="8"/>
      <c r="K684" s="9"/>
    </row>
    <row r="685">
      <c r="A685" s="6"/>
      <c r="B685" s="7"/>
      <c r="C685" s="7"/>
      <c r="D685" s="7"/>
      <c r="E685" s="7"/>
      <c r="F685" s="7"/>
      <c r="G685" s="7"/>
      <c r="H685" s="7"/>
      <c r="I685" s="7"/>
      <c r="J685" s="8"/>
      <c r="K685" s="9"/>
    </row>
    <row r="686">
      <c r="A686" s="6"/>
      <c r="B686" s="7"/>
      <c r="C686" s="7"/>
      <c r="D686" s="7"/>
      <c r="E686" s="7"/>
      <c r="F686" s="7"/>
      <c r="G686" s="7"/>
      <c r="H686" s="7"/>
      <c r="I686" s="7"/>
      <c r="J686" s="8"/>
      <c r="K686" s="9"/>
    </row>
    <row r="687">
      <c r="A687" s="6"/>
      <c r="B687" s="7"/>
      <c r="C687" s="7"/>
      <c r="D687" s="7"/>
      <c r="E687" s="7"/>
      <c r="F687" s="7"/>
      <c r="G687" s="7"/>
      <c r="H687" s="7"/>
      <c r="I687" s="7"/>
      <c r="J687" s="8"/>
      <c r="K687" s="9"/>
    </row>
    <row r="688">
      <c r="A688" s="6"/>
      <c r="B688" s="7"/>
      <c r="C688" s="7"/>
      <c r="D688" s="7"/>
      <c r="E688" s="7"/>
      <c r="F688" s="7"/>
      <c r="G688" s="7"/>
      <c r="H688" s="7"/>
      <c r="I688" s="7"/>
      <c r="J688" s="8"/>
      <c r="K688" s="9"/>
    </row>
    <row r="689">
      <c r="A689" s="6"/>
      <c r="B689" s="7"/>
      <c r="C689" s="7"/>
      <c r="D689" s="7"/>
      <c r="E689" s="7"/>
      <c r="F689" s="7"/>
      <c r="G689" s="7"/>
      <c r="H689" s="7"/>
      <c r="I689" s="7"/>
      <c r="J689" s="8"/>
      <c r="K689" s="9"/>
    </row>
    <row r="690">
      <c r="A690" s="6"/>
      <c r="B690" s="7"/>
      <c r="C690" s="7"/>
      <c r="D690" s="7"/>
      <c r="E690" s="7"/>
      <c r="F690" s="7"/>
      <c r="G690" s="7"/>
      <c r="H690" s="7"/>
      <c r="I690" s="7"/>
      <c r="J690" s="8"/>
      <c r="K690" s="9"/>
    </row>
    <row r="691">
      <c r="A691" s="6"/>
      <c r="B691" s="7"/>
      <c r="C691" s="7"/>
      <c r="D691" s="7"/>
      <c r="E691" s="7"/>
      <c r="F691" s="7"/>
      <c r="G691" s="7"/>
      <c r="H691" s="7"/>
      <c r="I691" s="7"/>
      <c r="J691" s="8"/>
      <c r="K691" s="9"/>
    </row>
    <row r="692">
      <c r="A692" s="6"/>
      <c r="B692" s="7"/>
      <c r="C692" s="7"/>
      <c r="D692" s="7"/>
      <c r="E692" s="7"/>
      <c r="F692" s="7"/>
      <c r="G692" s="7"/>
      <c r="H692" s="7"/>
      <c r="I692" s="7"/>
      <c r="J692" s="8"/>
      <c r="K692" s="9"/>
    </row>
    <row r="693">
      <c r="A693" s="6"/>
      <c r="B693" s="7"/>
      <c r="C693" s="7"/>
      <c r="D693" s="7"/>
      <c r="E693" s="7"/>
      <c r="F693" s="7"/>
      <c r="G693" s="7"/>
      <c r="H693" s="7"/>
      <c r="I693" s="7"/>
      <c r="J693" s="8"/>
      <c r="K693" s="9"/>
    </row>
    <row r="694">
      <c r="A694" s="6"/>
      <c r="B694" s="7"/>
      <c r="C694" s="7"/>
      <c r="D694" s="7"/>
      <c r="E694" s="7"/>
      <c r="F694" s="7"/>
      <c r="G694" s="7"/>
      <c r="H694" s="7"/>
      <c r="I694" s="7"/>
      <c r="J694" s="8"/>
      <c r="K694" s="9"/>
    </row>
    <row r="695">
      <c r="A695" s="6"/>
      <c r="B695" s="7"/>
      <c r="C695" s="7"/>
      <c r="D695" s="7"/>
      <c r="E695" s="7"/>
      <c r="F695" s="7"/>
      <c r="G695" s="7"/>
      <c r="H695" s="7"/>
      <c r="I695" s="7"/>
      <c r="J695" s="8"/>
      <c r="K695" s="9"/>
    </row>
    <row r="696">
      <c r="A696" s="6"/>
      <c r="B696" s="7"/>
      <c r="C696" s="7"/>
      <c r="D696" s="7"/>
      <c r="E696" s="7"/>
      <c r="F696" s="7"/>
      <c r="G696" s="7"/>
      <c r="H696" s="7"/>
      <c r="I696" s="7"/>
      <c r="J696" s="8"/>
      <c r="K696" s="9"/>
    </row>
    <row r="697">
      <c r="A697" s="6"/>
      <c r="B697" s="7"/>
      <c r="C697" s="7"/>
      <c r="D697" s="7"/>
      <c r="E697" s="7"/>
      <c r="F697" s="7"/>
      <c r="G697" s="7"/>
      <c r="H697" s="7"/>
      <c r="I697" s="7"/>
      <c r="J697" s="8"/>
      <c r="K697" s="9"/>
    </row>
    <row r="698">
      <c r="A698" s="6"/>
      <c r="B698" s="7"/>
      <c r="C698" s="7"/>
      <c r="D698" s="7"/>
      <c r="E698" s="7"/>
      <c r="F698" s="7"/>
      <c r="G698" s="7"/>
      <c r="H698" s="7"/>
      <c r="I698" s="7"/>
      <c r="J698" s="8"/>
      <c r="K698" s="9"/>
    </row>
    <row r="699">
      <c r="A699" s="6"/>
      <c r="B699" s="7"/>
      <c r="C699" s="7"/>
      <c r="D699" s="7"/>
      <c r="E699" s="7"/>
      <c r="F699" s="7"/>
      <c r="G699" s="7"/>
      <c r="H699" s="7"/>
      <c r="I699" s="7"/>
      <c r="J699" s="8"/>
      <c r="K699" s="9"/>
    </row>
    <row r="700">
      <c r="A700" s="6"/>
      <c r="B700" s="7"/>
      <c r="C700" s="7"/>
      <c r="D700" s="7"/>
      <c r="E700" s="7"/>
      <c r="F700" s="7"/>
      <c r="G700" s="7"/>
      <c r="H700" s="7"/>
      <c r="I700" s="7"/>
      <c r="J700" s="8"/>
      <c r="K700" s="9"/>
    </row>
    <row r="701">
      <c r="A701" s="6"/>
      <c r="B701" s="7"/>
      <c r="C701" s="7"/>
      <c r="D701" s="7"/>
      <c r="E701" s="7"/>
      <c r="F701" s="7"/>
      <c r="G701" s="7"/>
      <c r="H701" s="7"/>
      <c r="I701" s="7"/>
      <c r="J701" s="8"/>
      <c r="K701" s="9"/>
    </row>
    <row r="702">
      <c r="A702" s="6"/>
      <c r="B702" s="7"/>
      <c r="C702" s="7"/>
      <c r="D702" s="7"/>
      <c r="E702" s="7"/>
      <c r="F702" s="7"/>
      <c r="G702" s="7"/>
      <c r="H702" s="7"/>
      <c r="I702" s="7"/>
      <c r="J702" s="8"/>
      <c r="K702" s="9"/>
    </row>
    <row r="703">
      <c r="A703" s="6"/>
      <c r="B703" s="7"/>
      <c r="C703" s="7"/>
      <c r="D703" s="7"/>
      <c r="E703" s="7"/>
      <c r="F703" s="7"/>
      <c r="G703" s="7"/>
      <c r="H703" s="7"/>
      <c r="I703" s="7"/>
      <c r="J703" s="8"/>
      <c r="K703" s="9"/>
    </row>
    <row r="704">
      <c r="A704" s="6"/>
      <c r="B704" s="7"/>
      <c r="C704" s="7"/>
      <c r="D704" s="7"/>
      <c r="E704" s="7"/>
      <c r="F704" s="7"/>
      <c r="G704" s="7"/>
      <c r="H704" s="7"/>
      <c r="I704" s="7"/>
      <c r="J704" s="8"/>
      <c r="K704" s="9"/>
    </row>
    <row r="705">
      <c r="A705" s="6"/>
      <c r="B705" s="7"/>
      <c r="C705" s="7"/>
      <c r="D705" s="7"/>
      <c r="E705" s="7"/>
      <c r="F705" s="7"/>
      <c r="G705" s="7"/>
      <c r="H705" s="7"/>
      <c r="I705" s="7"/>
      <c r="J705" s="8"/>
      <c r="K705" s="9"/>
    </row>
    <row r="706">
      <c r="A706" s="6"/>
      <c r="B706" s="7"/>
      <c r="C706" s="7"/>
      <c r="D706" s="7"/>
      <c r="E706" s="7"/>
      <c r="F706" s="7"/>
      <c r="G706" s="7"/>
      <c r="H706" s="7"/>
      <c r="I706" s="7"/>
      <c r="J706" s="8"/>
      <c r="K706" s="9"/>
    </row>
    <row r="707">
      <c r="A707" s="6"/>
      <c r="B707" s="7"/>
      <c r="C707" s="7"/>
      <c r="D707" s="7"/>
      <c r="E707" s="7"/>
      <c r="F707" s="7"/>
      <c r="G707" s="7"/>
      <c r="H707" s="7"/>
      <c r="I707" s="7"/>
      <c r="J707" s="8"/>
      <c r="K707" s="9"/>
    </row>
    <row r="708">
      <c r="A708" s="6"/>
      <c r="B708" s="7"/>
      <c r="C708" s="7"/>
      <c r="D708" s="7"/>
      <c r="E708" s="7"/>
      <c r="F708" s="7"/>
      <c r="G708" s="7"/>
      <c r="H708" s="7"/>
      <c r="I708" s="7"/>
      <c r="J708" s="8"/>
      <c r="K708" s="9"/>
    </row>
    <row r="709">
      <c r="A709" s="6"/>
      <c r="B709" s="7"/>
      <c r="C709" s="7"/>
      <c r="D709" s="7"/>
      <c r="E709" s="7"/>
      <c r="F709" s="7"/>
      <c r="G709" s="7"/>
      <c r="H709" s="7"/>
      <c r="I709" s="7"/>
      <c r="J709" s="8"/>
      <c r="K709" s="9"/>
    </row>
    <row r="710">
      <c r="A710" s="6"/>
      <c r="B710" s="7"/>
      <c r="C710" s="7"/>
      <c r="D710" s="7"/>
      <c r="E710" s="7"/>
      <c r="F710" s="7"/>
      <c r="G710" s="7"/>
      <c r="H710" s="7"/>
      <c r="I710" s="7"/>
      <c r="J710" s="8"/>
      <c r="K710" s="9"/>
    </row>
    <row r="711">
      <c r="A711" s="6"/>
      <c r="B711" s="7"/>
      <c r="C711" s="7"/>
      <c r="D711" s="7"/>
      <c r="E711" s="7"/>
      <c r="F711" s="7"/>
      <c r="G711" s="7"/>
      <c r="H711" s="7"/>
      <c r="I711" s="7"/>
      <c r="J711" s="8"/>
      <c r="K711" s="9"/>
    </row>
    <row r="712">
      <c r="A712" s="6"/>
      <c r="B712" s="7"/>
      <c r="C712" s="7"/>
      <c r="D712" s="7"/>
      <c r="E712" s="7"/>
      <c r="F712" s="7"/>
      <c r="G712" s="7"/>
      <c r="H712" s="7"/>
      <c r="I712" s="7"/>
      <c r="J712" s="8"/>
      <c r="K712" s="9"/>
    </row>
    <row r="713">
      <c r="A713" s="6"/>
      <c r="B713" s="7"/>
      <c r="C713" s="7"/>
      <c r="D713" s="7"/>
      <c r="E713" s="7"/>
      <c r="F713" s="7"/>
      <c r="G713" s="7"/>
      <c r="H713" s="7"/>
      <c r="I713" s="7"/>
      <c r="J713" s="8"/>
      <c r="K713" s="9"/>
    </row>
    <row r="714">
      <c r="A714" s="6"/>
      <c r="B714" s="7"/>
      <c r="C714" s="7"/>
      <c r="D714" s="7"/>
      <c r="E714" s="7"/>
      <c r="F714" s="7"/>
      <c r="G714" s="7"/>
      <c r="H714" s="7"/>
      <c r="I714" s="7"/>
      <c r="J714" s="8"/>
      <c r="K714" s="9"/>
    </row>
    <row r="715">
      <c r="A715" s="6"/>
      <c r="B715" s="7"/>
      <c r="C715" s="7"/>
      <c r="D715" s="7"/>
      <c r="E715" s="7"/>
      <c r="F715" s="7"/>
      <c r="G715" s="7"/>
      <c r="H715" s="7"/>
      <c r="I715" s="7"/>
      <c r="J715" s="8"/>
      <c r="K715" s="9"/>
    </row>
    <row r="716">
      <c r="A716" s="6"/>
      <c r="B716" s="7"/>
      <c r="C716" s="7"/>
      <c r="D716" s="7"/>
      <c r="E716" s="7"/>
      <c r="F716" s="7"/>
      <c r="G716" s="7"/>
      <c r="H716" s="7"/>
      <c r="I716" s="7"/>
      <c r="J716" s="8"/>
      <c r="K716" s="9"/>
    </row>
    <row r="717">
      <c r="A717" s="6"/>
      <c r="B717" s="7"/>
      <c r="C717" s="7"/>
      <c r="D717" s="7"/>
      <c r="E717" s="7"/>
      <c r="F717" s="7"/>
      <c r="G717" s="7"/>
      <c r="H717" s="7"/>
      <c r="I717" s="7"/>
      <c r="J717" s="8"/>
      <c r="K717" s="9"/>
    </row>
    <row r="718">
      <c r="A718" s="6"/>
      <c r="B718" s="7"/>
      <c r="C718" s="7"/>
      <c r="D718" s="7"/>
      <c r="E718" s="7"/>
      <c r="F718" s="7"/>
      <c r="G718" s="7"/>
      <c r="H718" s="7"/>
      <c r="I718" s="7"/>
      <c r="J718" s="8"/>
      <c r="K718" s="9"/>
    </row>
    <row r="719">
      <c r="A719" s="6"/>
      <c r="B719" s="7"/>
      <c r="C719" s="7"/>
      <c r="D719" s="7"/>
      <c r="E719" s="7"/>
      <c r="F719" s="7"/>
      <c r="G719" s="7"/>
      <c r="H719" s="7"/>
      <c r="I719" s="7"/>
      <c r="J719" s="8"/>
      <c r="K719" s="9"/>
    </row>
    <row r="720">
      <c r="A720" s="6"/>
      <c r="B720" s="7"/>
      <c r="C720" s="7"/>
      <c r="D720" s="7"/>
      <c r="E720" s="7"/>
      <c r="F720" s="7"/>
      <c r="G720" s="7"/>
      <c r="H720" s="7"/>
      <c r="I720" s="7"/>
      <c r="J720" s="8"/>
      <c r="K720" s="9"/>
    </row>
    <row r="721">
      <c r="A721" s="6"/>
      <c r="B721" s="7"/>
      <c r="C721" s="7"/>
      <c r="D721" s="7"/>
      <c r="E721" s="7"/>
      <c r="F721" s="7"/>
      <c r="G721" s="7"/>
      <c r="H721" s="7"/>
      <c r="I721" s="7"/>
      <c r="J721" s="8"/>
      <c r="K721" s="9"/>
    </row>
    <row r="722">
      <c r="A722" s="6"/>
      <c r="B722" s="7"/>
      <c r="C722" s="7"/>
      <c r="D722" s="7"/>
      <c r="E722" s="7"/>
      <c r="F722" s="7"/>
      <c r="G722" s="7"/>
      <c r="H722" s="7"/>
      <c r="I722" s="7"/>
      <c r="J722" s="8"/>
      <c r="K722" s="9"/>
    </row>
    <row r="723">
      <c r="A723" s="6"/>
      <c r="B723" s="7"/>
      <c r="C723" s="7"/>
      <c r="D723" s="7"/>
      <c r="E723" s="7"/>
      <c r="F723" s="7"/>
      <c r="G723" s="7"/>
      <c r="H723" s="7"/>
      <c r="I723" s="7"/>
      <c r="J723" s="8"/>
      <c r="K723" s="9"/>
    </row>
    <row r="724">
      <c r="A724" s="6"/>
      <c r="B724" s="7"/>
      <c r="C724" s="7"/>
      <c r="D724" s="7"/>
      <c r="E724" s="7"/>
      <c r="F724" s="7"/>
      <c r="G724" s="7"/>
      <c r="H724" s="7"/>
      <c r="I724" s="7"/>
      <c r="J724" s="8"/>
      <c r="K724" s="9"/>
    </row>
    <row r="725">
      <c r="A725" s="6"/>
      <c r="B725" s="7"/>
      <c r="C725" s="7"/>
      <c r="D725" s="7"/>
      <c r="E725" s="7"/>
      <c r="F725" s="7"/>
      <c r="G725" s="7"/>
      <c r="H725" s="7"/>
      <c r="I725" s="7"/>
      <c r="J725" s="8"/>
      <c r="K725" s="9"/>
    </row>
    <row r="726">
      <c r="A726" s="6"/>
      <c r="B726" s="7"/>
      <c r="C726" s="7"/>
      <c r="D726" s="7"/>
      <c r="E726" s="7"/>
      <c r="F726" s="7"/>
      <c r="G726" s="7"/>
      <c r="H726" s="7"/>
      <c r="I726" s="7"/>
      <c r="J726" s="8"/>
      <c r="K726" s="9"/>
    </row>
    <row r="727">
      <c r="A727" s="6"/>
      <c r="B727" s="7"/>
      <c r="C727" s="7"/>
      <c r="D727" s="7"/>
      <c r="E727" s="7"/>
      <c r="F727" s="7"/>
      <c r="G727" s="7"/>
      <c r="H727" s="7"/>
      <c r="I727" s="7"/>
      <c r="J727" s="8"/>
      <c r="K727" s="9"/>
    </row>
    <row r="728">
      <c r="A728" s="6"/>
      <c r="B728" s="7"/>
      <c r="C728" s="7"/>
      <c r="D728" s="7"/>
      <c r="E728" s="7"/>
      <c r="F728" s="7"/>
      <c r="G728" s="7"/>
      <c r="H728" s="7"/>
      <c r="I728" s="7"/>
      <c r="J728" s="8"/>
      <c r="K728" s="9"/>
    </row>
    <row r="729">
      <c r="A729" s="6"/>
      <c r="B729" s="7"/>
      <c r="C729" s="7"/>
      <c r="D729" s="7"/>
      <c r="E729" s="7"/>
      <c r="F729" s="7"/>
      <c r="G729" s="7"/>
      <c r="H729" s="7"/>
      <c r="I729" s="7"/>
      <c r="J729" s="8"/>
      <c r="K729" s="9"/>
    </row>
    <row r="730">
      <c r="A730" s="6"/>
      <c r="B730" s="7"/>
      <c r="C730" s="7"/>
      <c r="D730" s="7"/>
      <c r="E730" s="7"/>
      <c r="F730" s="7"/>
      <c r="G730" s="7"/>
      <c r="H730" s="7"/>
      <c r="I730" s="7"/>
      <c r="J730" s="8"/>
      <c r="K730" s="9"/>
    </row>
    <row r="731">
      <c r="A731" s="6"/>
      <c r="B731" s="7"/>
      <c r="C731" s="7"/>
      <c r="D731" s="7"/>
      <c r="E731" s="7"/>
      <c r="F731" s="7"/>
      <c r="G731" s="7"/>
      <c r="H731" s="7"/>
      <c r="I731" s="7"/>
      <c r="J731" s="8"/>
      <c r="K731" s="9"/>
    </row>
    <row r="732">
      <c r="A732" s="6"/>
      <c r="B732" s="7"/>
      <c r="C732" s="7"/>
      <c r="D732" s="7"/>
      <c r="E732" s="7"/>
      <c r="F732" s="7"/>
      <c r="G732" s="7"/>
      <c r="H732" s="7"/>
      <c r="I732" s="7"/>
      <c r="J732" s="8"/>
      <c r="K732" s="9"/>
    </row>
    <row r="733">
      <c r="A733" s="6"/>
      <c r="B733" s="7"/>
      <c r="C733" s="7"/>
      <c r="D733" s="7"/>
      <c r="E733" s="7"/>
      <c r="F733" s="7"/>
      <c r="G733" s="7"/>
      <c r="H733" s="7"/>
      <c r="I733" s="7"/>
      <c r="J733" s="8"/>
      <c r="K733" s="9"/>
    </row>
    <row r="734">
      <c r="A734" s="6"/>
      <c r="B734" s="7"/>
      <c r="C734" s="7"/>
      <c r="D734" s="7"/>
      <c r="E734" s="7"/>
      <c r="F734" s="7"/>
      <c r="G734" s="7"/>
      <c r="H734" s="7"/>
      <c r="I734" s="7"/>
      <c r="J734" s="8"/>
      <c r="K734" s="9"/>
    </row>
    <row r="735">
      <c r="A735" s="6"/>
      <c r="B735" s="7"/>
      <c r="C735" s="7"/>
      <c r="D735" s="7"/>
      <c r="E735" s="7"/>
      <c r="F735" s="7"/>
      <c r="G735" s="7"/>
      <c r="H735" s="7"/>
      <c r="I735" s="7"/>
      <c r="J735" s="8"/>
      <c r="K735" s="9"/>
    </row>
    <row r="736">
      <c r="A736" s="6"/>
      <c r="B736" s="7"/>
      <c r="C736" s="7"/>
      <c r="D736" s="7"/>
      <c r="E736" s="7"/>
      <c r="F736" s="7"/>
      <c r="G736" s="7"/>
      <c r="H736" s="7"/>
      <c r="I736" s="7"/>
      <c r="J736" s="8"/>
      <c r="K736" s="9"/>
    </row>
    <row r="737">
      <c r="A737" s="6"/>
      <c r="B737" s="7"/>
      <c r="C737" s="7"/>
      <c r="D737" s="7"/>
      <c r="E737" s="7"/>
      <c r="F737" s="7"/>
      <c r="G737" s="7"/>
      <c r="H737" s="7"/>
      <c r="I737" s="7"/>
      <c r="J737" s="8"/>
      <c r="K737" s="9"/>
    </row>
    <row r="738">
      <c r="A738" s="6"/>
      <c r="B738" s="7"/>
      <c r="C738" s="7"/>
      <c r="D738" s="7"/>
      <c r="E738" s="7"/>
      <c r="F738" s="7"/>
      <c r="G738" s="7"/>
      <c r="H738" s="7"/>
      <c r="I738" s="7"/>
      <c r="J738" s="8"/>
      <c r="K738" s="9"/>
    </row>
    <row r="739">
      <c r="A739" s="6"/>
      <c r="B739" s="7"/>
      <c r="C739" s="7"/>
      <c r="D739" s="7"/>
      <c r="E739" s="7"/>
      <c r="F739" s="7"/>
      <c r="G739" s="7"/>
      <c r="H739" s="7"/>
      <c r="I739" s="7"/>
      <c r="J739" s="8"/>
      <c r="K739" s="9"/>
    </row>
    <row r="740">
      <c r="A740" s="6"/>
      <c r="B740" s="7"/>
      <c r="C740" s="7"/>
      <c r="D740" s="7"/>
      <c r="E740" s="7"/>
      <c r="F740" s="7"/>
      <c r="G740" s="7"/>
      <c r="H740" s="7"/>
      <c r="I740" s="7"/>
      <c r="J740" s="8"/>
      <c r="K740" s="9"/>
    </row>
    <row r="741">
      <c r="A741" s="6"/>
      <c r="B741" s="7"/>
      <c r="C741" s="7"/>
      <c r="D741" s="7"/>
      <c r="E741" s="7"/>
      <c r="F741" s="7"/>
      <c r="G741" s="7"/>
      <c r="H741" s="7"/>
      <c r="I741" s="7"/>
      <c r="J741" s="8"/>
      <c r="K741" s="9"/>
    </row>
    <row r="742">
      <c r="A742" s="6"/>
      <c r="B742" s="7"/>
      <c r="C742" s="7"/>
      <c r="D742" s="7"/>
      <c r="E742" s="7"/>
      <c r="F742" s="7"/>
      <c r="G742" s="7"/>
      <c r="H742" s="7"/>
      <c r="I742" s="7"/>
      <c r="J742" s="8"/>
      <c r="K742" s="9"/>
    </row>
    <row r="743">
      <c r="A743" s="6"/>
      <c r="B743" s="7"/>
      <c r="C743" s="7"/>
      <c r="D743" s="7"/>
      <c r="E743" s="7"/>
      <c r="F743" s="7"/>
      <c r="G743" s="7"/>
      <c r="H743" s="7"/>
      <c r="I743" s="7"/>
      <c r="J743" s="8"/>
      <c r="K743" s="9"/>
    </row>
    <row r="744">
      <c r="A744" s="6"/>
      <c r="B744" s="7"/>
      <c r="C744" s="7"/>
      <c r="D744" s="7"/>
      <c r="E744" s="7"/>
      <c r="F744" s="7"/>
      <c r="G744" s="7"/>
      <c r="H744" s="7"/>
      <c r="I744" s="7"/>
      <c r="J744" s="8"/>
      <c r="K744" s="9"/>
    </row>
    <row r="745">
      <c r="A745" s="6"/>
      <c r="B745" s="7"/>
      <c r="C745" s="7"/>
      <c r="D745" s="7"/>
      <c r="E745" s="7"/>
      <c r="F745" s="7"/>
      <c r="G745" s="7"/>
      <c r="H745" s="7"/>
      <c r="I745" s="7"/>
      <c r="J745" s="8"/>
      <c r="K745" s="9"/>
    </row>
    <row r="746">
      <c r="A746" s="6"/>
      <c r="B746" s="7"/>
      <c r="C746" s="7"/>
      <c r="D746" s="7"/>
      <c r="E746" s="7"/>
      <c r="F746" s="7"/>
      <c r="G746" s="7"/>
      <c r="H746" s="7"/>
      <c r="I746" s="7"/>
      <c r="J746" s="8"/>
      <c r="K746" s="9"/>
    </row>
    <row r="747">
      <c r="A747" s="6"/>
      <c r="B747" s="7"/>
      <c r="C747" s="7"/>
      <c r="D747" s="7"/>
      <c r="E747" s="7"/>
      <c r="F747" s="7"/>
      <c r="G747" s="7"/>
      <c r="H747" s="7"/>
      <c r="I747" s="7"/>
      <c r="J747" s="8"/>
      <c r="K747" s="9"/>
    </row>
    <row r="748">
      <c r="A748" s="6"/>
      <c r="B748" s="7"/>
      <c r="C748" s="7"/>
      <c r="D748" s="7"/>
      <c r="E748" s="7"/>
      <c r="F748" s="7"/>
      <c r="G748" s="7"/>
      <c r="H748" s="7"/>
      <c r="I748" s="7"/>
      <c r="J748" s="8"/>
      <c r="K748" s="9"/>
    </row>
    <row r="749">
      <c r="A749" s="6"/>
      <c r="B749" s="7"/>
      <c r="C749" s="7"/>
      <c r="D749" s="7"/>
      <c r="E749" s="7"/>
      <c r="F749" s="7"/>
      <c r="G749" s="7"/>
      <c r="H749" s="7"/>
      <c r="I749" s="7"/>
      <c r="J749" s="8"/>
      <c r="K749" s="9"/>
    </row>
    <row r="750">
      <c r="A750" s="6"/>
      <c r="B750" s="7"/>
      <c r="C750" s="7"/>
      <c r="D750" s="7"/>
      <c r="E750" s="7"/>
      <c r="F750" s="7"/>
      <c r="G750" s="7"/>
      <c r="H750" s="7"/>
      <c r="I750" s="7"/>
      <c r="J750" s="8"/>
      <c r="K750" s="9"/>
    </row>
    <row r="751">
      <c r="A751" s="6"/>
      <c r="B751" s="7"/>
      <c r="C751" s="7"/>
      <c r="D751" s="7"/>
      <c r="E751" s="7"/>
      <c r="F751" s="7"/>
      <c r="G751" s="7"/>
      <c r="H751" s="7"/>
      <c r="I751" s="7"/>
      <c r="J751" s="8"/>
      <c r="K751" s="9"/>
    </row>
    <row r="752">
      <c r="A752" s="6"/>
      <c r="B752" s="7"/>
      <c r="C752" s="7"/>
      <c r="D752" s="7"/>
      <c r="E752" s="7"/>
      <c r="F752" s="7"/>
      <c r="G752" s="7"/>
      <c r="H752" s="7"/>
      <c r="I752" s="7"/>
      <c r="J752" s="8"/>
      <c r="K752" s="9"/>
    </row>
    <row r="753">
      <c r="A753" s="6"/>
      <c r="B753" s="7"/>
      <c r="C753" s="7"/>
      <c r="D753" s="7"/>
      <c r="E753" s="7"/>
      <c r="F753" s="7"/>
      <c r="G753" s="7"/>
      <c r="H753" s="7"/>
      <c r="I753" s="7"/>
      <c r="J753" s="8"/>
      <c r="K753" s="9"/>
    </row>
    <row r="754">
      <c r="A754" s="6"/>
      <c r="B754" s="7"/>
      <c r="C754" s="7"/>
      <c r="D754" s="7"/>
      <c r="E754" s="7"/>
      <c r="F754" s="7"/>
      <c r="G754" s="7"/>
      <c r="H754" s="7"/>
      <c r="I754" s="7"/>
      <c r="J754" s="8"/>
      <c r="K754" s="9"/>
    </row>
    <row r="755">
      <c r="A755" s="6"/>
      <c r="B755" s="7"/>
      <c r="C755" s="7"/>
      <c r="D755" s="7"/>
      <c r="E755" s="7"/>
      <c r="F755" s="7"/>
      <c r="G755" s="7"/>
      <c r="H755" s="7"/>
      <c r="I755" s="7"/>
      <c r="J755" s="8"/>
      <c r="K755" s="9"/>
    </row>
    <row r="756">
      <c r="A756" s="6"/>
      <c r="B756" s="7"/>
      <c r="C756" s="7"/>
      <c r="D756" s="7"/>
      <c r="E756" s="7"/>
      <c r="F756" s="7"/>
      <c r="G756" s="7"/>
      <c r="H756" s="7"/>
      <c r="I756" s="7"/>
      <c r="J756" s="8"/>
      <c r="K756" s="9"/>
    </row>
    <row r="757">
      <c r="A757" s="6"/>
      <c r="B757" s="7"/>
      <c r="C757" s="7"/>
      <c r="D757" s="7"/>
      <c r="E757" s="7"/>
      <c r="F757" s="7"/>
      <c r="G757" s="7"/>
      <c r="H757" s="7"/>
      <c r="I757" s="7"/>
      <c r="J757" s="8"/>
      <c r="K757" s="9"/>
    </row>
    <row r="758">
      <c r="A758" s="6"/>
      <c r="B758" s="7"/>
      <c r="C758" s="7"/>
      <c r="D758" s="7"/>
      <c r="E758" s="7"/>
      <c r="F758" s="7"/>
      <c r="G758" s="7"/>
      <c r="H758" s="7"/>
      <c r="I758" s="7"/>
      <c r="J758" s="8"/>
      <c r="K758" s="9"/>
    </row>
    <row r="759">
      <c r="A759" s="6"/>
      <c r="B759" s="7"/>
      <c r="C759" s="7"/>
      <c r="D759" s="7"/>
      <c r="E759" s="7"/>
      <c r="F759" s="7"/>
      <c r="G759" s="7"/>
      <c r="H759" s="7"/>
      <c r="I759" s="7"/>
      <c r="J759" s="8"/>
      <c r="K759" s="9"/>
    </row>
    <row r="760">
      <c r="A760" s="6"/>
      <c r="B760" s="7"/>
      <c r="C760" s="7"/>
      <c r="D760" s="7"/>
      <c r="E760" s="7"/>
      <c r="F760" s="7"/>
      <c r="G760" s="7"/>
      <c r="H760" s="7"/>
      <c r="I760" s="7"/>
      <c r="J760" s="8"/>
      <c r="K760" s="9"/>
    </row>
    <row r="761">
      <c r="A761" s="6"/>
      <c r="B761" s="7"/>
      <c r="C761" s="7"/>
      <c r="D761" s="7"/>
      <c r="E761" s="7"/>
      <c r="F761" s="7"/>
      <c r="G761" s="7"/>
      <c r="H761" s="7"/>
      <c r="I761" s="7"/>
      <c r="J761" s="8"/>
      <c r="K761" s="9"/>
    </row>
    <row r="762">
      <c r="A762" s="6"/>
      <c r="B762" s="7"/>
      <c r="C762" s="7"/>
      <c r="D762" s="7"/>
      <c r="E762" s="7"/>
      <c r="F762" s="7"/>
      <c r="G762" s="7"/>
      <c r="H762" s="7"/>
      <c r="I762" s="7"/>
      <c r="J762" s="8"/>
      <c r="K762" s="9"/>
    </row>
    <row r="763">
      <c r="A763" s="6"/>
      <c r="B763" s="7"/>
      <c r="C763" s="7"/>
      <c r="D763" s="7"/>
      <c r="E763" s="7"/>
      <c r="F763" s="7"/>
      <c r="G763" s="7"/>
      <c r="H763" s="7"/>
      <c r="I763" s="7"/>
      <c r="J763" s="8"/>
      <c r="K763" s="9"/>
    </row>
    <row r="764">
      <c r="A764" s="6"/>
      <c r="B764" s="7"/>
      <c r="C764" s="7"/>
      <c r="D764" s="7"/>
      <c r="E764" s="7"/>
      <c r="F764" s="7"/>
      <c r="G764" s="7"/>
      <c r="H764" s="7"/>
      <c r="I764" s="7"/>
      <c r="J764" s="8"/>
      <c r="K764" s="9"/>
    </row>
    <row r="765">
      <c r="A765" s="6"/>
      <c r="B765" s="7"/>
      <c r="C765" s="7"/>
      <c r="D765" s="7"/>
      <c r="E765" s="7"/>
      <c r="F765" s="7"/>
      <c r="G765" s="7"/>
      <c r="H765" s="7"/>
      <c r="I765" s="7"/>
      <c r="J765" s="8"/>
      <c r="K765" s="9"/>
    </row>
    <row r="766">
      <c r="A766" s="6"/>
      <c r="B766" s="7"/>
      <c r="C766" s="7"/>
      <c r="D766" s="7"/>
      <c r="E766" s="7"/>
      <c r="F766" s="7"/>
      <c r="G766" s="7"/>
      <c r="H766" s="7"/>
      <c r="I766" s="7"/>
      <c r="J766" s="8"/>
      <c r="K766" s="9"/>
    </row>
    <row r="767">
      <c r="A767" s="6"/>
      <c r="B767" s="7"/>
      <c r="C767" s="7"/>
      <c r="D767" s="7"/>
      <c r="E767" s="7"/>
      <c r="F767" s="7"/>
      <c r="G767" s="7"/>
      <c r="H767" s="7"/>
      <c r="I767" s="7"/>
      <c r="J767" s="8"/>
      <c r="K767" s="9"/>
    </row>
    <row r="768">
      <c r="A768" s="6"/>
      <c r="B768" s="7"/>
      <c r="C768" s="7"/>
      <c r="D768" s="7"/>
      <c r="E768" s="7"/>
      <c r="F768" s="7"/>
      <c r="G768" s="7"/>
      <c r="H768" s="7"/>
      <c r="I768" s="7"/>
      <c r="J768" s="8"/>
      <c r="K768" s="9"/>
    </row>
    <row r="769">
      <c r="A769" s="6"/>
      <c r="B769" s="7"/>
      <c r="C769" s="7"/>
      <c r="D769" s="7"/>
      <c r="E769" s="7"/>
      <c r="F769" s="7"/>
      <c r="G769" s="7"/>
      <c r="H769" s="7"/>
      <c r="I769" s="7"/>
      <c r="J769" s="8"/>
      <c r="K769" s="9"/>
    </row>
    <row r="770">
      <c r="A770" s="6"/>
      <c r="B770" s="7"/>
      <c r="C770" s="7"/>
      <c r="D770" s="7"/>
      <c r="E770" s="7"/>
      <c r="F770" s="7"/>
      <c r="G770" s="7"/>
      <c r="H770" s="7"/>
      <c r="I770" s="7"/>
      <c r="J770" s="8"/>
      <c r="K770" s="9"/>
    </row>
    <row r="771">
      <c r="A771" s="6"/>
      <c r="B771" s="7"/>
      <c r="C771" s="7"/>
      <c r="D771" s="7"/>
      <c r="E771" s="7"/>
      <c r="F771" s="7"/>
      <c r="G771" s="7"/>
      <c r="H771" s="7"/>
      <c r="I771" s="7"/>
      <c r="J771" s="8"/>
      <c r="K771" s="9"/>
    </row>
    <row r="772">
      <c r="A772" s="6"/>
      <c r="B772" s="7"/>
      <c r="C772" s="7"/>
      <c r="D772" s="7"/>
      <c r="E772" s="7"/>
      <c r="F772" s="7"/>
      <c r="G772" s="7"/>
      <c r="H772" s="7"/>
      <c r="I772" s="7"/>
      <c r="J772" s="8"/>
      <c r="K772" s="9"/>
    </row>
    <row r="773">
      <c r="A773" s="6"/>
      <c r="B773" s="7"/>
      <c r="C773" s="7"/>
      <c r="D773" s="7"/>
      <c r="E773" s="7"/>
      <c r="F773" s="7"/>
      <c r="G773" s="7"/>
      <c r="H773" s="7"/>
      <c r="I773" s="7"/>
      <c r="J773" s="8"/>
      <c r="K773" s="9"/>
    </row>
    <row r="774">
      <c r="A774" s="6"/>
      <c r="B774" s="7"/>
      <c r="C774" s="7"/>
      <c r="D774" s="7"/>
      <c r="E774" s="7"/>
      <c r="F774" s="7"/>
      <c r="G774" s="7"/>
      <c r="H774" s="7"/>
      <c r="I774" s="7"/>
      <c r="J774" s="8"/>
      <c r="K774" s="9"/>
    </row>
    <row r="775">
      <c r="A775" s="6"/>
      <c r="B775" s="7"/>
      <c r="C775" s="7"/>
      <c r="D775" s="7"/>
      <c r="E775" s="7"/>
      <c r="F775" s="7"/>
      <c r="G775" s="7"/>
      <c r="H775" s="7"/>
      <c r="I775" s="7"/>
      <c r="J775" s="8"/>
      <c r="K775" s="9"/>
    </row>
    <row r="776">
      <c r="A776" s="6"/>
      <c r="B776" s="7"/>
      <c r="C776" s="7"/>
      <c r="D776" s="7"/>
      <c r="E776" s="7"/>
      <c r="F776" s="7"/>
      <c r="G776" s="7"/>
      <c r="H776" s="7"/>
      <c r="I776" s="7"/>
      <c r="J776" s="8"/>
      <c r="K776" s="9"/>
    </row>
    <row r="777">
      <c r="A777" s="6"/>
      <c r="B777" s="7"/>
      <c r="C777" s="7"/>
      <c r="D777" s="7"/>
      <c r="E777" s="7"/>
      <c r="F777" s="7"/>
      <c r="G777" s="7"/>
      <c r="H777" s="7"/>
      <c r="I777" s="7"/>
      <c r="J777" s="8"/>
      <c r="K777" s="9"/>
    </row>
    <row r="778">
      <c r="A778" s="6"/>
      <c r="B778" s="7"/>
      <c r="C778" s="7"/>
      <c r="D778" s="7"/>
      <c r="E778" s="7"/>
      <c r="F778" s="7"/>
      <c r="G778" s="7"/>
      <c r="H778" s="7"/>
      <c r="I778" s="7"/>
      <c r="J778" s="8"/>
      <c r="K778" s="9"/>
    </row>
    <row r="779">
      <c r="A779" s="6"/>
      <c r="B779" s="7"/>
      <c r="C779" s="7"/>
      <c r="D779" s="7"/>
      <c r="E779" s="7"/>
      <c r="F779" s="7"/>
      <c r="G779" s="7"/>
      <c r="H779" s="7"/>
      <c r="I779" s="7"/>
      <c r="J779" s="8"/>
      <c r="K779" s="9"/>
    </row>
    <row r="780">
      <c r="A780" s="6"/>
      <c r="B780" s="7"/>
      <c r="C780" s="7"/>
      <c r="D780" s="7"/>
      <c r="E780" s="7"/>
      <c r="F780" s="7"/>
      <c r="G780" s="7"/>
      <c r="H780" s="7"/>
      <c r="I780" s="7"/>
      <c r="J780" s="8"/>
      <c r="K780" s="9"/>
    </row>
    <row r="781">
      <c r="A781" s="6"/>
      <c r="B781" s="7"/>
      <c r="C781" s="7"/>
      <c r="D781" s="7"/>
      <c r="E781" s="7"/>
      <c r="F781" s="7"/>
      <c r="G781" s="7"/>
      <c r="H781" s="7"/>
      <c r="I781" s="7"/>
      <c r="J781" s="8"/>
      <c r="K781" s="9"/>
    </row>
    <row r="782">
      <c r="A782" s="6"/>
      <c r="B782" s="7"/>
      <c r="C782" s="7"/>
      <c r="D782" s="7"/>
      <c r="E782" s="7"/>
      <c r="F782" s="7"/>
      <c r="G782" s="7"/>
      <c r="H782" s="7"/>
      <c r="I782" s="7"/>
      <c r="J782" s="8"/>
      <c r="K782" s="9"/>
    </row>
    <row r="783">
      <c r="A783" s="6"/>
      <c r="B783" s="7"/>
      <c r="C783" s="7"/>
      <c r="D783" s="7"/>
      <c r="E783" s="7"/>
      <c r="F783" s="7"/>
      <c r="G783" s="7"/>
      <c r="H783" s="7"/>
      <c r="I783" s="7"/>
      <c r="J783" s="8"/>
      <c r="K783" s="9"/>
    </row>
    <row r="784">
      <c r="A784" s="6"/>
      <c r="B784" s="7"/>
      <c r="C784" s="7"/>
      <c r="D784" s="7"/>
      <c r="E784" s="7"/>
      <c r="F784" s="7"/>
      <c r="G784" s="7"/>
      <c r="H784" s="7"/>
      <c r="I784" s="7"/>
      <c r="J784" s="8"/>
      <c r="K784" s="9"/>
    </row>
    <row r="785">
      <c r="A785" s="6"/>
      <c r="B785" s="7"/>
      <c r="C785" s="7"/>
      <c r="D785" s="7"/>
      <c r="E785" s="7"/>
      <c r="F785" s="7"/>
      <c r="G785" s="7"/>
      <c r="H785" s="7"/>
      <c r="I785" s="7"/>
      <c r="J785" s="8"/>
      <c r="K785" s="9"/>
    </row>
    <row r="786">
      <c r="A786" s="6"/>
      <c r="B786" s="7"/>
      <c r="C786" s="7"/>
      <c r="D786" s="7"/>
      <c r="E786" s="7"/>
      <c r="F786" s="7"/>
      <c r="G786" s="7"/>
      <c r="H786" s="7"/>
      <c r="I786" s="7"/>
      <c r="J786" s="8"/>
      <c r="K786" s="9"/>
    </row>
    <row r="787">
      <c r="A787" s="6"/>
      <c r="B787" s="7"/>
      <c r="C787" s="7"/>
      <c r="D787" s="7"/>
      <c r="E787" s="7"/>
      <c r="F787" s="7"/>
      <c r="G787" s="7"/>
      <c r="H787" s="7"/>
      <c r="I787" s="7"/>
      <c r="J787" s="8"/>
      <c r="K787" s="9"/>
    </row>
    <row r="788">
      <c r="A788" s="6"/>
      <c r="B788" s="7"/>
      <c r="C788" s="7"/>
      <c r="D788" s="7"/>
      <c r="E788" s="7"/>
      <c r="F788" s="7"/>
      <c r="G788" s="7"/>
      <c r="H788" s="7"/>
      <c r="I788" s="7"/>
      <c r="J788" s="8"/>
      <c r="K788" s="9"/>
    </row>
    <row r="789">
      <c r="A789" s="6"/>
      <c r="B789" s="7"/>
      <c r="C789" s="7"/>
      <c r="D789" s="7"/>
      <c r="E789" s="7"/>
      <c r="F789" s="7"/>
      <c r="G789" s="7"/>
      <c r="H789" s="7"/>
      <c r="I789" s="7"/>
      <c r="J789" s="8"/>
      <c r="K789" s="9"/>
    </row>
    <row r="790">
      <c r="A790" s="6"/>
      <c r="B790" s="7"/>
      <c r="C790" s="7"/>
      <c r="D790" s="7"/>
      <c r="E790" s="7"/>
      <c r="F790" s="7"/>
      <c r="G790" s="7"/>
      <c r="H790" s="7"/>
      <c r="I790" s="7"/>
      <c r="J790" s="8"/>
      <c r="K790" s="9"/>
    </row>
    <row r="791">
      <c r="A791" s="6"/>
      <c r="B791" s="7"/>
      <c r="C791" s="7"/>
      <c r="D791" s="7"/>
      <c r="E791" s="7"/>
      <c r="F791" s="7"/>
      <c r="G791" s="7"/>
      <c r="H791" s="7"/>
      <c r="I791" s="7"/>
      <c r="J791" s="8"/>
      <c r="K791" s="9"/>
    </row>
    <row r="792">
      <c r="A792" s="6"/>
      <c r="B792" s="7"/>
      <c r="C792" s="7"/>
      <c r="D792" s="7"/>
      <c r="E792" s="7"/>
      <c r="F792" s="7"/>
      <c r="G792" s="7"/>
      <c r="H792" s="7"/>
      <c r="I792" s="7"/>
      <c r="J792" s="8"/>
      <c r="K792" s="9"/>
    </row>
    <row r="793">
      <c r="A793" s="6"/>
      <c r="B793" s="7"/>
      <c r="C793" s="7"/>
      <c r="D793" s="7"/>
      <c r="E793" s="7"/>
      <c r="F793" s="7"/>
      <c r="G793" s="7"/>
      <c r="H793" s="7"/>
      <c r="I793" s="7"/>
      <c r="J793" s="8"/>
      <c r="K793" s="9"/>
    </row>
    <row r="794">
      <c r="A794" s="6"/>
      <c r="B794" s="7"/>
      <c r="C794" s="7"/>
      <c r="D794" s="7"/>
      <c r="E794" s="7"/>
      <c r="F794" s="7"/>
      <c r="G794" s="7"/>
      <c r="H794" s="7"/>
      <c r="I794" s="7"/>
      <c r="J794" s="8"/>
      <c r="K794" s="9"/>
    </row>
    <row r="795">
      <c r="A795" s="6"/>
      <c r="B795" s="7"/>
      <c r="C795" s="7"/>
      <c r="D795" s="7"/>
      <c r="E795" s="7"/>
      <c r="F795" s="7"/>
      <c r="G795" s="7"/>
      <c r="H795" s="7"/>
      <c r="I795" s="7"/>
      <c r="J795" s="8"/>
      <c r="K795" s="9"/>
    </row>
    <row r="796">
      <c r="A796" s="6"/>
      <c r="B796" s="7"/>
      <c r="C796" s="7"/>
      <c r="D796" s="7"/>
      <c r="E796" s="7"/>
      <c r="F796" s="7"/>
      <c r="G796" s="7"/>
      <c r="H796" s="7"/>
      <c r="I796" s="7"/>
      <c r="J796" s="8"/>
      <c r="K796" s="9"/>
    </row>
    <row r="797">
      <c r="A797" s="6"/>
      <c r="B797" s="7"/>
      <c r="C797" s="7"/>
      <c r="D797" s="7"/>
      <c r="E797" s="7"/>
      <c r="F797" s="7"/>
      <c r="G797" s="7"/>
      <c r="H797" s="7"/>
      <c r="I797" s="7"/>
      <c r="J797" s="8"/>
      <c r="K797" s="9"/>
    </row>
    <row r="798">
      <c r="A798" s="6"/>
      <c r="B798" s="7"/>
      <c r="C798" s="7"/>
      <c r="D798" s="7"/>
      <c r="E798" s="7"/>
      <c r="F798" s="7"/>
      <c r="G798" s="7"/>
      <c r="H798" s="7"/>
      <c r="I798" s="7"/>
      <c r="J798" s="8"/>
      <c r="K798" s="9"/>
    </row>
    <row r="799">
      <c r="A799" s="6"/>
      <c r="B799" s="7"/>
      <c r="C799" s="7"/>
      <c r="D799" s="7"/>
      <c r="E799" s="7"/>
      <c r="F799" s="7"/>
      <c r="G799" s="7"/>
      <c r="H799" s="7"/>
      <c r="I799" s="7"/>
      <c r="J799" s="8"/>
      <c r="K799" s="9"/>
    </row>
    <row r="800">
      <c r="A800" s="6"/>
      <c r="B800" s="7"/>
      <c r="C800" s="7"/>
      <c r="D800" s="7"/>
      <c r="E800" s="7"/>
      <c r="F800" s="7"/>
      <c r="G800" s="7"/>
      <c r="H800" s="7"/>
      <c r="I800" s="7"/>
      <c r="J800" s="8"/>
      <c r="K800" s="9"/>
    </row>
    <row r="801">
      <c r="A801" s="6"/>
      <c r="B801" s="7"/>
      <c r="C801" s="7"/>
      <c r="D801" s="7"/>
      <c r="E801" s="7"/>
      <c r="F801" s="7"/>
      <c r="G801" s="7"/>
      <c r="H801" s="7"/>
      <c r="I801" s="7"/>
      <c r="J801" s="8"/>
      <c r="K801" s="9"/>
    </row>
    <row r="802">
      <c r="A802" s="6"/>
      <c r="B802" s="7"/>
      <c r="C802" s="7"/>
      <c r="D802" s="7"/>
      <c r="E802" s="7"/>
      <c r="F802" s="7"/>
      <c r="G802" s="7"/>
      <c r="H802" s="7"/>
      <c r="I802" s="7"/>
      <c r="J802" s="8"/>
      <c r="K802" s="9"/>
    </row>
    <row r="803">
      <c r="A803" s="6"/>
      <c r="B803" s="7"/>
      <c r="C803" s="7"/>
      <c r="D803" s="7"/>
      <c r="E803" s="7"/>
      <c r="F803" s="7"/>
      <c r="G803" s="7"/>
      <c r="H803" s="7"/>
      <c r="I803" s="7"/>
      <c r="J803" s="8"/>
      <c r="K803" s="9"/>
    </row>
    <row r="804">
      <c r="A804" s="6"/>
      <c r="B804" s="7"/>
      <c r="C804" s="7"/>
      <c r="D804" s="7"/>
      <c r="E804" s="7"/>
      <c r="F804" s="7"/>
      <c r="G804" s="7"/>
      <c r="H804" s="7"/>
      <c r="I804" s="7"/>
      <c r="J804" s="8"/>
      <c r="K804" s="9"/>
    </row>
    <row r="805">
      <c r="A805" s="6"/>
      <c r="B805" s="7"/>
      <c r="C805" s="7"/>
      <c r="D805" s="7"/>
      <c r="E805" s="7"/>
      <c r="F805" s="7"/>
      <c r="G805" s="7"/>
      <c r="H805" s="7"/>
      <c r="I805" s="7"/>
      <c r="J805" s="8"/>
      <c r="K805" s="9"/>
    </row>
    <row r="806">
      <c r="A806" s="6"/>
      <c r="B806" s="7"/>
      <c r="C806" s="7"/>
      <c r="D806" s="7"/>
      <c r="E806" s="7"/>
      <c r="F806" s="7"/>
      <c r="G806" s="7"/>
      <c r="H806" s="7"/>
      <c r="I806" s="7"/>
      <c r="J806" s="8"/>
      <c r="K806" s="9"/>
    </row>
  </sheetData>
  <autoFilter ref="$A$1:$Z$40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2.0"/>
    <col customWidth="1" min="3" max="3" width="18.25"/>
    <col customWidth="1" min="4" max="4" width="29.75"/>
    <col customWidth="1" min="5" max="5" width="22.13"/>
    <col customWidth="1" min="6" max="6" width="51.38"/>
    <col customWidth="1" min="7" max="7" width="9.5"/>
    <col customWidth="1" min="8" max="8" width="29.25"/>
    <col customWidth="1" min="10" max="10" width="19.75"/>
    <col customWidth="1" min="11" max="11" width="27.88"/>
  </cols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1" t="s">
        <v>7</v>
      </c>
      <c r="I1" s="11" t="s">
        <v>8</v>
      </c>
      <c r="J1" s="12" t="s">
        <v>9</v>
      </c>
      <c r="K1" s="1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/>
      <c r="B2" s="13"/>
      <c r="C2" s="13" t="s">
        <v>11</v>
      </c>
      <c r="D2" s="13" t="s">
        <v>16</v>
      </c>
      <c r="E2" s="13"/>
      <c r="F2" s="17" t="s">
        <v>435</v>
      </c>
      <c r="G2" s="17" t="s">
        <v>14</v>
      </c>
      <c r="H2" s="17" t="s">
        <v>15</v>
      </c>
      <c r="I2" s="17">
        <v>9.0</v>
      </c>
      <c r="J2" s="13"/>
      <c r="K2" s="13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0"/>
      <c r="B3" s="16"/>
      <c r="C3" s="13" t="s">
        <v>11</v>
      </c>
      <c r="D3" s="14" t="s">
        <v>12</v>
      </c>
      <c r="E3" s="16"/>
      <c r="F3" s="17" t="s">
        <v>436</v>
      </c>
      <c r="G3" s="17" t="s">
        <v>14</v>
      </c>
      <c r="H3" s="14" t="s">
        <v>15</v>
      </c>
      <c r="I3" s="17">
        <v>4.0</v>
      </c>
      <c r="J3" s="16"/>
      <c r="K3" s="16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0"/>
      <c r="B4" s="16"/>
      <c r="C4" s="13" t="s">
        <v>11</v>
      </c>
      <c r="D4" s="17" t="s">
        <v>29</v>
      </c>
      <c r="E4" s="16"/>
      <c r="F4" s="17" t="s">
        <v>358</v>
      </c>
      <c r="G4" s="17" t="s">
        <v>22</v>
      </c>
      <c r="H4" s="15" t="s">
        <v>31</v>
      </c>
      <c r="I4" s="17">
        <v>1.0</v>
      </c>
      <c r="J4" s="16"/>
      <c r="K4" s="16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0"/>
      <c r="B5" s="16"/>
      <c r="C5" s="13" t="s">
        <v>11</v>
      </c>
      <c r="D5" s="17" t="s">
        <v>359</v>
      </c>
      <c r="E5" s="16"/>
      <c r="F5" s="17" t="s">
        <v>360</v>
      </c>
      <c r="G5" s="17" t="s">
        <v>22</v>
      </c>
      <c r="H5" s="17" t="s">
        <v>361</v>
      </c>
      <c r="I5" s="17">
        <v>1.0</v>
      </c>
      <c r="J5" s="16"/>
      <c r="K5" s="16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0"/>
      <c r="B6" s="16"/>
      <c r="C6" s="13" t="s">
        <v>53</v>
      </c>
      <c r="D6" s="17" t="s">
        <v>182</v>
      </c>
      <c r="E6" s="17" t="s">
        <v>183</v>
      </c>
      <c r="F6" s="17" t="s">
        <v>437</v>
      </c>
      <c r="G6" s="17" t="s">
        <v>22</v>
      </c>
      <c r="H6" s="13" t="s">
        <v>185</v>
      </c>
      <c r="I6" s="17">
        <v>1.0</v>
      </c>
      <c r="J6" s="17" t="s">
        <v>61</v>
      </c>
      <c r="K6" s="16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0"/>
      <c r="B7" s="16"/>
      <c r="C7" s="13" t="s">
        <v>53</v>
      </c>
      <c r="D7" s="17" t="s">
        <v>86</v>
      </c>
      <c r="E7" s="20">
        <v>6.2504021621E10</v>
      </c>
      <c r="F7" s="17" t="s">
        <v>63</v>
      </c>
      <c r="G7" s="17" t="s">
        <v>22</v>
      </c>
      <c r="H7" s="17" t="s">
        <v>88</v>
      </c>
      <c r="I7" s="17">
        <v>1.0</v>
      </c>
      <c r="J7" s="13" t="s">
        <v>56</v>
      </c>
      <c r="K7" s="13" t="s">
        <v>56</v>
      </c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0"/>
      <c r="B8" s="16"/>
      <c r="C8" s="13" t="s">
        <v>53</v>
      </c>
      <c r="D8" s="17" t="s">
        <v>75</v>
      </c>
      <c r="E8" s="24" t="s">
        <v>76</v>
      </c>
      <c r="F8" s="17" t="s">
        <v>364</v>
      </c>
      <c r="G8" s="17" t="s">
        <v>22</v>
      </c>
      <c r="H8" s="17" t="s">
        <v>78</v>
      </c>
      <c r="I8" s="17">
        <v>1.0</v>
      </c>
      <c r="J8" s="13" t="s">
        <v>79</v>
      </c>
      <c r="K8" s="16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0"/>
      <c r="B9" s="16"/>
      <c r="C9" s="13" t="s">
        <v>53</v>
      </c>
      <c r="D9" s="17" t="s">
        <v>65</v>
      </c>
      <c r="E9" s="13" t="s">
        <v>66</v>
      </c>
      <c r="F9" s="17" t="s">
        <v>365</v>
      </c>
      <c r="G9" s="17" t="s">
        <v>22</v>
      </c>
      <c r="H9" s="17" t="s">
        <v>68</v>
      </c>
      <c r="I9" s="17">
        <v>1.0</v>
      </c>
      <c r="J9" s="13" t="s">
        <v>61</v>
      </c>
      <c r="K9" s="13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0"/>
      <c r="B10" s="16"/>
      <c r="C10" s="13" t="s">
        <v>53</v>
      </c>
      <c r="D10" s="19" t="s">
        <v>80</v>
      </c>
      <c r="E10" s="13" t="s">
        <v>81</v>
      </c>
      <c r="F10" s="17" t="s">
        <v>438</v>
      </c>
      <c r="G10" s="17" t="s">
        <v>22</v>
      </c>
      <c r="H10" s="13" t="s">
        <v>83</v>
      </c>
      <c r="I10" s="17">
        <v>5.0</v>
      </c>
      <c r="J10" s="16"/>
      <c r="K10" s="1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0"/>
      <c r="B11" s="16"/>
      <c r="C11" s="13" t="s">
        <v>98</v>
      </c>
      <c r="D11" s="17" t="s">
        <v>103</v>
      </c>
      <c r="E11" s="17" t="s">
        <v>103</v>
      </c>
      <c r="F11" s="17" t="s">
        <v>378</v>
      </c>
      <c r="G11" s="17" t="s">
        <v>22</v>
      </c>
      <c r="H11" s="17" t="s">
        <v>105</v>
      </c>
      <c r="I11" s="17">
        <v>1.0</v>
      </c>
      <c r="J11" s="16"/>
      <c r="K11" s="16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0"/>
      <c r="B12" s="16"/>
      <c r="C12" s="13" t="s">
        <v>110</v>
      </c>
      <c r="D12" s="17" t="s">
        <v>383</v>
      </c>
      <c r="E12" s="17" t="s">
        <v>383</v>
      </c>
      <c r="F12" s="17" t="s">
        <v>139</v>
      </c>
      <c r="G12" s="17" t="s">
        <v>14</v>
      </c>
      <c r="H12" s="17" t="s">
        <v>384</v>
      </c>
      <c r="I12" s="17">
        <v>1.0</v>
      </c>
      <c r="J12" s="16"/>
      <c r="K12" s="16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0"/>
      <c r="B13" s="16"/>
      <c r="C13" s="13" t="s">
        <v>110</v>
      </c>
      <c r="D13" s="17" t="s">
        <v>385</v>
      </c>
      <c r="E13" s="17" t="s">
        <v>385</v>
      </c>
      <c r="F13" s="17" t="s">
        <v>135</v>
      </c>
      <c r="G13" s="17" t="s">
        <v>14</v>
      </c>
      <c r="H13" s="17" t="s">
        <v>384</v>
      </c>
      <c r="I13" s="17">
        <v>1.0</v>
      </c>
      <c r="J13" s="16"/>
      <c r="K13" s="16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0"/>
      <c r="B14" s="16"/>
      <c r="C14" s="13" t="s">
        <v>110</v>
      </c>
      <c r="D14" s="16" t="s">
        <v>399</v>
      </c>
      <c r="E14" s="16" t="s">
        <v>399</v>
      </c>
      <c r="F14" s="17" t="s">
        <v>439</v>
      </c>
      <c r="G14" s="17" t="s">
        <v>14</v>
      </c>
      <c r="H14" s="17" t="s">
        <v>401</v>
      </c>
      <c r="I14" s="17">
        <v>1.0</v>
      </c>
      <c r="J14" s="16"/>
      <c r="K14" s="16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0"/>
      <c r="B15" s="16"/>
      <c r="C15" s="13" t="s">
        <v>110</v>
      </c>
      <c r="D15" s="17" t="s">
        <v>402</v>
      </c>
      <c r="E15" s="17" t="s">
        <v>402</v>
      </c>
      <c r="F15" s="17" t="s">
        <v>403</v>
      </c>
      <c r="G15" s="17" t="s">
        <v>22</v>
      </c>
      <c r="H15" s="17" t="s">
        <v>404</v>
      </c>
      <c r="I15" s="17">
        <v>1.0</v>
      </c>
      <c r="J15" s="16"/>
      <c r="K15" s="16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0"/>
      <c r="B16" s="16"/>
      <c r="C16" s="13" t="s">
        <v>110</v>
      </c>
      <c r="D16" s="17" t="s">
        <v>405</v>
      </c>
      <c r="E16" s="17" t="s">
        <v>405</v>
      </c>
      <c r="F16" s="17" t="s">
        <v>440</v>
      </c>
      <c r="G16" s="17" t="s">
        <v>22</v>
      </c>
      <c r="H16" s="17" t="s">
        <v>407</v>
      </c>
      <c r="I16" s="17">
        <v>2.0</v>
      </c>
      <c r="J16" s="16"/>
      <c r="K16" s="16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0"/>
      <c r="B17" s="16"/>
      <c r="C17" s="13" t="s">
        <v>110</v>
      </c>
      <c r="D17" s="17" t="s">
        <v>408</v>
      </c>
      <c r="E17" s="17" t="s">
        <v>408</v>
      </c>
      <c r="F17" s="17" t="s">
        <v>121</v>
      </c>
      <c r="G17" s="17" t="s">
        <v>14</v>
      </c>
      <c r="H17" s="17" t="s">
        <v>401</v>
      </c>
      <c r="I17" s="17">
        <v>1.0</v>
      </c>
      <c r="J17" s="16"/>
      <c r="K17" s="16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0"/>
      <c r="B18" s="16"/>
      <c r="C18" s="13" t="s">
        <v>32</v>
      </c>
      <c r="D18" s="17" t="s">
        <v>341</v>
      </c>
      <c r="E18" s="16"/>
      <c r="F18" s="17" t="s">
        <v>284</v>
      </c>
      <c r="G18" s="17" t="s">
        <v>14</v>
      </c>
      <c r="H18" s="17" t="s">
        <v>36</v>
      </c>
      <c r="I18" s="17">
        <v>1.0</v>
      </c>
      <c r="J18" s="16"/>
      <c r="K18" s="16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0"/>
      <c r="B19" s="16"/>
      <c r="C19" s="13" t="s">
        <v>32</v>
      </c>
      <c r="D19" s="17" t="s">
        <v>416</v>
      </c>
      <c r="E19" s="16"/>
      <c r="F19" s="17" t="s">
        <v>417</v>
      </c>
      <c r="G19" s="17" t="s">
        <v>22</v>
      </c>
      <c r="H19" s="17" t="s">
        <v>418</v>
      </c>
      <c r="I19" s="17">
        <v>1.0</v>
      </c>
      <c r="J19" s="16"/>
      <c r="K19" s="16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0"/>
      <c r="B20" s="16"/>
      <c r="C20" s="13" t="s">
        <v>32</v>
      </c>
      <c r="D20" s="17" t="s">
        <v>37</v>
      </c>
      <c r="E20" s="16"/>
      <c r="F20" s="17" t="s">
        <v>441</v>
      </c>
      <c r="G20" s="17" t="s">
        <v>14</v>
      </c>
      <c r="H20" s="17" t="s">
        <v>36</v>
      </c>
      <c r="I20" s="17">
        <v>12.0</v>
      </c>
      <c r="J20" s="16"/>
      <c r="K20" s="16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0"/>
      <c r="B21" s="16"/>
      <c r="C21" s="13" t="s">
        <v>32</v>
      </c>
      <c r="D21" s="17" t="s">
        <v>41</v>
      </c>
      <c r="E21" s="16" t="s">
        <v>34</v>
      </c>
      <c r="F21" s="17" t="s">
        <v>442</v>
      </c>
      <c r="G21" s="17" t="s">
        <v>14</v>
      </c>
      <c r="H21" s="17" t="s">
        <v>36</v>
      </c>
      <c r="I21" s="17">
        <v>6.0</v>
      </c>
      <c r="J21" s="16"/>
      <c r="K21" s="16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0"/>
      <c r="B22" s="16"/>
      <c r="C22" s="13" t="s">
        <v>32</v>
      </c>
      <c r="D22" s="17" t="s">
        <v>47</v>
      </c>
      <c r="E22" s="17" t="s">
        <v>34</v>
      </c>
      <c r="F22" s="17" t="s">
        <v>443</v>
      </c>
      <c r="G22" s="17" t="s">
        <v>14</v>
      </c>
      <c r="H22" s="17" t="s">
        <v>36</v>
      </c>
      <c r="I22" s="17">
        <v>1.0</v>
      </c>
      <c r="J22" s="16"/>
      <c r="K22" s="16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0"/>
      <c r="B23" s="16"/>
      <c r="C23" s="13" t="s">
        <v>32</v>
      </c>
      <c r="D23" s="17" t="s">
        <v>426</v>
      </c>
      <c r="E23" s="16"/>
      <c r="F23" s="17" t="s">
        <v>282</v>
      </c>
      <c r="G23" s="17" t="s">
        <v>14</v>
      </c>
      <c r="H23" s="17" t="s">
        <v>36</v>
      </c>
      <c r="I23" s="17">
        <v>1.0</v>
      </c>
      <c r="J23" s="16"/>
      <c r="K23" s="16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0"/>
      <c r="B24" s="16"/>
      <c r="C24" s="13" t="s">
        <v>32</v>
      </c>
      <c r="D24" s="17" t="s">
        <v>255</v>
      </c>
      <c r="E24" s="16"/>
      <c r="F24" s="17" t="s">
        <v>444</v>
      </c>
      <c r="G24" s="17" t="s">
        <v>14</v>
      </c>
      <c r="H24" s="17" t="s">
        <v>36</v>
      </c>
      <c r="I24" s="17">
        <v>4.0</v>
      </c>
      <c r="J24" s="16"/>
      <c r="K24" s="16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6"/>
      <c r="B25" s="7"/>
      <c r="C25" s="7"/>
      <c r="D25" s="7"/>
      <c r="E25" s="7"/>
      <c r="F25" s="7"/>
      <c r="G25" s="7"/>
      <c r="H25" s="7"/>
      <c r="I25" s="7"/>
      <c r="J25" s="8"/>
      <c r="K25" s="9"/>
    </row>
    <row r="26">
      <c r="A26" s="6"/>
      <c r="B26" s="7"/>
      <c r="C26" s="7"/>
      <c r="D26" s="7"/>
      <c r="E26" s="7"/>
      <c r="F26" s="7"/>
      <c r="G26" s="7"/>
      <c r="H26" s="7"/>
      <c r="I26" s="7"/>
      <c r="J26" s="8"/>
      <c r="K26" s="9"/>
    </row>
    <row r="27">
      <c r="A27" s="6"/>
      <c r="B27" s="7"/>
      <c r="C27" s="7"/>
      <c r="D27" s="7"/>
      <c r="E27" s="7"/>
      <c r="F27" s="7"/>
      <c r="G27" s="7"/>
      <c r="H27" s="7"/>
      <c r="I27" s="7"/>
      <c r="J27" s="8"/>
      <c r="K27" s="9"/>
    </row>
    <row r="28">
      <c r="A28" s="6"/>
      <c r="B28" s="7"/>
      <c r="C28" s="7"/>
      <c r="D28" s="7"/>
      <c r="E28" s="7"/>
      <c r="F28" s="7"/>
      <c r="G28" s="7"/>
      <c r="H28" s="7"/>
      <c r="I28" s="7"/>
      <c r="J28" s="8"/>
      <c r="K28" s="9"/>
    </row>
    <row r="29">
      <c r="A29" s="6"/>
      <c r="B29" s="7"/>
      <c r="C29" s="7"/>
      <c r="D29" s="7"/>
      <c r="E29" s="7"/>
      <c r="F29" s="7"/>
      <c r="G29" s="7"/>
      <c r="H29" s="7"/>
      <c r="I29" s="7"/>
      <c r="J29" s="8"/>
      <c r="K29" s="9"/>
    </row>
    <row r="30">
      <c r="A30" s="6"/>
      <c r="B30" s="7"/>
      <c r="C30" s="7"/>
      <c r="D30" s="7"/>
      <c r="E30" s="7"/>
      <c r="F30" s="7"/>
      <c r="G30" s="7"/>
      <c r="H30" s="7"/>
      <c r="I30" s="7"/>
      <c r="J30" s="8"/>
      <c r="K30" s="9"/>
    </row>
    <row r="31">
      <c r="A31" s="6"/>
      <c r="B31" s="7"/>
      <c r="C31" s="7"/>
      <c r="D31" s="7"/>
      <c r="E31" s="7"/>
      <c r="F31" s="7"/>
      <c r="G31" s="7"/>
      <c r="H31" s="7"/>
      <c r="I31" s="7"/>
      <c r="J31" s="8"/>
      <c r="K31" s="9"/>
    </row>
    <row r="32">
      <c r="A32" s="6"/>
      <c r="B32" s="7"/>
      <c r="C32" s="7"/>
      <c r="D32" s="7"/>
      <c r="E32" s="7"/>
      <c r="F32" s="7"/>
      <c r="G32" s="7"/>
      <c r="H32" s="7"/>
      <c r="I32" s="7"/>
      <c r="J32" s="8"/>
      <c r="K32" s="9"/>
    </row>
    <row r="33">
      <c r="A33" s="6"/>
      <c r="B33" s="7"/>
      <c r="C33" s="7"/>
      <c r="D33" s="7"/>
      <c r="E33" s="7"/>
      <c r="F33" s="7"/>
      <c r="G33" s="7"/>
      <c r="H33" s="7"/>
      <c r="I33" s="7"/>
      <c r="J33" s="8"/>
      <c r="K33" s="9"/>
    </row>
    <row r="34">
      <c r="A34" s="6"/>
      <c r="B34" s="7"/>
      <c r="C34" s="7"/>
      <c r="D34" s="7"/>
      <c r="E34" s="7"/>
      <c r="F34" s="7"/>
      <c r="G34" s="7"/>
      <c r="H34" s="7"/>
      <c r="I34" s="7"/>
      <c r="J34" s="8"/>
      <c r="K34" s="9"/>
    </row>
    <row r="35">
      <c r="A35" s="6"/>
      <c r="B35" s="7"/>
      <c r="C35" s="7"/>
      <c r="D35" s="7"/>
      <c r="E35" s="7"/>
      <c r="F35" s="7"/>
      <c r="G35" s="7"/>
      <c r="H35" s="7"/>
      <c r="I35" s="7"/>
      <c r="J35" s="8"/>
      <c r="K35" s="9"/>
    </row>
    <row r="36">
      <c r="A36" s="6"/>
      <c r="B36" s="7"/>
      <c r="C36" s="7"/>
      <c r="D36" s="7"/>
      <c r="E36" s="7"/>
      <c r="F36" s="7"/>
      <c r="G36" s="7"/>
      <c r="H36" s="7"/>
      <c r="I36" s="7"/>
      <c r="J36" s="8"/>
      <c r="K36" s="9"/>
    </row>
    <row r="37">
      <c r="A37" s="6"/>
      <c r="B37" s="7"/>
      <c r="C37" s="7"/>
      <c r="D37" s="7"/>
      <c r="E37" s="7"/>
      <c r="F37" s="7"/>
      <c r="G37" s="7"/>
      <c r="H37" s="7"/>
      <c r="I37" s="7"/>
      <c r="J37" s="8"/>
      <c r="K37" s="9"/>
    </row>
    <row r="38">
      <c r="A38" s="6"/>
      <c r="B38" s="7"/>
      <c r="C38" s="7"/>
      <c r="D38" s="7"/>
      <c r="E38" s="7"/>
      <c r="F38" s="7"/>
      <c r="G38" s="7"/>
      <c r="H38" s="7"/>
      <c r="I38" s="7"/>
      <c r="J38" s="8"/>
      <c r="K38" s="9"/>
    </row>
    <row r="39">
      <c r="A39" s="6"/>
      <c r="B39" s="7"/>
      <c r="C39" s="7"/>
      <c r="D39" s="7"/>
      <c r="E39" s="7"/>
      <c r="F39" s="7"/>
      <c r="G39" s="7"/>
      <c r="H39" s="7"/>
      <c r="I39" s="7"/>
      <c r="J39" s="8"/>
      <c r="K39" s="9"/>
    </row>
    <row r="40">
      <c r="A40" s="6"/>
      <c r="B40" s="7"/>
      <c r="C40" s="7"/>
      <c r="D40" s="7"/>
      <c r="E40" s="7"/>
      <c r="F40" s="7"/>
      <c r="G40" s="7"/>
      <c r="H40" s="7"/>
      <c r="I40" s="7"/>
      <c r="J40" s="8"/>
      <c r="K40" s="9"/>
    </row>
    <row r="41">
      <c r="A41" s="6"/>
      <c r="B41" s="7"/>
      <c r="C41" s="7"/>
      <c r="D41" s="7"/>
      <c r="E41" s="7"/>
      <c r="F41" s="7"/>
      <c r="G41" s="7"/>
      <c r="H41" s="7"/>
      <c r="I41" s="7"/>
      <c r="J41" s="8"/>
      <c r="K41" s="9"/>
    </row>
    <row r="42">
      <c r="A42" s="6"/>
      <c r="B42" s="7"/>
      <c r="C42" s="7"/>
      <c r="D42" s="7"/>
      <c r="E42" s="7"/>
      <c r="F42" s="7"/>
      <c r="G42" s="7"/>
      <c r="H42" s="7"/>
      <c r="I42" s="7"/>
      <c r="J42" s="8"/>
      <c r="K42" s="9"/>
    </row>
    <row r="43">
      <c r="A43" s="6"/>
      <c r="B43" s="7"/>
      <c r="C43" s="7"/>
      <c r="D43" s="7"/>
      <c r="E43" s="7"/>
      <c r="F43" s="7"/>
      <c r="G43" s="7"/>
      <c r="H43" s="7"/>
      <c r="I43" s="7"/>
      <c r="J43" s="8"/>
      <c r="K43" s="9"/>
    </row>
    <row r="44">
      <c r="A44" s="6"/>
      <c r="B44" s="7"/>
      <c r="C44" s="7"/>
      <c r="D44" s="7"/>
      <c r="E44" s="7"/>
      <c r="F44" s="7"/>
      <c r="G44" s="7"/>
      <c r="H44" s="7"/>
      <c r="I44" s="7"/>
      <c r="J44" s="8"/>
      <c r="K44" s="9"/>
    </row>
    <row r="45">
      <c r="A45" s="6"/>
      <c r="B45" s="7"/>
      <c r="C45" s="7"/>
      <c r="D45" s="7"/>
      <c r="E45" s="7"/>
      <c r="F45" s="7"/>
      <c r="G45" s="7"/>
      <c r="H45" s="7"/>
      <c r="I45" s="7"/>
      <c r="J45" s="8"/>
      <c r="K45" s="9"/>
    </row>
    <row r="46">
      <c r="A46" s="6"/>
      <c r="B46" s="7"/>
      <c r="C46" s="7"/>
      <c r="D46" s="7"/>
      <c r="E46" s="7"/>
      <c r="F46" s="7"/>
      <c r="G46" s="7"/>
      <c r="H46" s="7"/>
      <c r="I46" s="7"/>
      <c r="J46" s="8"/>
      <c r="K46" s="9"/>
    </row>
    <row r="47">
      <c r="A47" s="6"/>
      <c r="B47" s="7"/>
      <c r="C47" s="7"/>
      <c r="D47" s="7"/>
      <c r="E47" s="7"/>
      <c r="F47" s="7"/>
      <c r="G47" s="7"/>
      <c r="H47" s="7"/>
      <c r="I47" s="7"/>
      <c r="J47" s="8"/>
      <c r="K47" s="9"/>
    </row>
    <row r="48">
      <c r="A48" s="6"/>
      <c r="B48" s="7"/>
      <c r="C48" s="7"/>
      <c r="D48" s="7"/>
      <c r="E48" s="7"/>
      <c r="F48" s="7"/>
      <c r="G48" s="7"/>
      <c r="H48" s="7"/>
      <c r="I48" s="7"/>
      <c r="J48" s="8"/>
      <c r="K48" s="9"/>
    </row>
    <row r="49">
      <c r="A49" s="6"/>
      <c r="B49" s="7"/>
      <c r="C49" s="7"/>
      <c r="D49" s="7"/>
      <c r="E49" s="7"/>
      <c r="F49" s="7"/>
      <c r="G49" s="7"/>
      <c r="H49" s="7"/>
      <c r="I49" s="7"/>
      <c r="J49" s="8"/>
      <c r="K49" s="9"/>
    </row>
    <row r="50">
      <c r="A50" s="6"/>
      <c r="B50" s="7"/>
      <c r="C50" s="7"/>
      <c r="D50" s="7"/>
      <c r="E50" s="7"/>
      <c r="F50" s="7"/>
      <c r="G50" s="7"/>
      <c r="H50" s="7"/>
      <c r="I50" s="7"/>
      <c r="J50" s="8"/>
      <c r="K50" s="9"/>
    </row>
    <row r="51">
      <c r="A51" s="6"/>
      <c r="B51" s="7"/>
      <c r="C51" s="7"/>
      <c r="D51" s="7"/>
      <c r="E51" s="7"/>
      <c r="F51" s="7"/>
      <c r="G51" s="7"/>
      <c r="H51" s="7"/>
      <c r="I51" s="7"/>
      <c r="J51" s="8"/>
      <c r="K51" s="9"/>
    </row>
    <row r="52">
      <c r="A52" s="6"/>
      <c r="B52" s="7"/>
      <c r="C52" s="7"/>
      <c r="D52" s="7"/>
      <c r="E52" s="7"/>
      <c r="F52" s="7"/>
      <c r="G52" s="7"/>
      <c r="H52" s="7"/>
      <c r="I52" s="7"/>
      <c r="J52" s="8"/>
      <c r="K52" s="9"/>
    </row>
    <row r="53">
      <c r="A53" s="6"/>
      <c r="B53" s="7"/>
      <c r="C53" s="7"/>
      <c r="D53" s="7"/>
      <c r="E53" s="7"/>
      <c r="F53" s="7"/>
      <c r="G53" s="7"/>
      <c r="H53" s="7"/>
      <c r="I53" s="7"/>
      <c r="J53" s="8"/>
      <c r="K53" s="9"/>
    </row>
    <row r="54">
      <c r="A54" s="6"/>
      <c r="B54" s="7"/>
      <c r="C54" s="7"/>
      <c r="D54" s="7"/>
      <c r="E54" s="7"/>
      <c r="F54" s="7"/>
      <c r="G54" s="7"/>
      <c r="H54" s="7"/>
      <c r="I54" s="7"/>
      <c r="J54" s="8"/>
      <c r="K54" s="9"/>
    </row>
    <row r="55">
      <c r="A55" s="6"/>
      <c r="B55" s="7"/>
      <c r="C55" s="7"/>
      <c r="D55" s="7"/>
      <c r="E55" s="7"/>
      <c r="F55" s="7"/>
      <c r="G55" s="7"/>
      <c r="H55" s="7"/>
      <c r="I55" s="7"/>
      <c r="J55" s="8"/>
      <c r="K55" s="9"/>
    </row>
    <row r="56">
      <c r="A56" s="6"/>
      <c r="B56" s="7"/>
      <c r="C56" s="7"/>
      <c r="D56" s="7"/>
      <c r="E56" s="7"/>
      <c r="F56" s="7"/>
      <c r="G56" s="7"/>
      <c r="H56" s="7"/>
      <c r="I56" s="7"/>
      <c r="J56" s="8"/>
      <c r="K56" s="9"/>
    </row>
    <row r="57">
      <c r="A57" s="6"/>
      <c r="B57" s="7"/>
      <c r="C57" s="7"/>
      <c r="D57" s="7"/>
      <c r="E57" s="7"/>
      <c r="F57" s="7"/>
      <c r="G57" s="7"/>
      <c r="H57" s="7"/>
      <c r="I57" s="7"/>
      <c r="J57" s="8"/>
      <c r="K57" s="9"/>
    </row>
    <row r="58">
      <c r="A58" s="6"/>
      <c r="B58" s="7"/>
      <c r="C58" s="7"/>
      <c r="D58" s="7"/>
      <c r="E58" s="7"/>
      <c r="F58" s="7"/>
      <c r="G58" s="7"/>
      <c r="H58" s="7"/>
      <c r="I58" s="7"/>
      <c r="J58" s="8"/>
      <c r="K58" s="9"/>
    </row>
    <row r="59">
      <c r="A59" s="6"/>
      <c r="B59" s="7"/>
      <c r="C59" s="7"/>
      <c r="D59" s="7"/>
      <c r="E59" s="7"/>
      <c r="F59" s="7"/>
      <c r="G59" s="7"/>
      <c r="H59" s="7"/>
      <c r="I59" s="7"/>
      <c r="J59" s="8"/>
      <c r="K59" s="9"/>
    </row>
    <row r="60">
      <c r="A60" s="6"/>
      <c r="B60" s="7"/>
      <c r="C60" s="7"/>
      <c r="D60" s="7"/>
      <c r="E60" s="7"/>
      <c r="F60" s="7"/>
      <c r="G60" s="7"/>
      <c r="H60" s="7"/>
      <c r="I60" s="7"/>
      <c r="J60" s="8"/>
      <c r="K60" s="9"/>
    </row>
    <row r="61">
      <c r="A61" s="6"/>
      <c r="B61" s="7"/>
      <c r="C61" s="7"/>
      <c r="D61" s="7"/>
      <c r="E61" s="7"/>
      <c r="F61" s="7"/>
      <c r="G61" s="7"/>
      <c r="H61" s="7"/>
      <c r="I61" s="7"/>
      <c r="J61" s="8"/>
      <c r="K61" s="9"/>
    </row>
    <row r="62">
      <c r="A62" s="6"/>
      <c r="B62" s="7"/>
      <c r="C62" s="7"/>
      <c r="D62" s="7"/>
      <c r="E62" s="7"/>
      <c r="F62" s="7"/>
      <c r="G62" s="7"/>
      <c r="H62" s="7"/>
      <c r="I62" s="7"/>
      <c r="J62" s="8"/>
      <c r="K62" s="9"/>
    </row>
    <row r="63">
      <c r="A63" s="6"/>
      <c r="B63" s="7"/>
      <c r="C63" s="7"/>
      <c r="D63" s="7"/>
      <c r="E63" s="7"/>
      <c r="F63" s="7"/>
      <c r="G63" s="7"/>
      <c r="H63" s="7"/>
      <c r="I63" s="7"/>
      <c r="J63" s="8"/>
      <c r="K63" s="9"/>
    </row>
    <row r="64">
      <c r="A64" s="6"/>
      <c r="B64" s="7"/>
      <c r="C64" s="7"/>
      <c r="D64" s="7"/>
      <c r="E64" s="7"/>
      <c r="F64" s="7"/>
      <c r="G64" s="7"/>
      <c r="H64" s="7"/>
      <c r="I64" s="7"/>
      <c r="J64" s="8"/>
      <c r="K64" s="9"/>
    </row>
    <row r="65">
      <c r="A65" s="6"/>
      <c r="B65" s="7"/>
      <c r="C65" s="7"/>
      <c r="D65" s="7"/>
      <c r="E65" s="7"/>
      <c r="F65" s="7"/>
      <c r="G65" s="7"/>
      <c r="H65" s="7"/>
      <c r="I65" s="7"/>
      <c r="J65" s="8"/>
      <c r="K65" s="9"/>
    </row>
    <row r="66">
      <c r="A66" s="6"/>
      <c r="B66" s="7"/>
      <c r="C66" s="7"/>
      <c r="D66" s="7"/>
      <c r="E66" s="7"/>
      <c r="F66" s="7"/>
      <c r="G66" s="7"/>
      <c r="H66" s="7"/>
      <c r="I66" s="7"/>
      <c r="J66" s="8"/>
      <c r="K66" s="9"/>
    </row>
    <row r="67">
      <c r="A67" s="6"/>
      <c r="B67" s="7"/>
      <c r="C67" s="7"/>
      <c r="D67" s="7"/>
      <c r="E67" s="7"/>
      <c r="F67" s="7"/>
      <c r="G67" s="7"/>
      <c r="H67" s="7"/>
      <c r="I67" s="7"/>
      <c r="J67" s="8"/>
      <c r="K67" s="9"/>
    </row>
    <row r="68">
      <c r="A68" s="6"/>
      <c r="B68" s="7"/>
      <c r="C68" s="7"/>
      <c r="D68" s="7"/>
      <c r="E68" s="7"/>
      <c r="F68" s="7"/>
      <c r="G68" s="7"/>
      <c r="H68" s="7"/>
      <c r="I68" s="7"/>
      <c r="J68" s="8"/>
      <c r="K68" s="9"/>
    </row>
    <row r="69">
      <c r="A69" s="6"/>
      <c r="B69" s="7"/>
      <c r="C69" s="7"/>
      <c r="D69" s="7"/>
      <c r="E69" s="7"/>
      <c r="F69" s="7"/>
      <c r="G69" s="7"/>
      <c r="H69" s="7"/>
      <c r="I69" s="7"/>
      <c r="J69" s="8"/>
      <c r="K69" s="9"/>
    </row>
    <row r="70">
      <c r="A70" s="6"/>
      <c r="B70" s="7"/>
      <c r="C70" s="7"/>
      <c r="D70" s="7"/>
      <c r="E70" s="7"/>
      <c r="F70" s="7"/>
      <c r="G70" s="7"/>
      <c r="H70" s="7"/>
      <c r="I70" s="7"/>
      <c r="J70" s="8"/>
      <c r="K70" s="9"/>
    </row>
    <row r="71">
      <c r="A71" s="6"/>
      <c r="B71" s="7"/>
      <c r="C71" s="7"/>
      <c r="D71" s="7"/>
      <c r="E71" s="7"/>
      <c r="F71" s="7"/>
      <c r="G71" s="7"/>
      <c r="H71" s="7"/>
      <c r="I71" s="7"/>
      <c r="J71" s="8"/>
      <c r="K71" s="9"/>
    </row>
    <row r="72">
      <c r="A72" s="6"/>
      <c r="B72" s="7"/>
      <c r="C72" s="7"/>
      <c r="D72" s="7"/>
      <c r="E72" s="7"/>
      <c r="F72" s="7"/>
      <c r="G72" s="7"/>
      <c r="H72" s="7"/>
      <c r="I72" s="7"/>
      <c r="J72" s="8"/>
      <c r="K72" s="9"/>
    </row>
    <row r="73">
      <c r="A73" s="6"/>
      <c r="B73" s="7"/>
      <c r="C73" s="7"/>
      <c r="D73" s="7"/>
      <c r="E73" s="7"/>
      <c r="F73" s="7"/>
      <c r="G73" s="7"/>
      <c r="H73" s="7"/>
      <c r="I73" s="7"/>
      <c r="J73" s="8"/>
      <c r="K73" s="9"/>
    </row>
    <row r="74">
      <c r="A74" s="6"/>
      <c r="B74" s="7"/>
      <c r="C74" s="7"/>
      <c r="D74" s="7"/>
      <c r="E74" s="7"/>
      <c r="F74" s="7"/>
      <c r="G74" s="7"/>
      <c r="H74" s="7"/>
      <c r="I74" s="7"/>
      <c r="J74" s="8"/>
      <c r="K74" s="9"/>
    </row>
    <row r="75">
      <c r="A75" s="6"/>
      <c r="B75" s="7"/>
      <c r="C75" s="7"/>
      <c r="D75" s="7"/>
      <c r="E75" s="7"/>
      <c r="F75" s="7"/>
      <c r="G75" s="7"/>
      <c r="H75" s="7"/>
      <c r="I75" s="7"/>
      <c r="J75" s="8"/>
      <c r="K75" s="9"/>
    </row>
    <row r="76">
      <c r="A76" s="6"/>
      <c r="B76" s="7"/>
      <c r="C76" s="7"/>
      <c r="D76" s="7"/>
      <c r="E76" s="7"/>
      <c r="F76" s="7"/>
      <c r="G76" s="7"/>
      <c r="H76" s="7"/>
      <c r="I76" s="7"/>
      <c r="J76" s="8"/>
      <c r="K76" s="9"/>
    </row>
    <row r="77">
      <c r="A77" s="6"/>
      <c r="B77" s="7"/>
      <c r="C77" s="7"/>
      <c r="D77" s="7"/>
      <c r="E77" s="7"/>
      <c r="F77" s="7"/>
      <c r="G77" s="7"/>
      <c r="H77" s="7"/>
      <c r="I77" s="7"/>
      <c r="J77" s="8"/>
      <c r="K77" s="9"/>
    </row>
    <row r="78">
      <c r="A78" s="6"/>
      <c r="B78" s="7"/>
      <c r="C78" s="7"/>
      <c r="D78" s="7"/>
      <c r="E78" s="7"/>
      <c r="F78" s="7"/>
      <c r="G78" s="7"/>
      <c r="H78" s="7"/>
      <c r="I78" s="7"/>
      <c r="J78" s="8"/>
      <c r="K78" s="9"/>
    </row>
    <row r="79">
      <c r="A79" s="6"/>
      <c r="B79" s="7"/>
      <c r="C79" s="7"/>
      <c r="D79" s="7"/>
      <c r="E79" s="7"/>
      <c r="F79" s="7"/>
      <c r="G79" s="7"/>
      <c r="H79" s="7"/>
      <c r="I79" s="7"/>
      <c r="J79" s="8"/>
      <c r="K79" s="9"/>
    </row>
    <row r="80">
      <c r="A80" s="6"/>
      <c r="B80" s="7"/>
      <c r="C80" s="7"/>
      <c r="D80" s="7"/>
      <c r="E80" s="7"/>
      <c r="F80" s="7"/>
      <c r="G80" s="7"/>
      <c r="H80" s="7"/>
      <c r="I80" s="7"/>
      <c r="J80" s="8"/>
      <c r="K80" s="9"/>
    </row>
    <row r="81">
      <c r="A81" s="6"/>
      <c r="B81" s="7"/>
      <c r="C81" s="7"/>
      <c r="D81" s="7"/>
      <c r="E81" s="7"/>
      <c r="F81" s="7"/>
      <c r="G81" s="7"/>
      <c r="H81" s="7"/>
      <c r="I81" s="7"/>
      <c r="J81" s="8"/>
      <c r="K81" s="9"/>
    </row>
    <row r="82">
      <c r="A82" s="6"/>
      <c r="B82" s="7"/>
      <c r="C82" s="7"/>
      <c r="D82" s="7"/>
      <c r="E82" s="7"/>
      <c r="F82" s="7"/>
      <c r="G82" s="7"/>
      <c r="H82" s="7"/>
      <c r="I82" s="7"/>
      <c r="J82" s="8"/>
      <c r="K82" s="9"/>
    </row>
    <row r="83">
      <c r="A83" s="6"/>
      <c r="B83" s="7"/>
      <c r="C83" s="7"/>
      <c r="D83" s="7"/>
      <c r="E83" s="7"/>
      <c r="F83" s="7"/>
      <c r="G83" s="7"/>
      <c r="H83" s="7"/>
      <c r="I83" s="7"/>
      <c r="J83" s="8"/>
      <c r="K83" s="9"/>
    </row>
    <row r="84">
      <c r="A84" s="6"/>
      <c r="B84" s="7"/>
      <c r="C84" s="7"/>
      <c r="D84" s="7"/>
      <c r="E84" s="7"/>
      <c r="F84" s="7"/>
      <c r="G84" s="7"/>
      <c r="H84" s="7"/>
      <c r="I84" s="7"/>
      <c r="J84" s="8"/>
      <c r="K84" s="9"/>
    </row>
    <row r="85">
      <c r="A85" s="6"/>
      <c r="B85" s="7"/>
      <c r="C85" s="7"/>
      <c r="D85" s="7"/>
      <c r="E85" s="7"/>
      <c r="F85" s="7"/>
      <c r="G85" s="7"/>
      <c r="H85" s="7"/>
      <c r="I85" s="7"/>
      <c r="J85" s="8"/>
      <c r="K85" s="9"/>
    </row>
    <row r="86">
      <c r="A86" s="6"/>
      <c r="B86" s="7"/>
      <c r="C86" s="7"/>
      <c r="D86" s="7"/>
      <c r="E86" s="7"/>
      <c r="F86" s="7"/>
      <c r="G86" s="7"/>
      <c r="H86" s="7"/>
      <c r="I86" s="7"/>
      <c r="J86" s="8"/>
      <c r="K86" s="9"/>
    </row>
    <row r="87">
      <c r="A87" s="6"/>
      <c r="B87" s="7"/>
      <c r="C87" s="7"/>
      <c r="D87" s="7"/>
      <c r="E87" s="7"/>
      <c r="F87" s="7"/>
      <c r="G87" s="7"/>
      <c r="H87" s="7"/>
      <c r="I87" s="7"/>
      <c r="J87" s="8"/>
      <c r="K87" s="9"/>
    </row>
    <row r="88">
      <c r="A88" s="6"/>
      <c r="B88" s="7"/>
      <c r="C88" s="7"/>
      <c r="D88" s="7"/>
      <c r="E88" s="7"/>
      <c r="F88" s="7"/>
      <c r="G88" s="7"/>
      <c r="H88" s="7"/>
      <c r="I88" s="7"/>
      <c r="J88" s="8"/>
      <c r="K88" s="9"/>
    </row>
    <row r="89">
      <c r="A89" s="6"/>
      <c r="B89" s="7"/>
      <c r="C89" s="7"/>
      <c r="D89" s="7"/>
      <c r="E89" s="7"/>
      <c r="F89" s="7"/>
      <c r="G89" s="7"/>
      <c r="H89" s="7"/>
      <c r="I89" s="7"/>
      <c r="J89" s="8"/>
      <c r="K89" s="9"/>
    </row>
    <row r="90">
      <c r="A90" s="6"/>
      <c r="B90" s="7"/>
      <c r="C90" s="7"/>
      <c r="D90" s="7"/>
      <c r="E90" s="7"/>
      <c r="F90" s="7"/>
      <c r="G90" s="7"/>
      <c r="H90" s="7"/>
      <c r="I90" s="7"/>
      <c r="J90" s="8"/>
      <c r="K90" s="9"/>
    </row>
    <row r="91">
      <c r="A91" s="6"/>
      <c r="B91" s="7"/>
      <c r="C91" s="7"/>
      <c r="D91" s="7"/>
      <c r="E91" s="7"/>
      <c r="F91" s="7"/>
      <c r="G91" s="7"/>
      <c r="H91" s="7"/>
      <c r="I91" s="7"/>
      <c r="J91" s="8"/>
      <c r="K91" s="9"/>
    </row>
    <row r="92">
      <c r="A92" s="6"/>
      <c r="B92" s="7"/>
      <c r="C92" s="7"/>
      <c r="D92" s="7"/>
      <c r="E92" s="7"/>
      <c r="F92" s="7"/>
      <c r="G92" s="7"/>
      <c r="H92" s="7"/>
      <c r="I92" s="7"/>
      <c r="J92" s="8"/>
      <c r="K92" s="9"/>
    </row>
    <row r="93">
      <c r="A93" s="6"/>
      <c r="B93" s="7"/>
      <c r="C93" s="7"/>
      <c r="D93" s="7"/>
      <c r="E93" s="7"/>
      <c r="F93" s="7"/>
      <c r="G93" s="7"/>
      <c r="H93" s="7"/>
      <c r="I93" s="7"/>
      <c r="J93" s="8"/>
      <c r="K93" s="9"/>
    </row>
    <row r="94">
      <c r="A94" s="6"/>
      <c r="B94" s="7"/>
      <c r="C94" s="7"/>
      <c r="D94" s="7"/>
      <c r="E94" s="7"/>
      <c r="F94" s="7"/>
      <c r="G94" s="7"/>
      <c r="H94" s="7"/>
      <c r="I94" s="7"/>
      <c r="J94" s="8"/>
      <c r="K94" s="9"/>
    </row>
    <row r="95">
      <c r="A95" s="6"/>
      <c r="B95" s="7"/>
      <c r="C95" s="7"/>
      <c r="D95" s="7"/>
      <c r="E95" s="7"/>
      <c r="F95" s="7"/>
      <c r="G95" s="7"/>
      <c r="H95" s="7"/>
      <c r="I95" s="7"/>
      <c r="J95" s="8"/>
      <c r="K95" s="9"/>
    </row>
    <row r="96">
      <c r="A96" s="6"/>
      <c r="B96" s="7"/>
      <c r="C96" s="7"/>
      <c r="D96" s="7"/>
      <c r="E96" s="7"/>
      <c r="F96" s="7"/>
      <c r="G96" s="7"/>
      <c r="H96" s="7"/>
      <c r="I96" s="7"/>
      <c r="J96" s="8"/>
      <c r="K96" s="9"/>
    </row>
    <row r="97">
      <c r="A97" s="6"/>
      <c r="B97" s="7"/>
      <c r="C97" s="7"/>
      <c r="D97" s="7"/>
      <c r="E97" s="7"/>
      <c r="F97" s="7"/>
      <c r="G97" s="7"/>
      <c r="H97" s="7"/>
      <c r="I97" s="7"/>
      <c r="J97" s="8"/>
      <c r="K97" s="9"/>
    </row>
    <row r="98">
      <c r="A98" s="6"/>
      <c r="B98" s="7"/>
      <c r="C98" s="7"/>
      <c r="D98" s="7"/>
      <c r="E98" s="7"/>
      <c r="F98" s="7"/>
      <c r="G98" s="7"/>
      <c r="H98" s="7"/>
      <c r="I98" s="7"/>
      <c r="J98" s="8"/>
      <c r="K98" s="9"/>
    </row>
    <row r="99">
      <c r="A99" s="6"/>
      <c r="B99" s="7"/>
      <c r="C99" s="7"/>
      <c r="D99" s="7"/>
      <c r="E99" s="7"/>
      <c r="F99" s="7"/>
      <c r="G99" s="7"/>
      <c r="H99" s="7"/>
      <c r="I99" s="7"/>
      <c r="J99" s="8"/>
      <c r="K99" s="9"/>
    </row>
    <row r="100">
      <c r="A100" s="6"/>
      <c r="B100" s="7"/>
      <c r="C100" s="7"/>
      <c r="D100" s="7"/>
      <c r="E100" s="7"/>
      <c r="F100" s="7"/>
      <c r="G100" s="7"/>
      <c r="H100" s="7"/>
      <c r="I100" s="7"/>
      <c r="J100" s="8"/>
      <c r="K100" s="9"/>
    </row>
    <row r="101">
      <c r="A101" s="6"/>
      <c r="B101" s="7"/>
      <c r="C101" s="7"/>
      <c r="D101" s="7"/>
      <c r="E101" s="7"/>
      <c r="F101" s="7"/>
      <c r="G101" s="7"/>
      <c r="H101" s="7"/>
      <c r="I101" s="7"/>
      <c r="J101" s="8"/>
      <c r="K101" s="9"/>
    </row>
    <row r="102">
      <c r="A102" s="6"/>
      <c r="B102" s="7"/>
      <c r="C102" s="7"/>
      <c r="D102" s="7"/>
      <c r="E102" s="7"/>
      <c r="F102" s="7"/>
      <c r="G102" s="7"/>
      <c r="H102" s="7"/>
      <c r="I102" s="7"/>
      <c r="J102" s="8"/>
      <c r="K102" s="9"/>
    </row>
    <row r="103">
      <c r="A103" s="6"/>
      <c r="B103" s="7"/>
      <c r="C103" s="7"/>
      <c r="D103" s="7"/>
      <c r="E103" s="7"/>
      <c r="F103" s="7"/>
      <c r="G103" s="7"/>
      <c r="H103" s="7"/>
      <c r="I103" s="7"/>
      <c r="J103" s="8"/>
      <c r="K103" s="9"/>
    </row>
    <row r="104">
      <c r="A104" s="6"/>
      <c r="B104" s="7"/>
      <c r="C104" s="7"/>
      <c r="D104" s="7"/>
      <c r="E104" s="7"/>
      <c r="F104" s="7"/>
      <c r="G104" s="7"/>
      <c r="H104" s="7"/>
      <c r="I104" s="7"/>
      <c r="J104" s="8"/>
      <c r="K104" s="9"/>
    </row>
    <row r="105">
      <c r="A105" s="6"/>
      <c r="B105" s="7"/>
      <c r="C105" s="7"/>
      <c r="D105" s="7"/>
      <c r="E105" s="7"/>
      <c r="F105" s="7"/>
      <c r="G105" s="7"/>
      <c r="H105" s="7"/>
      <c r="I105" s="7"/>
      <c r="J105" s="8"/>
      <c r="K105" s="9"/>
    </row>
    <row r="106">
      <c r="A106" s="6"/>
      <c r="B106" s="7"/>
      <c r="C106" s="7"/>
      <c r="D106" s="7"/>
      <c r="E106" s="7"/>
      <c r="F106" s="7"/>
      <c r="G106" s="7"/>
      <c r="H106" s="7"/>
      <c r="I106" s="7"/>
      <c r="J106" s="8"/>
      <c r="K106" s="9"/>
    </row>
    <row r="107">
      <c r="A107" s="6"/>
      <c r="B107" s="7"/>
      <c r="C107" s="7"/>
      <c r="D107" s="7"/>
      <c r="E107" s="7"/>
      <c r="F107" s="7"/>
      <c r="G107" s="7"/>
      <c r="H107" s="7"/>
      <c r="I107" s="7"/>
      <c r="J107" s="8"/>
      <c r="K107" s="9"/>
    </row>
    <row r="108">
      <c r="A108" s="6"/>
      <c r="B108" s="7"/>
      <c r="C108" s="7"/>
      <c r="D108" s="7"/>
      <c r="E108" s="7"/>
      <c r="F108" s="7"/>
      <c r="G108" s="7"/>
      <c r="H108" s="7"/>
      <c r="I108" s="7"/>
      <c r="J108" s="8"/>
      <c r="K108" s="9"/>
    </row>
    <row r="109">
      <c r="A109" s="6"/>
      <c r="B109" s="7"/>
      <c r="C109" s="7"/>
      <c r="D109" s="7"/>
      <c r="E109" s="7"/>
      <c r="F109" s="7"/>
      <c r="G109" s="7"/>
      <c r="H109" s="7"/>
      <c r="I109" s="7"/>
      <c r="J109" s="8"/>
      <c r="K109" s="9"/>
    </row>
    <row r="110">
      <c r="A110" s="6"/>
      <c r="B110" s="7"/>
      <c r="C110" s="7"/>
      <c r="D110" s="7"/>
      <c r="E110" s="7"/>
      <c r="F110" s="7"/>
      <c r="G110" s="7"/>
      <c r="H110" s="7"/>
      <c r="I110" s="7"/>
      <c r="J110" s="8"/>
      <c r="K110" s="9"/>
    </row>
    <row r="111">
      <c r="A111" s="6"/>
      <c r="B111" s="7"/>
      <c r="C111" s="7"/>
      <c r="D111" s="7"/>
      <c r="E111" s="7"/>
      <c r="F111" s="7"/>
      <c r="G111" s="7"/>
      <c r="H111" s="7"/>
      <c r="I111" s="7"/>
      <c r="J111" s="8"/>
      <c r="K111" s="9"/>
    </row>
    <row r="112">
      <c r="A112" s="6"/>
      <c r="B112" s="7"/>
      <c r="C112" s="7"/>
      <c r="D112" s="7"/>
      <c r="E112" s="7"/>
      <c r="F112" s="7"/>
      <c r="G112" s="7"/>
      <c r="H112" s="7"/>
      <c r="I112" s="7"/>
      <c r="J112" s="8"/>
      <c r="K112" s="9"/>
    </row>
    <row r="113">
      <c r="A113" s="6"/>
      <c r="B113" s="7"/>
      <c r="C113" s="7"/>
      <c r="D113" s="7"/>
      <c r="E113" s="7"/>
      <c r="F113" s="7"/>
      <c r="G113" s="7"/>
      <c r="H113" s="7"/>
      <c r="I113" s="7"/>
      <c r="J113" s="8"/>
      <c r="K113" s="9"/>
    </row>
    <row r="114">
      <c r="A114" s="6"/>
      <c r="B114" s="7"/>
      <c r="C114" s="7"/>
      <c r="D114" s="7"/>
      <c r="E114" s="7"/>
      <c r="F114" s="7"/>
      <c r="G114" s="7"/>
      <c r="H114" s="7"/>
      <c r="I114" s="7"/>
      <c r="J114" s="8"/>
      <c r="K114" s="9"/>
    </row>
    <row r="115">
      <c r="A115" s="6"/>
      <c r="B115" s="7"/>
      <c r="C115" s="7"/>
      <c r="D115" s="7"/>
      <c r="E115" s="7"/>
      <c r="F115" s="7"/>
      <c r="G115" s="7"/>
      <c r="H115" s="7"/>
      <c r="I115" s="7"/>
      <c r="J115" s="8"/>
      <c r="K115" s="9"/>
    </row>
    <row r="116">
      <c r="A116" s="6"/>
      <c r="B116" s="7"/>
      <c r="C116" s="7"/>
      <c r="D116" s="7"/>
      <c r="E116" s="7"/>
      <c r="F116" s="7"/>
      <c r="G116" s="7"/>
      <c r="H116" s="7"/>
      <c r="I116" s="7"/>
      <c r="J116" s="8"/>
      <c r="K116" s="9"/>
    </row>
    <row r="117">
      <c r="A117" s="6"/>
      <c r="B117" s="7"/>
      <c r="C117" s="7"/>
      <c r="D117" s="7"/>
      <c r="E117" s="7"/>
      <c r="F117" s="7"/>
      <c r="G117" s="7"/>
      <c r="H117" s="7"/>
      <c r="I117" s="7"/>
      <c r="J117" s="8"/>
      <c r="K117" s="9"/>
    </row>
    <row r="118">
      <c r="A118" s="6"/>
      <c r="B118" s="7"/>
      <c r="C118" s="7"/>
      <c r="D118" s="7"/>
      <c r="E118" s="7"/>
      <c r="F118" s="7"/>
      <c r="G118" s="7"/>
      <c r="H118" s="7"/>
      <c r="I118" s="7"/>
      <c r="J118" s="8"/>
      <c r="K118" s="9"/>
    </row>
    <row r="119">
      <c r="A119" s="6"/>
      <c r="B119" s="7"/>
      <c r="C119" s="7"/>
      <c r="D119" s="7"/>
      <c r="E119" s="7"/>
      <c r="F119" s="7"/>
      <c r="G119" s="7"/>
      <c r="H119" s="7"/>
      <c r="I119" s="7"/>
      <c r="J119" s="8"/>
      <c r="K119" s="9"/>
    </row>
    <row r="120">
      <c r="A120" s="6"/>
      <c r="B120" s="7"/>
      <c r="C120" s="7"/>
      <c r="D120" s="7"/>
      <c r="E120" s="7"/>
      <c r="F120" s="7"/>
      <c r="G120" s="7"/>
      <c r="H120" s="7"/>
      <c r="I120" s="7"/>
      <c r="J120" s="8"/>
      <c r="K120" s="9"/>
    </row>
    <row r="121">
      <c r="A121" s="6"/>
      <c r="B121" s="7"/>
      <c r="C121" s="7"/>
      <c r="D121" s="7"/>
      <c r="E121" s="7"/>
      <c r="F121" s="7"/>
      <c r="G121" s="7"/>
      <c r="H121" s="7"/>
      <c r="I121" s="7"/>
      <c r="J121" s="8"/>
      <c r="K121" s="9"/>
    </row>
    <row r="122">
      <c r="A122" s="6"/>
      <c r="B122" s="7"/>
      <c r="C122" s="7"/>
      <c r="D122" s="7"/>
      <c r="E122" s="7"/>
      <c r="F122" s="7"/>
      <c r="G122" s="7"/>
      <c r="H122" s="7"/>
      <c r="I122" s="7"/>
      <c r="J122" s="8"/>
      <c r="K122" s="9"/>
    </row>
    <row r="123">
      <c r="A123" s="6"/>
      <c r="B123" s="7"/>
      <c r="C123" s="7"/>
      <c r="D123" s="7"/>
      <c r="E123" s="7"/>
      <c r="F123" s="7"/>
      <c r="G123" s="7"/>
      <c r="H123" s="7"/>
      <c r="I123" s="7"/>
      <c r="J123" s="8"/>
      <c r="K123" s="9"/>
    </row>
    <row r="124">
      <c r="A124" s="6"/>
      <c r="B124" s="7"/>
      <c r="C124" s="7"/>
      <c r="D124" s="7"/>
      <c r="E124" s="7"/>
      <c r="F124" s="7"/>
      <c r="G124" s="7"/>
      <c r="H124" s="7"/>
      <c r="I124" s="7"/>
      <c r="J124" s="8"/>
      <c r="K124" s="9"/>
    </row>
    <row r="125">
      <c r="A125" s="6"/>
      <c r="B125" s="7"/>
      <c r="C125" s="7"/>
      <c r="D125" s="7"/>
      <c r="E125" s="7"/>
      <c r="F125" s="7"/>
      <c r="G125" s="7"/>
      <c r="H125" s="7"/>
      <c r="I125" s="7"/>
      <c r="J125" s="8"/>
      <c r="K125" s="9"/>
    </row>
    <row r="126">
      <c r="A126" s="6"/>
      <c r="B126" s="7"/>
      <c r="C126" s="7"/>
      <c r="D126" s="7"/>
      <c r="E126" s="7"/>
      <c r="F126" s="7"/>
      <c r="G126" s="7"/>
      <c r="H126" s="7"/>
      <c r="I126" s="7"/>
      <c r="J126" s="8"/>
      <c r="K126" s="9"/>
    </row>
    <row r="127">
      <c r="A127" s="6"/>
      <c r="B127" s="7"/>
      <c r="C127" s="7"/>
      <c r="D127" s="7"/>
      <c r="E127" s="7"/>
      <c r="F127" s="7"/>
      <c r="G127" s="7"/>
      <c r="H127" s="7"/>
      <c r="I127" s="7"/>
      <c r="J127" s="8"/>
      <c r="K127" s="9"/>
    </row>
    <row r="128">
      <c r="A128" s="6"/>
      <c r="B128" s="7"/>
      <c r="C128" s="7"/>
      <c r="D128" s="7"/>
      <c r="E128" s="7"/>
      <c r="F128" s="7"/>
      <c r="G128" s="7"/>
      <c r="H128" s="7"/>
      <c r="I128" s="7"/>
      <c r="J128" s="8"/>
      <c r="K128" s="9"/>
    </row>
    <row r="129">
      <c r="A129" s="6"/>
      <c r="B129" s="7"/>
      <c r="C129" s="7"/>
      <c r="D129" s="7"/>
      <c r="E129" s="7"/>
      <c r="F129" s="7"/>
      <c r="G129" s="7"/>
      <c r="H129" s="7"/>
      <c r="I129" s="7"/>
      <c r="J129" s="8"/>
      <c r="K129" s="9"/>
    </row>
    <row r="130">
      <c r="A130" s="6"/>
      <c r="B130" s="7"/>
      <c r="C130" s="7"/>
      <c r="D130" s="7"/>
      <c r="E130" s="7"/>
      <c r="F130" s="7"/>
      <c r="G130" s="7"/>
      <c r="H130" s="7"/>
      <c r="I130" s="7"/>
      <c r="J130" s="8"/>
      <c r="K130" s="9"/>
    </row>
    <row r="131">
      <c r="A131" s="6"/>
      <c r="B131" s="7"/>
      <c r="C131" s="7"/>
      <c r="D131" s="7"/>
      <c r="E131" s="7"/>
      <c r="F131" s="7"/>
      <c r="G131" s="7"/>
      <c r="H131" s="7"/>
      <c r="I131" s="7"/>
      <c r="J131" s="8"/>
      <c r="K131" s="9"/>
    </row>
    <row r="132">
      <c r="A132" s="6"/>
      <c r="B132" s="7"/>
      <c r="C132" s="7"/>
      <c r="D132" s="7"/>
      <c r="E132" s="7"/>
      <c r="F132" s="7"/>
      <c r="G132" s="7"/>
      <c r="H132" s="7"/>
      <c r="I132" s="7"/>
      <c r="J132" s="8"/>
      <c r="K132" s="9"/>
    </row>
    <row r="133">
      <c r="A133" s="6"/>
      <c r="B133" s="7"/>
      <c r="C133" s="7"/>
      <c r="D133" s="7"/>
      <c r="E133" s="7"/>
      <c r="F133" s="7"/>
      <c r="G133" s="7"/>
      <c r="H133" s="7"/>
      <c r="I133" s="7"/>
      <c r="J133" s="8"/>
      <c r="K133" s="9"/>
    </row>
    <row r="134">
      <c r="A134" s="6"/>
      <c r="B134" s="7"/>
      <c r="C134" s="7"/>
      <c r="D134" s="7"/>
      <c r="E134" s="7"/>
      <c r="F134" s="7"/>
      <c r="G134" s="7"/>
      <c r="H134" s="7"/>
      <c r="I134" s="7"/>
      <c r="J134" s="8"/>
      <c r="K134" s="9"/>
    </row>
    <row r="135">
      <c r="A135" s="6"/>
      <c r="B135" s="7"/>
      <c r="C135" s="7"/>
      <c r="D135" s="7"/>
      <c r="E135" s="7"/>
      <c r="F135" s="7"/>
      <c r="G135" s="7"/>
      <c r="H135" s="7"/>
      <c r="I135" s="7"/>
      <c r="J135" s="8"/>
      <c r="K135" s="9"/>
    </row>
    <row r="136">
      <c r="A136" s="6"/>
      <c r="B136" s="7"/>
      <c r="C136" s="7"/>
      <c r="D136" s="7"/>
      <c r="E136" s="7"/>
      <c r="F136" s="7"/>
      <c r="G136" s="7"/>
      <c r="H136" s="7"/>
      <c r="I136" s="7"/>
      <c r="J136" s="8"/>
      <c r="K136" s="9"/>
    </row>
    <row r="137">
      <c r="A137" s="6"/>
      <c r="B137" s="7"/>
      <c r="C137" s="7"/>
      <c r="D137" s="7"/>
      <c r="E137" s="7"/>
      <c r="F137" s="7"/>
      <c r="G137" s="7"/>
      <c r="H137" s="7"/>
      <c r="I137" s="7"/>
      <c r="J137" s="8"/>
      <c r="K137" s="9"/>
    </row>
    <row r="138">
      <c r="A138" s="6"/>
      <c r="B138" s="7"/>
      <c r="C138" s="7"/>
      <c r="D138" s="7"/>
      <c r="E138" s="7"/>
      <c r="F138" s="7"/>
      <c r="G138" s="7"/>
      <c r="H138" s="7"/>
      <c r="I138" s="7"/>
      <c r="J138" s="8"/>
      <c r="K138" s="9"/>
    </row>
    <row r="139">
      <c r="A139" s="6"/>
      <c r="B139" s="7"/>
      <c r="C139" s="7"/>
      <c r="D139" s="7"/>
      <c r="E139" s="7"/>
      <c r="F139" s="7"/>
      <c r="G139" s="7"/>
      <c r="H139" s="7"/>
      <c r="I139" s="7"/>
      <c r="J139" s="8"/>
      <c r="K139" s="9"/>
    </row>
    <row r="140">
      <c r="A140" s="6"/>
      <c r="B140" s="7"/>
      <c r="C140" s="7"/>
      <c r="D140" s="7"/>
      <c r="E140" s="7"/>
      <c r="F140" s="7"/>
      <c r="G140" s="7"/>
      <c r="H140" s="7"/>
      <c r="I140" s="7"/>
      <c r="J140" s="8"/>
      <c r="K140" s="9"/>
    </row>
    <row r="141">
      <c r="A141" s="6"/>
      <c r="B141" s="7"/>
      <c r="C141" s="7"/>
      <c r="D141" s="7"/>
      <c r="E141" s="7"/>
      <c r="F141" s="7"/>
      <c r="G141" s="7"/>
      <c r="H141" s="7"/>
      <c r="I141" s="7"/>
      <c r="J141" s="8"/>
      <c r="K141" s="9"/>
    </row>
    <row r="142">
      <c r="A142" s="6"/>
      <c r="B142" s="7"/>
      <c r="C142" s="7"/>
      <c r="D142" s="7"/>
      <c r="E142" s="7"/>
      <c r="F142" s="7"/>
      <c r="G142" s="7"/>
      <c r="H142" s="7"/>
      <c r="I142" s="7"/>
      <c r="J142" s="8"/>
      <c r="K142" s="9"/>
    </row>
    <row r="143">
      <c r="A143" s="6"/>
      <c r="B143" s="7"/>
      <c r="C143" s="7"/>
      <c r="D143" s="7"/>
      <c r="E143" s="7"/>
      <c r="F143" s="7"/>
      <c r="G143" s="7"/>
      <c r="H143" s="7"/>
      <c r="I143" s="7"/>
      <c r="J143" s="8"/>
      <c r="K143" s="9"/>
    </row>
    <row r="144">
      <c r="A144" s="6"/>
      <c r="B144" s="7"/>
      <c r="C144" s="7"/>
      <c r="D144" s="7"/>
      <c r="E144" s="7"/>
      <c r="F144" s="7"/>
      <c r="G144" s="7"/>
      <c r="H144" s="7"/>
      <c r="I144" s="7"/>
      <c r="J144" s="8"/>
      <c r="K144" s="9"/>
    </row>
    <row r="145">
      <c r="A145" s="6"/>
      <c r="B145" s="7"/>
      <c r="C145" s="7"/>
      <c r="D145" s="7"/>
      <c r="E145" s="7"/>
      <c r="F145" s="7"/>
      <c r="G145" s="7"/>
      <c r="H145" s="7"/>
      <c r="I145" s="7"/>
      <c r="J145" s="8"/>
      <c r="K145" s="9"/>
    </row>
    <row r="146">
      <c r="A146" s="6"/>
      <c r="B146" s="7"/>
      <c r="C146" s="7"/>
      <c r="D146" s="7"/>
      <c r="E146" s="7"/>
      <c r="F146" s="7"/>
      <c r="G146" s="7"/>
      <c r="H146" s="7"/>
      <c r="I146" s="7"/>
      <c r="J146" s="8"/>
      <c r="K146" s="9"/>
    </row>
    <row r="147">
      <c r="A147" s="6"/>
      <c r="B147" s="7"/>
      <c r="C147" s="7"/>
      <c r="D147" s="7"/>
      <c r="E147" s="7"/>
      <c r="F147" s="7"/>
      <c r="G147" s="7"/>
      <c r="H147" s="7"/>
      <c r="I147" s="7"/>
      <c r="J147" s="8"/>
      <c r="K147" s="9"/>
    </row>
    <row r="148">
      <c r="A148" s="6"/>
      <c r="B148" s="7"/>
      <c r="C148" s="7"/>
      <c r="D148" s="7"/>
      <c r="E148" s="7"/>
      <c r="F148" s="7"/>
      <c r="G148" s="7"/>
      <c r="H148" s="7"/>
      <c r="I148" s="7"/>
      <c r="J148" s="8"/>
      <c r="K148" s="9"/>
    </row>
    <row r="149">
      <c r="A149" s="6"/>
      <c r="B149" s="7"/>
      <c r="C149" s="7"/>
      <c r="D149" s="7"/>
      <c r="E149" s="7"/>
      <c r="F149" s="7"/>
      <c r="G149" s="7"/>
      <c r="H149" s="7"/>
      <c r="I149" s="7"/>
      <c r="J149" s="8"/>
      <c r="K149" s="9"/>
    </row>
    <row r="150">
      <c r="A150" s="6"/>
      <c r="B150" s="7"/>
      <c r="C150" s="7"/>
      <c r="D150" s="7"/>
      <c r="E150" s="7"/>
      <c r="F150" s="7"/>
      <c r="G150" s="7"/>
      <c r="H150" s="7"/>
      <c r="I150" s="7"/>
      <c r="J150" s="8"/>
      <c r="K150" s="9"/>
    </row>
    <row r="151">
      <c r="A151" s="6"/>
      <c r="B151" s="7"/>
      <c r="C151" s="7"/>
      <c r="D151" s="7"/>
      <c r="E151" s="7"/>
      <c r="F151" s="7"/>
      <c r="G151" s="7"/>
      <c r="H151" s="7"/>
      <c r="I151" s="7"/>
      <c r="J151" s="8"/>
      <c r="K151" s="9"/>
    </row>
    <row r="152">
      <c r="A152" s="6"/>
      <c r="B152" s="7"/>
      <c r="C152" s="7"/>
      <c r="D152" s="7"/>
      <c r="E152" s="7"/>
      <c r="F152" s="7"/>
      <c r="G152" s="7"/>
      <c r="H152" s="7"/>
      <c r="I152" s="7"/>
      <c r="J152" s="8"/>
      <c r="K152" s="9"/>
    </row>
    <row r="153">
      <c r="A153" s="6"/>
      <c r="B153" s="7"/>
      <c r="C153" s="7"/>
      <c r="D153" s="7"/>
      <c r="E153" s="7"/>
      <c r="F153" s="7"/>
      <c r="G153" s="7"/>
      <c r="H153" s="7"/>
      <c r="I153" s="7"/>
      <c r="J153" s="8"/>
      <c r="K153" s="9"/>
    </row>
    <row r="154">
      <c r="A154" s="6"/>
      <c r="B154" s="7"/>
      <c r="C154" s="7"/>
      <c r="D154" s="7"/>
      <c r="E154" s="7"/>
      <c r="F154" s="7"/>
      <c r="G154" s="7"/>
      <c r="H154" s="7"/>
      <c r="I154" s="7"/>
      <c r="J154" s="8"/>
      <c r="K154" s="9"/>
    </row>
    <row r="155">
      <c r="A155" s="6"/>
      <c r="B155" s="7"/>
      <c r="C155" s="7"/>
      <c r="D155" s="7"/>
      <c r="E155" s="7"/>
      <c r="F155" s="7"/>
      <c r="G155" s="7"/>
      <c r="H155" s="7"/>
      <c r="I155" s="7"/>
      <c r="J155" s="8"/>
      <c r="K155" s="9"/>
    </row>
    <row r="156">
      <c r="A156" s="6"/>
      <c r="B156" s="7"/>
      <c r="C156" s="7"/>
      <c r="D156" s="7"/>
      <c r="E156" s="7"/>
      <c r="F156" s="7"/>
      <c r="G156" s="7"/>
      <c r="H156" s="7"/>
      <c r="I156" s="7"/>
      <c r="J156" s="8"/>
      <c r="K156" s="9"/>
    </row>
    <row r="157">
      <c r="A157" s="6"/>
      <c r="B157" s="7"/>
      <c r="C157" s="7"/>
      <c r="D157" s="7"/>
      <c r="E157" s="7"/>
      <c r="F157" s="7"/>
      <c r="G157" s="7"/>
      <c r="H157" s="7"/>
      <c r="I157" s="7"/>
      <c r="J157" s="8"/>
      <c r="K157" s="9"/>
    </row>
    <row r="158">
      <c r="A158" s="6"/>
      <c r="B158" s="7"/>
      <c r="C158" s="7"/>
      <c r="D158" s="7"/>
      <c r="E158" s="7"/>
      <c r="F158" s="7"/>
      <c r="G158" s="7"/>
      <c r="H158" s="7"/>
      <c r="I158" s="7"/>
      <c r="J158" s="8"/>
      <c r="K158" s="9"/>
    </row>
    <row r="159">
      <c r="A159" s="6"/>
      <c r="B159" s="7"/>
      <c r="C159" s="7"/>
      <c r="D159" s="7"/>
      <c r="E159" s="7"/>
      <c r="F159" s="7"/>
      <c r="G159" s="7"/>
      <c r="H159" s="7"/>
      <c r="I159" s="7"/>
      <c r="J159" s="8"/>
      <c r="K159" s="9"/>
    </row>
    <row r="160">
      <c r="A160" s="6"/>
      <c r="B160" s="7"/>
      <c r="C160" s="7"/>
      <c r="D160" s="7"/>
      <c r="E160" s="7"/>
      <c r="F160" s="7"/>
      <c r="G160" s="7"/>
      <c r="H160" s="7"/>
      <c r="I160" s="7"/>
      <c r="J160" s="8"/>
      <c r="K160" s="9"/>
    </row>
    <row r="161">
      <c r="A161" s="6"/>
      <c r="B161" s="7"/>
      <c r="C161" s="7"/>
      <c r="D161" s="7"/>
      <c r="E161" s="7"/>
      <c r="F161" s="7"/>
      <c r="G161" s="7"/>
      <c r="H161" s="7"/>
      <c r="I161" s="7"/>
      <c r="J161" s="8"/>
      <c r="K161" s="9"/>
    </row>
    <row r="162">
      <c r="A162" s="6"/>
      <c r="B162" s="7"/>
      <c r="C162" s="7"/>
      <c r="D162" s="7"/>
      <c r="E162" s="7"/>
      <c r="F162" s="7"/>
      <c r="G162" s="7"/>
      <c r="H162" s="7"/>
      <c r="I162" s="7"/>
      <c r="J162" s="8"/>
      <c r="K162" s="9"/>
    </row>
    <row r="163">
      <c r="A163" s="6"/>
      <c r="B163" s="7"/>
      <c r="C163" s="7"/>
      <c r="D163" s="7"/>
      <c r="E163" s="7"/>
      <c r="F163" s="7"/>
      <c r="G163" s="7"/>
      <c r="H163" s="7"/>
      <c r="I163" s="7"/>
      <c r="J163" s="8"/>
      <c r="K163" s="9"/>
    </row>
    <row r="164">
      <c r="A164" s="6"/>
      <c r="B164" s="7"/>
      <c r="C164" s="7"/>
      <c r="D164" s="7"/>
      <c r="E164" s="7"/>
      <c r="F164" s="7"/>
      <c r="G164" s="7"/>
      <c r="H164" s="7"/>
      <c r="I164" s="7"/>
      <c r="J164" s="8"/>
      <c r="K164" s="9"/>
    </row>
    <row r="165">
      <c r="A165" s="6"/>
      <c r="B165" s="7"/>
      <c r="C165" s="7"/>
      <c r="D165" s="7"/>
      <c r="E165" s="7"/>
      <c r="F165" s="7"/>
      <c r="G165" s="7"/>
      <c r="H165" s="7"/>
      <c r="I165" s="7"/>
      <c r="J165" s="8"/>
      <c r="K165" s="9"/>
    </row>
    <row r="166">
      <c r="A166" s="6"/>
      <c r="B166" s="7"/>
      <c r="C166" s="7"/>
      <c r="D166" s="7"/>
      <c r="E166" s="7"/>
      <c r="F166" s="7"/>
      <c r="G166" s="7"/>
      <c r="H166" s="7"/>
      <c r="I166" s="7"/>
      <c r="J166" s="8"/>
      <c r="K166" s="9"/>
    </row>
    <row r="167">
      <c r="A167" s="6"/>
      <c r="B167" s="7"/>
      <c r="C167" s="7"/>
      <c r="D167" s="7"/>
      <c r="E167" s="7"/>
      <c r="F167" s="7"/>
      <c r="G167" s="7"/>
      <c r="H167" s="7"/>
      <c r="I167" s="7"/>
      <c r="J167" s="8"/>
      <c r="K167" s="9"/>
    </row>
    <row r="168">
      <c r="A168" s="6"/>
      <c r="B168" s="7"/>
      <c r="C168" s="7"/>
      <c r="D168" s="7"/>
      <c r="E168" s="7"/>
      <c r="F168" s="7"/>
      <c r="G168" s="7"/>
      <c r="H168" s="7"/>
      <c r="I168" s="7"/>
      <c r="J168" s="8"/>
      <c r="K168" s="9"/>
    </row>
    <row r="169">
      <c r="A169" s="6"/>
      <c r="B169" s="7"/>
      <c r="C169" s="7"/>
      <c r="D169" s="7"/>
      <c r="E169" s="7"/>
      <c r="F169" s="7"/>
      <c r="G169" s="7"/>
      <c r="H169" s="7"/>
      <c r="I169" s="7"/>
      <c r="J169" s="8"/>
      <c r="K169" s="9"/>
    </row>
    <row r="170">
      <c r="A170" s="6"/>
      <c r="B170" s="7"/>
      <c r="C170" s="7"/>
      <c r="D170" s="7"/>
      <c r="E170" s="7"/>
      <c r="F170" s="7"/>
      <c r="G170" s="7"/>
      <c r="H170" s="7"/>
      <c r="I170" s="7"/>
      <c r="J170" s="8"/>
      <c r="K170" s="9"/>
    </row>
    <row r="171">
      <c r="A171" s="6"/>
      <c r="B171" s="7"/>
      <c r="C171" s="7"/>
      <c r="D171" s="7"/>
      <c r="E171" s="7"/>
      <c r="F171" s="7"/>
      <c r="G171" s="7"/>
      <c r="H171" s="7"/>
      <c r="I171" s="7"/>
      <c r="J171" s="8"/>
      <c r="K171" s="9"/>
    </row>
    <row r="172">
      <c r="A172" s="6"/>
      <c r="B172" s="7"/>
      <c r="C172" s="7"/>
      <c r="D172" s="7"/>
      <c r="E172" s="7"/>
      <c r="F172" s="7"/>
      <c r="G172" s="7"/>
      <c r="H172" s="7"/>
      <c r="I172" s="7"/>
      <c r="J172" s="8"/>
      <c r="K172" s="9"/>
    </row>
    <row r="173">
      <c r="A173" s="6"/>
      <c r="B173" s="7"/>
      <c r="C173" s="7"/>
      <c r="D173" s="7"/>
      <c r="E173" s="7"/>
      <c r="F173" s="7"/>
      <c r="G173" s="7"/>
      <c r="H173" s="7"/>
      <c r="I173" s="7"/>
      <c r="J173" s="8"/>
      <c r="K173" s="9"/>
    </row>
    <row r="174">
      <c r="A174" s="6"/>
      <c r="B174" s="7"/>
      <c r="C174" s="7"/>
      <c r="D174" s="7"/>
      <c r="E174" s="7"/>
      <c r="F174" s="7"/>
      <c r="G174" s="7"/>
      <c r="H174" s="7"/>
      <c r="I174" s="7"/>
      <c r="J174" s="8"/>
      <c r="K174" s="9"/>
    </row>
    <row r="175">
      <c r="A175" s="6"/>
      <c r="B175" s="7"/>
      <c r="C175" s="7"/>
      <c r="D175" s="7"/>
      <c r="E175" s="7"/>
      <c r="F175" s="7"/>
      <c r="G175" s="7"/>
      <c r="H175" s="7"/>
      <c r="I175" s="7"/>
      <c r="J175" s="8"/>
      <c r="K175" s="9"/>
    </row>
    <row r="176">
      <c r="A176" s="6"/>
      <c r="B176" s="7"/>
      <c r="C176" s="7"/>
      <c r="D176" s="7"/>
      <c r="E176" s="7"/>
      <c r="F176" s="7"/>
      <c r="G176" s="7"/>
      <c r="H176" s="7"/>
      <c r="I176" s="7"/>
      <c r="J176" s="8"/>
      <c r="K176" s="9"/>
    </row>
    <row r="177">
      <c r="A177" s="6"/>
      <c r="B177" s="7"/>
      <c r="C177" s="7"/>
      <c r="D177" s="7"/>
      <c r="E177" s="7"/>
      <c r="F177" s="7"/>
      <c r="G177" s="7"/>
      <c r="H177" s="7"/>
      <c r="I177" s="7"/>
      <c r="J177" s="8"/>
      <c r="K177" s="9"/>
    </row>
    <row r="178">
      <c r="A178" s="6"/>
      <c r="B178" s="7"/>
      <c r="C178" s="7"/>
      <c r="D178" s="7"/>
      <c r="E178" s="7"/>
      <c r="F178" s="7"/>
      <c r="G178" s="7"/>
      <c r="H178" s="7"/>
      <c r="I178" s="7"/>
      <c r="J178" s="8"/>
      <c r="K178" s="9"/>
    </row>
    <row r="179">
      <c r="A179" s="6"/>
      <c r="B179" s="7"/>
      <c r="C179" s="7"/>
      <c r="D179" s="7"/>
      <c r="E179" s="7"/>
      <c r="F179" s="7"/>
      <c r="G179" s="7"/>
      <c r="H179" s="7"/>
      <c r="I179" s="7"/>
      <c r="J179" s="8"/>
      <c r="K179" s="9"/>
    </row>
    <row r="180">
      <c r="A180" s="6"/>
      <c r="B180" s="7"/>
      <c r="C180" s="7"/>
      <c r="D180" s="7"/>
      <c r="E180" s="7"/>
      <c r="F180" s="7"/>
      <c r="G180" s="7"/>
      <c r="H180" s="7"/>
      <c r="I180" s="7"/>
      <c r="J180" s="8"/>
      <c r="K180" s="9"/>
    </row>
    <row r="181">
      <c r="A181" s="6"/>
      <c r="B181" s="7"/>
      <c r="C181" s="7"/>
      <c r="D181" s="7"/>
      <c r="E181" s="7"/>
      <c r="F181" s="7"/>
      <c r="G181" s="7"/>
      <c r="H181" s="7"/>
      <c r="I181" s="7"/>
      <c r="J181" s="8"/>
      <c r="K181" s="9"/>
    </row>
    <row r="182">
      <c r="A182" s="6"/>
      <c r="B182" s="7"/>
      <c r="C182" s="7"/>
      <c r="D182" s="7"/>
      <c r="E182" s="7"/>
      <c r="F182" s="7"/>
      <c r="G182" s="7"/>
      <c r="H182" s="7"/>
      <c r="I182" s="7"/>
      <c r="J182" s="8"/>
      <c r="K182" s="9"/>
    </row>
    <row r="183">
      <c r="A183" s="6"/>
      <c r="B183" s="7"/>
      <c r="C183" s="7"/>
      <c r="D183" s="7"/>
      <c r="E183" s="7"/>
      <c r="F183" s="7"/>
      <c r="G183" s="7"/>
      <c r="H183" s="7"/>
      <c r="I183" s="7"/>
      <c r="J183" s="8"/>
      <c r="K183" s="9"/>
    </row>
    <row r="184">
      <c r="A184" s="6"/>
      <c r="B184" s="7"/>
      <c r="C184" s="7"/>
      <c r="D184" s="7"/>
      <c r="E184" s="7"/>
      <c r="F184" s="7"/>
      <c r="G184" s="7"/>
      <c r="H184" s="7"/>
      <c r="I184" s="7"/>
      <c r="J184" s="8"/>
      <c r="K184" s="9"/>
    </row>
    <row r="185">
      <c r="A185" s="6"/>
      <c r="B185" s="7"/>
      <c r="C185" s="7"/>
      <c r="D185" s="7"/>
      <c r="E185" s="7"/>
      <c r="F185" s="7"/>
      <c r="G185" s="7"/>
      <c r="H185" s="7"/>
      <c r="I185" s="7"/>
      <c r="J185" s="8"/>
      <c r="K185" s="9"/>
    </row>
    <row r="186">
      <c r="A186" s="6"/>
      <c r="B186" s="7"/>
      <c r="C186" s="7"/>
      <c r="D186" s="7"/>
      <c r="E186" s="7"/>
      <c r="F186" s="7"/>
      <c r="G186" s="7"/>
      <c r="H186" s="7"/>
      <c r="I186" s="7"/>
      <c r="J186" s="8"/>
      <c r="K186" s="9"/>
    </row>
    <row r="187">
      <c r="A187" s="6"/>
      <c r="B187" s="7"/>
      <c r="C187" s="7"/>
      <c r="D187" s="7"/>
      <c r="E187" s="7"/>
      <c r="F187" s="7"/>
      <c r="G187" s="7"/>
      <c r="H187" s="7"/>
      <c r="I187" s="7"/>
      <c r="J187" s="8"/>
      <c r="K187" s="9"/>
    </row>
    <row r="188">
      <c r="A188" s="6"/>
      <c r="B188" s="7"/>
      <c r="C188" s="7"/>
      <c r="D188" s="7"/>
      <c r="E188" s="7"/>
      <c r="F188" s="7"/>
      <c r="G188" s="7"/>
      <c r="H188" s="7"/>
      <c r="I188" s="7"/>
      <c r="J188" s="8"/>
      <c r="K188" s="9"/>
    </row>
    <row r="189">
      <c r="A189" s="6"/>
      <c r="B189" s="7"/>
      <c r="C189" s="7"/>
      <c r="D189" s="7"/>
      <c r="E189" s="7"/>
      <c r="F189" s="7"/>
      <c r="G189" s="7"/>
      <c r="H189" s="7"/>
      <c r="I189" s="7"/>
      <c r="J189" s="8"/>
      <c r="K189" s="9"/>
    </row>
    <row r="190">
      <c r="A190" s="6"/>
      <c r="B190" s="7"/>
      <c r="C190" s="7"/>
      <c r="D190" s="7"/>
      <c r="E190" s="7"/>
      <c r="F190" s="7"/>
      <c r="G190" s="7"/>
      <c r="H190" s="7"/>
      <c r="I190" s="7"/>
      <c r="J190" s="8"/>
      <c r="K190" s="9"/>
    </row>
    <row r="191">
      <c r="A191" s="6"/>
      <c r="B191" s="7"/>
      <c r="C191" s="7"/>
      <c r="D191" s="7"/>
      <c r="E191" s="7"/>
      <c r="F191" s="7"/>
      <c r="G191" s="7"/>
      <c r="H191" s="7"/>
      <c r="I191" s="7"/>
      <c r="J191" s="8"/>
      <c r="K191" s="9"/>
    </row>
    <row r="192">
      <c r="A192" s="6"/>
      <c r="B192" s="7"/>
      <c r="C192" s="7"/>
      <c r="D192" s="7"/>
      <c r="E192" s="7"/>
      <c r="F192" s="7"/>
      <c r="G192" s="7"/>
      <c r="H192" s="7"/>
      <c r="I192" s="7"/>
      <c r="J192" s="8"/>
      <c r="K192" s="9"/>
    </row>
    <row r="193">
      <c r="A193" s="6"/>
      <c r="B193" s="7"/>
      <c r="C193" s="7"/>
      <c r="D193" s="7"/>
      <c r="E193" s="7"/>
      <c r="F193" s="7"/>
      <c r="G193" s="7"/>
      <c r="H193" s="7"/>
      <c r="I193" s="7"/>
      <c r="J193" s="8"/>
      <c r="K193" s="9"/>
    </row>
    <row r="194">
      <c r="A194" s="6"/>
      <c r="B194" s="7"/>
      <c r="C194" s="7"/>
      <c r="D194" s="7"/>
      <c r="E194" s="7"/>
      <c r="F194" s="7"/>
      <c r="G194" s="7"/>
      <c r="H194" s="7"/>
      <c r="I194" s="7"/>
      <c r="J194" s="8"/>
      <c r="K194" s="9"/>
    </row>
    <row r="195">
      <c r="A195" s="6"/>
      <c r="B195" s="7"/>
      <c r="C195" s="7"/>
      <c r="D195" s="7"/>
      <c r="E195" s="7"/>
      <c r="F195" s="7"/>
      <c r="G195" s="7"/>
      <c r="H195" s="7"/>
      <c r="I195" s="7"/>
      <c r="J195" s="8"/>
      <c r="K195" s="9"/>
    </row>
    <row r="196">
      <c r="A196" s="6"/>
      <c r="B196" s="7"/>
      <c r="C196" s="7"/>
      <c r="D196" s="7"/>
      <c r="E196" s="7"/>
      <c r="F196" s="7"/>
      <c r="G196" s="7"/>
      <c r="H196" s="7"/>
      <c r="I196" s="7"/>
      <c r="J196" s="8"/>
      <c r="K196" s="9"/>
    </row>
    <row r="197">
      <c r="A197" s="6"/>
      <c r="B197" s="7"/>
      <c r="C197" s="7"/>
      <c r="D197" s="7"/>
      <c r="E197" s="7"/>
      <c r="F197" s="7"/>
      <c r="G197" s="7"/>
      <c r="H197" s="7"/>
      <c r="I197" s="7"/>
      <c r="J197" s="8"/>
      <c r="K197" s="9"/>
    </row>
    <row r="198">
      <c r="A198" s="6"/>
      <c r="B198" s="7"/>
      <c r="C198" s="7"/>
      <c r="D198" s="7"/>
      <c r="E198" s="7"/>
      <c r="F198" s="7"/>
      <c r="G198" s="7"/>
      <c r="H198" s="7"/>
      <c r="I198" s="7"/>
      <c r="J198" s="8"/>
      <c r="K198" s="9"/>
    </row>
    <row r="199">
      <c r="A199" s="6"/>
      <c r="B199" s="7"/>
      <c r="C199" s="7"/>
      <c r="D199" s="7"/>
      <c r="E199" s="7"/>
      <c r="F199" s="7"/>
      <c r="G199" s="7"/>
      <c r="H199" s="7"/>
      <c r="I199" s="7"/>
      <c r="J199" s="8"/>
      <c r="K199" s="9"/>
    </row>
    <row r="200">
      <c r="A200" s="6"/>
      <c r="B200" s="7"/>
      <c r="C200" s="7"/>
      <c r="D200" s="7"/>
      <c r="E200" s="7"/>
      <c r="F200" s="7"/>
      <c r="G200" s="7"/>
      <c r="H200" s="7"/>
      <c r="I200" s="7"/>
      <c r="J200" s="8"/>
      <c r="K200" s="9"/>
    </row>
    <row r="201">
      <c r="A201" s="6"/>
      <c r="B201" s="7"/>
      <c r="C201" s="7"/>
      <c r="D201" s="7"/>
      <c r="E201" s="7"/>
      <c r="F201" s="7"/>
      <c r="G201" s="7"/>
      <c r="H201" s="7"/>
      <c r="I201" s="7"/>
      <c r="J201" s="8"/>
      <c r="K201" s="9"/>
    </row>
    <row r="202">
      <c r="A202" s="6"/>
      <c r="B202" s="7"/>
      <c r="C202" s="7"/>
      <c r="D202" s="7"/>
      <c r="E202" s="7"/>
      <c r="F202" s="7"/>
      <c r="G202" s="7"/>
      <c r="H202" s="7"/>
      <c r="I202" s="7"/>
      <c r="J202" s="8"/>
      <c r="K202" s="9"/>
    </row>
    <row r="203">
      <c r="A203" s="6"/>
      <c r="B203" s="7"/>
      <c r="C203" s="7"/>
      <c r="D203" s="7"/>
      <c r="E203" s="7"/>
      <c r="F203" s="7"/>
      <c r="G203" s="7"/>
      <c r="H203" s="7"/>
      <c r="I203" s="7"/>
      <c r="J203" s="8"/>
      <c r="K203" s="9"/>
    </row>
    <row r="204">
      <c r="A204" s="6"/>
      <c r="B204" s="7"/>
      <c r="C204" s="7"/>
      <c r="D204" s="7"/>
      <c r="E204" s="7"/>
      <c r="F204" s="7"/>
      <c r="G204" s="7"/>
      <c r="H204" s="7"/>
      <c r="I204" s="7"/>
      <c r="J204" s="8"/>
      <c r="K204" s="9"/>
    </row>
    <row r="205">
      <c r="A205" s="6"/>
      <c r="B205" s="7"/>
      <c r="C205" s="7"/>
      <c r="D205" s="7"/>
      <c r="E205" s="7"/>
      <c r="F205" s="7"/>
      <c r="G205" s="7"/>
      <c r="H205" s="7"/>
      <c r="I205" s="7"/>
      <c r="J205" s="8"/>
      <c r="K205" s="9"/>
    </row>
    <row r="206">
      <c r="A206" s="6"/>
      <c r="B206" s="7"/>
      <c r="C206" s="7"/>
      <c r="D206" s="7"/>
      <c r="E206" s="7"/>
      <c r="F206" s="7"/>
      <c r="G206" s="7"/>
      <c r="H206" s="7"/>
      <c r="I206" s="7"/>
      <c r="J206" s="8"/>
      <c r="K206" s="9"/>
    </row>
    <row r="207">
      <c r="A207" s="6"/>
      <c r="B207" s="7"/>
      <c r="C207" s="7"/>
      <c r="D207" s="7"/>
      <c r="E207" s="7"/>
      <c r="F207" s="7"/>
      <c r="G207" s="7"/>
      <c r="H207" s="7"/>
      <c r="I207" s="7"/>
      <c r="J207" s="8"/>
      <c r="K207" s="9"/>
    </row>
    <row r="208">
      <c r="A208" s="6"/>
      <c r="B208" s="7"/>
      <c r="C208" s="7"/>
      <c r="D208" s="7"/>
      <c r="E208" s="7"/>
      <c r="F208" s="7"/>
      <c r="G208" s="7"/>
      <c r="H208" s="7"/>
      <c r="I208" s="7"/>
      <c r="J208" s="8"/>
      <c r="K208" s="9"/>
    </row>
    <row r="209">
      <c r="A209" s="6"/>
      <c r="B209" s="7"/>
      <c r="C209" s="7"/>
      <c r="D209" s="7"/>
      <c r="E209" s="7"/>
      <c r="F209" s="7"/>
      <c r="G209" s="7"/>
      <c r="H209" s="7"/>
      <c r="I209" s="7"/>
      <c r="J209" s="8"/>
      <c r="K209" s="9"/>
    </row>
    <row r="210">
      <c r="A210" s="6"/>
      <c r="B210" s="7"/>
      <c r="C210" s="7"/>
      <c r="D210" s="7"/>
      <c r="E210" s="7"/>
      <c r="F210" s="7"/>
      <c r="G210" s="7"/>
      <c r="H210" s="7"/>
      <c r="I210" s="7"/>
      <c r="J210" s="8"/>
      <c r="K210" s="9"/>
    </row>
    <row r="211">
      <c r="A211" s="6"/>
      <c r="B211" s="7"/>
      <c r="C211" s="7"/>
      <c r="D211" s="7"/>
      <c r="E211" s="7"/>
      <c r="F211" s="7"/>
      <c r="G211" s="7"/>
      <c r="H211" s="7"/>
      <c r="I211" s="7"/>
      <c r="J211" s="8"/>
      <c r="K211" s="9"/>
    </row>
    <row r="212">
      <c r="A212" s="6"/>
      <c r="B212" s="7"/>
      <c r="C212" s="7"/>
      <c r="D212" s="7"/>
      <c r="E212" s="7"/>
      <c r="F212" s="7"/>
      <c r="G212" s="7"/>
      <c r="H212" s="7"/>
      <c r="I212" s="7"/>
      <c r="J212" s="8"/>
      <c r="K212" s="9"/>
    </row>
    <row r="213">
      <c r="A213" s="6"/>
      <c r="B213" s="7"/>
      <c r="C213" s="7"/>
      <c r="D213" s="7"/>
      <c r="E213" s="7"/>
      <c r="F213" s="7"/>
      <c r="G213" s="7"/>
      <c r="H213" s="7"/>
      <c r="I213" s="7"/>
      <c r="J213" s="8"/>
      <c r="K213" s="9"/>
    </row>
    <row r="214">
      <c r="A214" s="6"/>
      <c r="B214" s="7"/>
      <c r="C214" s="7"/>
      <c r="D214" s="7"/>
      <c r="E214" s="7"/>
      <c r="F214" s="7"/>
      <c r="G214" s="7"/>
      <c r="H214" s="7"/>
      <c r="I214" s="7"/>
      <c r="J214" s="8"/>
      <c r="K214" s="9"/>
    </row>
    <row r="215">
      <c r="A215" s="6"/>
      <c r="B215" s="7"/>
      <c r="C215" s="7"/>
      <c r="D215" s="7"/>
      <c r="E215" s="7"/>
      <c r="F215" s="7"/>
      <c r="G215" s="7"/>
      <c r="H215" s="7"/>
      <c r="I215" s="7"/>
      <c r="J215" s="8"/>
      <c r="K215" s="9"/>
    </row>
    <row r="216">
      <c r="A216" s="6"/>
      <c r="B216" s="7"/>
      <c r="C216" s="7"/>
      <c r="D216" s="7"/>
      <c r="E216" s="7"/>
      <c r="F216" s="7"/>
      <c r="G216" s="7"/>
      <c r="H216" s="7"/>
      <c r="I216" s="7"/>
      <c r="J216" s="8"/>
      <c r="K216" s="9"/>
    </row>
    <row r="217">
      <c r="A217" s="6"/>
      <c r="B217" s="7"/>
      <c r="C217" s="7"/>
      <c r="D217" s="7"/>
      <c r="E217" s="7"/>
      <c r="F217" s="7"/>
      <c r="G217" s="7"/>
      <c r="H217" s="7"/>
      <c r="I217" s="7"/>
      <c r="J217" s="8"/>
      <c r="K217" s="9"/>
    </row>
    <row r="218">
      <c r="A218" s="6"/>
      <c r="B218" s="7"/>
      <c r="C218" s="7"/>
      <c r="D218" s="7"/>
      <c r="E218" s="7"/>
      <c r="F218" s="7"/>
      <c r="G218" s="7"/>
      <c r="H218" s="7"/>
      <c r="I218" s="7"/>
      <c r="J218" s="8"/>
      <c r="K218" s="9"/>
    </row>
    <row r="219">
      <c r="A219" s="6"/>
      <c r="B219" s="7"/>
      <c r="C219" s="7"/>
      <c r="D219" s="7"/>
      <c r="E219" s="7"/>
      <c r="F219" s="7"/>
      <c r="G219" s="7"/>
      <c r="H219" s="7"/>
      <c r="I219" s="7"/>
      <c r="J219" s="8"/>
      <c r="K219" s="9"/>
    </row>
    <row r="220">
      <c r="A220" s="6"/>
      <c r="B220" s="7"/>
      <c r="C220" s="7"/>
      <c r="D220" s="7"/>
      <c r="E220" s="7"/>
      <c r="F220" s="7"/>
      <c r="G220" s="7"/>
      <c r="H220" s="7"/>
      <c r="I220" s="7"/>
      <c r="J220" s="8"/>
      <c r="K220" s="9"/>
    </row>
    <row r="221">
      <c r="A221" s="6"/>
      <c r="B221" s="7"/>
      <c r="C221" s="7"/>
      <c r="D221" s="7"/>
      <c r="E221" s="7"/>
      <c r="F221" s="7"/>
      <c r="G221" s="7"/>
      <c r="H221" s="7"/>
      <c r="I221" s="7"/>
      <c r="J221" s="8"/>
      <c r="K221" s="9"/>
    </row>
    <row r="222">
      <c r="A222" s="6"/>
      <c r="B222" s="7"/>
      <c r="C222" s="7"/>
      <c r="D222" s="7"/>
      <c r="E222" s="7"/>
      <c r="F222" s="7"/>
      <c r="G222" s="7"/>
      <c r="H222" s="7"/>
      <c r="I222" s="7"/>
      <c r="J222" s="8"/>
      <c r="K222" s="9"/>
    </row>
    <row r="223">
      <c r="A223" s="6"/>
      <c r="B223" s="7"/>
      <c r="C223" s="7"/>
      <c r="D223" s="7"/>
      <c r="E223" s="7"/>
      <c r="F223" s="7"/>
      <c r="G223" s="7"/>
      <c r="H223" s="7"/>
      <c r="I223" s="7"/>
      <c r="J223" s="8"/>
      <c r="K223" s="9"/>
    </row>
    <row r="224">
      <c r="A224" s="6"/>
      <c r="B224" s="7"/>
      <c r="C224" s="7"/>
      <c r="D224" s="7"/>
      <c r="E224" s="7"/>
      <c r="F224" s="7"/>
      <c r="G224" s="7"/>
      <c r="H224" s="7"/>
      <c r="I224" s="7"/>
      <c r="J224" s="8"/>
      <c r="K224" s="9"/>
    </row>
    <row r="225">
      <c r="A225" s="6"/>
      <c r="B225" s="7"/>
      <c r="C225" s="7"/>
      <c r="D225" s="7"/>
      <c r="E225" s="7"/>
      <c r="F225" s="7"/>
      <c r="G225" s="7"/>
      <c r="H225" s="7"/>
      <c r="I225" s="7"/>
      <c r="J225" s="8"/>
      <c r="K225" s="9"/>
    </row>
    <row r="226">
      <c r="A226" s="6"/>
      <c r="B226" s="7"/>
      <c r="C226" s="7"/>
      <c r="D226" s="7"/>
      <c r="E226" s="7"/>
      <c r="F226" s="7"/>
      <c r="G226" s="7"/>
      <c r="H226" s="7"/>
      <c r="I226" s="7"/>
      <c r="J226" s="8"/>
      <c r="K226" s="9"/>
    </row>
    <row r="227">
      <c r="A227" s="6"/>
      <c r="B227" s="7"/>
      <c r="C227" s="7"/>
      <c r="D227" s="7"/>
      <c r="E227" s="7"/>
      <c r="F227" s="7"/>
      <c r="G227" s="7"/>
      <c r="H227" s="7"/>
      <c r="I227" s="7"/>
      <c r="J227" s="8"/>
      <c r="K227" s="9"/>
    </row>
    <row r="228">
      <c r="A228" s="6"/>
      <c r="B228" s="7"/>
      <c r="C228" s="7"/>
      <c r="D228" s="7"/>
      <c r="E228" s="7"/>
      <c r="F228" s="7"/>
      <c r="G228" s="7"/>
      <c r="H228" s="7"/>
      <c r="I228" s="7"/>
      <c r="J228" s="8"/>
      <c r="K228" s="9"/>
    </row>
    <row r="229">
      <c r="A229" s="6"/>
      <c r="B229" s="7"/>
      <c r="C229" s="7"/>
      <c r="D229" s="7"/>
      <c r="E229" s="7"/>
      <c r="F229" s="7"/>
      <c r="G229" s="7"/>
      <c r="H229" s="7"/>
      <c r="I229" s="7"/>
      <c r="J229" s="8"/>
      <c r="K229" s="9"/>
    </row>
    <row r="230">
      <c r="A230" s="6"/>
      <c r="B230" s="7"/>
      <c r="C230" s="7"/>
      <c r="D230" s="7"/>
      <c r="E230" s="7"/>
      <c r="F230" s="7"/>
      <c r="G230" s="7"/>
      <c r="H230" s="7"/>
      <c r="I230" s="7"/>
      <c r="J230" s="8"/>
      <c r="K230" s="9"/>
    </row>
    <row r="231">
      <c r="A231" s="6"/>
      <c r="B231" s="7"/>
      <c r="C231" s="7"/>
      <c r="D231" s="7"/>
      <c r="E231" s="7"/>
      <c r="F231" s="7"/>
      <c r="G231" s="7"/>
      <c r="H231" s="7"/>
      <c r="I231" s="7"/>
      <c r="J231" s="8"/>
      <c r="K231" s="9"/>
    </row>
    <row r="232">
      <c r="A232" s="6"/>
      <c r="B232" s="7"/>
      <c r="C232" s="7"/>
      <c r="D232" s="7"/>
      <c r="E232" s="7"/>
      <c r="F232" s="7"/>
      <c r="G232" s="7"/>
      <c r="H232" s="7"/>
      <c r="I232" s="7"/>
      <c r="J232" s="8"/>
      <c r="K232" s="9"/>
    </row>
    <row r="233">
      <c r="A233" s="6"/>
      <c r="B233" s="7"/>
      <c r="C233" s="7"/>
      <c r="D233" s="7"/>
      <c r="E233" s="7"/>
      <c r="F233" s="7"/>
      <c r="G233" s="7"/>
      <c r="H233" s="7"/>
      <c r="I233" s="7"/>
      <c r="J233" s="8"/>
      <c r="K233" s="9"/>
    </row>
    <row r="234">
      <c r="A234" s="6"/>
      <c r="B234" s="7"/>
      <c r="C234" s="7"/>
      <c r="D234" s="7"/>
      <c r="E234" s="7"/>
      <c r="F234" s="7"/>
      <c r="G234" s="7"/>
      <c r="H234" s="7"/>
      <c r="I234" s="7"/>
      <c r="J234" s="8"/>
      <c r="K234" s="9"/>
    </row>
    <row r="235">
      <c r="A235" s="6"/>
      <c r="B235" s="7"/>
      <c r="C235" s="7"/>
      <c r="D235" s="7"/>
      <c r="E235" s="7"/>
      <c r="F235" s="7"/>
      <c r="G235" s="7"/>
      <c r="H235" s="7"/>
      <c r="I235" s="7"/>
      <c r="J235" s="8"/>
      <c r="K235" s="9"/>
    </row>
    <row r="236">
      <c r="A236" s="6"/>
      <c r="B236" s="7"/>
      <c r="C236" s="7"/>
      <c r="D236" s="7"/>
      <c r="E236" s="7"/>
      <c r="F236" s="7"/>
      <c r="G236" s="7"/>
      <c r="H236" s="7"/>
      <c r="I236" s="7"/>
      <c r="J236" s="8"/>
      <c r="K236" s="9"/>
    </row>
    <row r="237">
      <c r="A237" s="6"/>
      <c r="B237" s="7"/>
      <c r="C237" s="7"/>
      <c r="D237" s="7"/>
      <c r="E237" s="7"/>
      <c r="F237" s="7"/>
      <c r="G237" s="7"/>
      <c r="H237" s="7"/>
      <c r="I237" s="7"/>
      <c r="J237" s="8"/>
      <c r="K237" s="9"/>
    </row>
    <row r="238">
      <c r="A238" s="6"/>
      <c r="B238" s="7"/>
      <c r="C238" s="7"/>
      <c r="D238" s="7"/>
      <c r="E238" s="7"/>
      <c r="F238" s="7"/>
      <c r="G238" s="7"/>
      <c r="H238" s="7"/>
      <c r="I238" s="7"/>
      <c r="J238" s="8"/>
      <c r="K238" s="9"/>
    </row>
    <row r="239">
      <c r="A239" s="6"/>
      <c r="B239" s="7"/>
      <c r="C239" s="7"/>
      <c r="D239" s="7"/>
      <c r="E239" s="7"/>
      <c r="F239" s="7"/>
      <c r="G239" s="7"/>
      <c r="H239" s="7"/>
      <c r="I239" s="7"/>
      <c r="J239" s="8"/>
      <c r="K239" s="9"/>
    </row>
    <row r="240">
      <c r="A240" s="6"/>
      <c r="B240" s="7"/>
      <c r="C240" s="7"/>
      <c r="D240" s="7"/>
      <c r="E240" s="7"/>
      <c r="F240" s="7"/>
      <c r="G240" s="7"/>
      <c r="H240" s="7"/>
      <c r="I240" s="7"/>
      <c r="J240" s="8"/>
      <c r="K240" s="9"/>
    </row>
    <row r="241">
      <c r="A241" s="6"/>
      <c r="B241" s="7"/>
      <c r="C241" s="7"/>
      <c r="D241" s="7"/>
      <c r="E241" s="7"/>
      <c r="F241" s="7"/>
      <c r="G241" s="7"/>
      <c r="H241" s="7"/>
      <c r="I241" s="7"/>
      <c r="J241" s="8"/>
      <c r="K241" s="9"/>
    </row>
    <row r="242">
      <c r="A242" s="6"/>
      <c r="B242" s="7"/>
      <c r="C242" s="7"/>
      <c r="D242" s="7"/>
      <c r="E242" s="7"/>
      <c r="F242" s="7"/>
      <c r="G242" s="7"/>
      <c r="H242" s="7"/>
      <c r="I242" s="7"/>
      <c r="J242" s="8"/>
      <c r="K242" s="9"/>
    </row>
    <row r="243">
      <c r="A243" s="6"/>
      <c r="B243" s="7"/>
      <c r="C243" s="7"/>
      <c r="D243" s="7"/>
      <c r="E243" s="7"/>
      <c r="F243" s="7"/>
      <c r="G243" s="7"/>
      <c r="H243" s="7"/>
      <c r="I243" s="7"/>
      <c r="J243" s="8"/>
      <c r="K243" s="9"/>
    </row>
    <row r="244">
      <c r="A244" s="6"/>
      <c r="B244" s="7"/>
      <c r="C244" s="7"/>
      <c r="D244" s="7"/>
      <c r="E244" s="7"/>
      <c r="F244" s="7"/>
      <c r="G244" s="7"/>
      <c r="H244" s="7"/>
      <c r="I244" s="7"/>
      <c r="J244" s="8"/>
      <c r="K244" s="9"/>
    </row>
    <row r="245">
      <c r="A245" s="6"/>
      <c r="B245" s="7"/>
      <c r="C245" s="7"/>
      <c r="D245" s="7"/>
      <c r="E245" s="7"/>
      <c r="F245" s="7"/>
      <c r="G245" s="7"/>
      <c r="H245" s="7"/>
      <c r="I245" s="7"/>
      <c r="J245" s="8"/>
      <c r="K245" s="9"/>
    </row>
    <row r="246">
      <c r="A246" s="6"/>
      <c r="B246" s="7"/>
      <c r="C246" s="7"/>
      <c r="D246" s="7"/>
      <c r="E246" s="7"/>
      <c r="F246" s="7"/>
      <c r="G246" s="7"/>
      <c r="H246" s="7"/>
      <c r="I246" s="7"/>
      <c r="J246" s="8"/>
      <c r="K246" s="9"/>
    </row>
    <row r="247">
      <c r="A247" s="6"/>
      <c r="B247" s="7"/>
      <c r="C247" s="7"/>
      <c r="D247" s="7"/>
      <c r="E247" s="7"/>
      <c r="F247" s="7"/>
      <c r="G247" s="7"/>
      <c r="H247" s="7"/>
      <c r="I247" s="7"/>
      <c r="J247" s="8"/>
      <c r="K247" s="9"/>
    </row>
    <row r="248">
      <c r="A248" s="6"/>
      <c r="B248" s="7"/>
      <c r="C248" s="7"/>
      <c r="D248" s="7"/>
      <c r="E248" s="7"/>
      <c r="F248" s="7"/>
      <c r="G248" s="7"/>
      <c r="H248" s="7"/>
      <c r="I248" s="7"/>
      <c r="J248" s="8"/>
      <c r="K248" s="9"/>
    </row>
    <row r="249">
      <c r="A249" s="6"/>
      <c r="B249" s="7"/>
      <c r="C249" s="7"/>
      <c r="D249" s="7"/>
      <c r="E249" s="7"/>
      <c r="F249" s="7"/>
      <c r="G249" s="7"/>
      <c r="H249" s="7"/>
      <c r="I249" s="7"/>
      <c r="J249" s="8"/>
      <c r="K249" s="9"/>
    </row>
    <row r="250">
      <c r="A250" s="6"/>
      <c r="B250" s="7"/>
      <c r="C250" s="7"/>
      <c r="D250" s="7"/>
      <c r="E250" s="7"/>
      <c r="F250" s="7"/>
      <c r="G250" s="7"/>
      <c r="H250" s="7"/>
      <c r="I250" s="7"/>
      <c r="J250" s="8"/>
      <c r="K250" s="9"/>
    </row>
    <row r="251">
      <c r="A251" s="6"/>
      <c r="B251" s="7"/>
      <c r="C251" s="7"/>
      <c r="D251" s="7"/>
      <c r="E251" s="7"/>
      <c r="F251" s="7"/>
      <c r="G251" s="7"/>
      <c r="H251" s="7"/>
      <c r="I251" s="7"/>
      <c r="J251" s="8"/>
      <c r="K251" s="9"/>
    </row>
    <row r="252">
      <c r="A252" s="6"/>
      <c r="B252" s="7"/>
      <c r="C252" s="7"/>
      <c r="D252" s="7"/>
      <c r="E252" s="7"/>
      <c r="F252" s="7"/>
      <c r="G252" s="7"/>
      <c r="H252" s="7"/>
      <c r="I252" s="7"/>
      <c r="J252" s="8"/>
      <c r="K252" s="9"/>
    </row>
    <row r="253">
      <c r="A253" s="6"/>
      <c r="B253" s="7"/>
      <c r="C253" s="7"/>
      <c r="D253" s="7"/>
      <c r="E253" s="7"/>
      <c r="F253" s="7"/>
      <c r="G253" s="7"/>
      <c r="H253" s="7"/>
      <c r="I253" s="7"/>
      <c r="J253" s="8"/>
      <c r="K253" s="9"/>
    </row>
    <row r="254">
      <c r="A254" s="6"/>
      <c r="B254" s="7"/>
      <c r="C254" s="7"/>
      <c r="D254" s="7"/>
      <c r="E254" s="7"/>
      <c r="F254" s="7"/>
      <c r="G254" s="7"/>
      <c r="H254" s="7"/>
      <c r="I254" s="7"/>
      <c r="J254" s="8"/>
      <c r="K254" s="9"/>
    </row>
    <row r="255">
      <c r="A255" s="6"/>
      <c r="B255" s="7"/>
      <c r="C255" s="7"/>
      <c r="D255" s="7"/>
      <c r="E255" s="7"/>
      <c r="F255" s="7"/>
      <c r="G255" s="7"/>
      <c r="H255" s="7"/>
      <c r="I255" s="7"/>
      <c r="J255" s="8"/>
      <c r="K255" s="9"/>
    </row>
    <row r="256">
      <c r="A256" s="6"/>
      <c r="B256" s="7"/>
      <c r="C256" s="7"/>
      <c r="D256" s="7"/>
      <c r="E256" s="7"/>
      <c r="F256" s="7"/>
      <c r="G256" s="7"/>
      <c r="H256" s="7"/>
      <c r="I256" s="7"/>
      <c r="J256" s="8"/>
      <c r="K256" s="9"/>
    </row>
    <row r="257">
      <c r="A257" s="6"/>
      <c r="B257" s="7"/>
      <c r="C257" s="7"/>
      <c r="D257" s="7"/>
      <c r="E257" s="7"/>
      <c r="F257" s="7"/>
      <c r="G257" s="7"/>
      <c r="H257" s="7"/>
      <c r="I257" s="7"/>
      <c r="J257" s="8"/>
      <c r="K257" s="9"/>
    </row>
    <row r="258">
      <c r="A258" s="6"/>
      <c r="B258" s="7"/>
      <c r="C258" s="7"/>
      <c r="D258" s="7"/>
      <c r="E258" s="7"/>
      <c r="F258" s="7"/>
      <c r="G258" s="7"/>
      <c r="H258" s="7"/>
      <c r="I258" s="7"/>
      <c r="J258" s="8"/>
      <c r="K258" s="9"/>
    </row>
    <row r="259">
      <c r="A259" s="6"/>
      <c r="B259" s="7"/>
      <c r="C259" s="7"/>
      <c r="D259" s="7"/>
      <c r="E259" s="7"/>
      <c r="F259" s="7"/>
      <c r="G259" s="7"/>
      <c r="H259" s="7"/>
      <c r="I259" s="7"/>
      <c r="J259" s="8"/>
      <c r="K259" s="9"/>
    </row>
    <row r="260">
      <c r="A260" s="6"/>
      <c r="B260" s="7"/>
      <c r="C260" s="7"/>
      <c r="D260" s="7"/>
      <c r="E260" s="7"/>
      <c r="F260" s="7"/>
      <c r="G260" s="7"/>
      <c r="H260" s="7"/>
      <c r="I260" s="7"/>
      <c r="J260" s="8"/>
      <c r="K260" s="9"/>
    </row>
    <row r="261">
      <c r="A261" s="6"/>
      <c r="B261" s="7"/>
      <c r="C261" s="7"/>
      <c r="D261" s="7"/>
      <c r="E261" s="7"/>
      <c r="F261" s="7"/>
      <c r="G261" s="7"/>
      <c r="H261" s="7"/>
      <c r="I261" s="7"/>
      <c r="J261" s="8"/>
      <c r="K261" s="9"/>
    </row>
    <row r="262">
      <c r="A262" s="6"/>
      <c r="B262" s="7"/>
      <c r="C262" s="7"/>
      <c r="D262" s="7"/>
      <c r="E262" s="7"/>
      <c r="F262" s="7"/>
      <c r="G262" s="7"/>
      <c r="H262" s="7"/>
      <c r="I262" s="7"/>
      <c r="J262" s="8"/>
      <c r="K262" s="9"/>
    </row>
    <row r="263">
      <c r="A263" s="6"/>
      <c r="B263" s="7"/>
      <c r="C263" s="7"/>
      <c r="D263" s="7"/>
      <c r="E263" s="7"/>
      <c r="F263" s="7"/>
      <c r="G263" s="7"/>
      <c r="H263" s="7"/>
      <c r="I263" s="7"/>
      <c r="J263" s="8"/>
      <c r="K263" s="9"/>
    </row>
    <row r="264">
      <c r="A264" s="6"/>
      <c r="B264" s="7"/>
      <c r="C264" s="7"/>
      <c r="D264" s="7"/>
      <c r="E264" s="7"/>
      <c r="F264" s="7"/>
      <c r="G264" s="7"/>
      <c r="H264" s="7"/>
      <c r="I264" s="7"/>
      <c r="J264" s="8"/>
      <c r="K264" s="9"/>
    </row>
    <row r="265">
      <c r="A265" s="6"/>
      <c r="B265" s="7"/>
      <c r="C265" s="7"/>
      <c r="D265" s="7"/>
      <c r="E265" s="7"/>
      <c r="F265" s="7"/>
      <c r="G265" s="7"/>
      <c r="H265" s="7"/>
      <c r="I265" s="7"/>
      <c r="J265" s="8"/>
      <c r="K265" s="9"/>
    </row>
    <row r="266">
      <c r="A266" s="6"/>
      <c r="B266" s="7"/>
      <c r="C266" s="7"/>
      <c r="D266" s="7"/>
      <c r="E266" s="7"/>
      <c r="F266" s="7"/>
      <c r="G266" s="7"/>
      <c r="H266" s="7"/>
      <c r="I266" s="7"/>
      <c r="J266" s="8"/>
      <c r="K266" s="9"/>
    </row>
    <row r="267">
      <c r="A267" s="6"/>
      <c r="B267" s="7"/>
      <c r="C267" s="7"/>
      <c r="D267" s="7"/>
      <c r="E267" s="7"/>
      <c r="F267" s="7"/>
      <c r="G267" s="7"/>
      <c r="H267" s="7"/>
      <c r="I267" s="7"/>
      <c r="J267" s="8"/>
      <c r="K267" s="9"/>
    </row>
    <row r="268">
      <c r="A268" s="6"/>
      <c r="B268" s="7"/>
      <c r="C268" s="7"/>
      <c r="D268" s="7"/>
      <c r="E268" s="7"/>
      <c r="F268" s="7"/>
      <c r="G268" s="7"/>
      <c r="H268" s="7"/>
      <c r="I268" s="7"/>
      <c r="J268" s="8"/>
      <c r="K268" s="9"/>
    </row>
    <row r="269">
      <c r="A269" s="6"/>
      <c r="B269" s="7"/>
      <c r="C269" s="7"/>
      <c r="D269" s="7"/>
      <c r="E269" s="7"/>
      <c r="F269" s="7"/>
      <c r="G269" s="7"/>
      <c r="H269" s="7"/>
      <c r="I269" s="7"/>
      <c r="J269" s="8"/>
      <c r="K269" s="9"/>
    </row>
    <row r="270">
      <c r="A270" s="6"/>
      <c r="B270" s="7"/>
      <c r="C270" s="7"/>
      <c r="D270" s="7"/>
      <c r="E270" s="7"/>
      <c r="F270" s="7"/>
      <c r="G270" s="7"/>
      <c r="H270" s="7"/>
      <c r="I270" s="7"/>
      <c r="J270" s="8"/>
      <c r="K270" s="9"/>
    </row>
    <row r="271">
      <c r="A271" s="6"/>
      <c r="B271" s="7"/>
      <c r="C271" s="7"/>
      <c r="D271" s="7"/>
      <c r="E271" s="7"/>
      <c r="F271" s="7"/>
      <c r="G271" s="7"/>
      <c r="H271" s="7"/>
      <c r="I271" s="7"/>
      <c r="J271" s="8"/>
      <c r="K271" s="9"/>
    </row>
    <row r="272">
      <c r="A272" s="6"/>
      <c r="B272" s="7"/>
      <c r="C272" s="7"/>
      <c r="D272" s="7"/>
      <c r="E272" s="7"/>
      <c r="F272" s="7"/>
      <c r="G272" s="7"/>
      <c r="H272" s="7"/>
      <c r="I272" s="7"/>
      <c r="J272" s="8"/>
      <c r="K272" s="9"/>
    </row>
    <row r="273">
      <c r="A273" s="6"/>
      <c r="B273" s="7"/>
      <c r="C273" s="7"/>
      <c r="D273" s="7"/>
      <c r="E273" s="7"/>
      <c r="F273" s="7"/>
      <c r="G273" s="7"/>
      <c r="H273" s="7"/>
      <c r="I273" s="7"/>
      <c r="J273" s="8"/>
      <c r="K273" s="9"/>
    </row>
    <row r="274">
      <c r="A274" s="6"/>
      <c r="B274" s="7"/>
      <c r="C274" s="7"/>
      <c r="D274" s="7"/>
      <c r="E274" s="7"/>
      <c r="F274" s="7"/>
      <c r="G274" s="7"/>
      <c r="H274" s="7"/>
      <c r="I274" s="7"/>
      <c r="J274" s="8"/>
      <c r="K274" s="9"/>
    </row>
    <row r="275">
      <c r="A275" s="6"/>
      <c r="B275" s="7"/>
      <c r="C275" s="7"/>
      <c r="D275" s="7"/>
      <c r="E275" s="7"/>
      <c r="F275" s="7"/>
      <c r="G275" s="7"/>
      <c r="H275" s="7"/>
      <c r="I275" s="7"/>
      <c r="J275" s="8"/>
      <c r="K275" s="9"/>
    </row>
    <row r="276">
      <c r="A276" s="6"/>
      <c r="B276" s="7"/>
      <c r="C276" s="7"/>
      <c r="D276" s="7"/>
      <c r="E276" s="7"/>
      <c r="F276" s="7"/>
      <c r="G276" s="7"/>
      <c r="H276" s="7"/>
      <c r="I276" s="7"/>
      <c r="J276" s="8"/>
      <c r="K276" s="9"/>
    </row>
    <row r="277">
      <c r="A277" s="6"/>
      <c r="B277" s="7"/>
      <c r="C277" s="7"/>
      <c r="D277" s="7"/>
      <c r="E277" s="7"/>
      <c r="F277" s="7"/>
      <c r="G277" s="7"/>
      <c r="H277" s="7"/>
      <c r="I277" s="7"/>
      <c r="J277" s="8"/>
      <c r="K277" s="9"/>
    </row>
    <row r="278">
      <c r="A278" s="6"/>
      <c r="B278" s="7"/>
      <c r="C278" s="7"/>
      <c r="D278" s="7"/>
      <c r="E278" s="7"/>
      <c r="F278" s="7"/>
      <c r="G278" s="7"/>
      <c r="H278" s="7"/>
      <c r="I278" s="7"/>
      <c r="J278" s="8"/>
      <c r="K278" s="9"/>
    </row>
    <row r="279">
      <c r="A279" s="6"/>
      <c r="B279" s="7"/>
      <c r="C279" s="7"/>
      <c r="D279" s="7"/>
      <c r="E279" s="7"/>
      <c r="F279" s="7"/>
      <c r="G279" s="7"/>
      <c r="H279" s="7"/>
      <c r="I279" s="7"/>
      <c r="J279" s="8"/>
      <c r="K279" s="9"/>
    </row>
    <row r="280">
      <c r="A280" s="6"/>
      <c r="B280" s="7"/>
      <c r="C280" s="7"/>
      <c r="D280" s="7"/>
      <c r="E280" s="7"/>
      <c r="F280" s="7"/>
      <c r="G280" s="7"/>
      <c r="H280" s="7"/>
      <c r="I280" s="7"/>
      <c r="J280" s="8"/>
      <c r="K280" s="9"/>
    </row>
    <row r="281">
      <c r="A281" s="6"/>
      <c r="B281" s="7"/>
      <c r="C281" s="7"/>
      <c r="D281" s="7"/>
      <c r="E281" s="7"/>
      <c r="F281" s="7"/>
      <c r="G281" s="7"/>
      <c r="H281" s="7"/>
      <c r="I281" s="7"/>
      <c r="J281" s="8"/>
      <c r="K281" s="9"/>
    </row>
    <row r="282">
      <c r="A282" s="6"/>
      <c r="B282" s="7"/>
      <c r="C282" s="7"/>
      <c r="D282" s="7"/>
      <c r="E282" s="7"/>
      <c r="F282" s="7"/>
      <c r="G282" s="7"/>
      <c r="H282" s="7"/>
      <c r="I282" s="7"/>
      <c r="J282" s="8"/>
      <c r="K282" s="9"/>
    </row>
    <row r="283">
      <c r="A283" s="6"/>
      <c r="B283" s="7"/>
      <c r="C283" s="7"/>
      <c r="D283" s="7"/>
      <c r="E283" s="7"/>
      <c r="F283" s="7"/>
      <c r="G283" s="7"/>
      <c r="H283" s="7"/>
      <c r="I283" s="7"/>
      <c r="J283" s="8"/>
      <c r="K283" s="9"/>
    </row>
    <row r="284">
      <c r="A284" s="6"/>
      <c r="B284" s="7"/>
      <c r="C284" s="7"/>
      <c r="D284" s="7"/>
      <c r="E284" s="7"/>
      <c r="F284" s="7"/>
      <c r="G284" s="7"/>
      <c r="H284" s="7"/>
      <c r="I284" s="7"/>
      <c r="J284" s="8"/>
      <c r="K284" s="9"/>
    </row>
    <row r="285">
      <c r="A285" s="6"/>
      <c r="B285" s="7"/>
      <c r="C285" s="7"/>
      <c r="D285" s="7"/>
      <c r="E285" s="7"/>
      <c r="F285" s="7"/>
      <c r="G285" s="7"/>
      <c r="H285" s="7"/>
      <c r="I285" s="7"/>
      <c r="J285" s="8"/>
      <c r="K285" s="9"/>
    </row>
    <row r="286">
      <c r="A286" s="6"/>
      <c r="B286" s="7"/>
      <c r="C286" s="7"/>
      <c r="D286" s="7"/>
      <c r="E286" s="7"/>
      <c r="F286" s="7"/>
      <c r="G286" s="7"/>
      <c r="H286" s="7"/>
      <c r="I286" s="7"/>
      <c r="J286" s="8"/>
      <c r="K286" s="9"/>
    </row>
    <row r="287">
      <c r="A287" s="6"/>
      <c r="B287" s="7"/>
      <c r="C287" s="7"/>
      <c r="D287" s="7"/>
      <c r="E287" s="7"/>
      <c r="F287" s="7"/>
      <c r="G287" s="7"/>
      <c r="H287" s="7"/>
      <c r="I287" s="7"/>
      <c r="J287" s="8"/>
      <c r="K287" s="9"/>
    </row>
    <row r="288">
      <c r="A288" s="6"/>
      <c r="B288" s="7"/>
      <c r="C288" s="7"/>
      <c r="D288" s="7"/>
      <c r="E288" s="7"/>
      <c r="F288" s="7"/>
      <c r="G288" s="7"/>
      <c r="H288" s="7"/>
      <c r="I288" s="7"/>
      <c r="J288" s="8"/>
      <c r="K288" s="9"/>
    </row>
    <row r="289">
      <c r="A289" s="6"/>
      <c r="B289" s="7"/>
      <c r="C289" s="7"/>
      <c r="D289" s="7"/>
      <c r="E289" s="7"/>
      <c r="F289" s="7"/>
      <c r="G289" s="7"/>
      <c r="H289" s="7"/>
      <c r="I289" s="7"/>
      <c r="J289" s="8"/>
      <c r="K289" s="9"/>
    </row>
    <row r="290">
      <c r="A290" s="6"/>
      <c r="B290" s="7"/>
      <c r="C290" s="7"/>
      <c r="D290" s="7"/>
      <c r="E290" s="7"/>
      <c r="F290" s="7"/>
      <c r="G290" s="7"/>
      <c r="H290" s="7"/>
      <c r="I290" s="7"/>
      <c r="J290" s="8"/>
      <c r="K290" s="9"/>
    </row>
    <row r="291">
      <c r="A291" s="6"/>
      <c r="B291" s="7"/>
      <c r="C291" s="7"/>
      <c r="D291" s="7"/>
      <c r="E291" s="7"/>
      <c r="F291" s="7"/>
      <c r="G291" s="7"/>
      <c r="H291" s="7"/>
      <c r="I291" s="7"/>
      <c r="J291" s="8"/>
      <c r="K291" s="9"/>
    </row>
    <row r="292">
      <c r="A292" s="6"/>
      <c r="B292" s="7"/>
      <c r="C292" s="7"/>
      <c r="D292" s="7"/>
      <c r="E292" s="7"/>
      <c r="F292" s="7"/>
      <c r="G292" s="7"/>
      <c r="H292" s="7"/>
      <c r="I292" s="7"/>
      <c r="J292" s="8"/>
      <c r="K292" s="9"/>
    </row>
    <row r="293">
      <c r="A293" s="6"/>
      <c r="B293" s="7"/>
      <c r="C293" s="7"/>
      <c r="D293" s="7"/>
      <c r="E293" s="7"/>
      <c r="F293" s="7"/>
      <c r="G293" s="7"/>
      <c r="H293" s="7"/>
      <c r="I293" s="7"/>
      <c r="J293" s="8"/>
      <c r="K293" s="9"/>
    </row>
    <row r="294">
      <c r="A294" s="6"/>
      <c r="B294" s="7"/>
      <c r="C294" s="7"/>
      <c r="D294" s="7"/>
      <c r="E294" s="7"/>
      <c r="F294" s="7"/>
      <c r="G294" s="7"/>
      <c r="H294" s="7"/>
      <c r="I294" s="7"/>
      <c r="J294" s="8"/>
      <c r="K294" s="9"/>
    </row>
    <row r="295">
      <c r="A295" s="6"/>
      <c r="B295" s="7"/>
      <c r="C295" s="7"/>
      <c r="D295" s="7"/>
      <c r="E295" s="7"/>
      <c r="F295" s="7"/>
      <c r="G295" s="7"/>
      <c r="H295" s="7"/>
      <c r="I295" s="7"/>
      <c r="J295" s="8"/>
      <c r="K295" s="9"/>
    </row>
    <row r="296">
      <c r="A296" s="6"/>
      <c r="B296" s="7"/>
      <c r="C296" s="7"/>
      <c r="D296" s="7"/>
      <c r="E296" s="7"/>
      <c r="F296" s="7"/>
      <c r="G296" s="7"/>
      <c r="H296" s="7"/>
      <c r="I296" s="7"/>
      <c r="J296" s="8"/>
      <c r="K296" s="9"/>
    </row>
    <row r="297">
      <c r="A297" s="6"/>
      <c r="B297" s="7"/>
      <c r="C297" s="7"/>
      <c r="D297" s="7"/>
      <c r="E297" s="7"/>
      <c r="F297" s="7"/>
      <c r="G297" s="7"/>
      <c r="H297" s="7"/>
      <c r="I297" s="7"/>
      <c r="J297" s="8"/>
      <c r="K297" s="9"/>
    </row>
    <row r="298">
      <c r="A298" s="6"/>
      <c r="B298" s="7"/>
      <c r="C298" s="7"/>
      <c r="D298" s="7"/>
      <c r="E298" s="7"/>
      <c r="F298" s="7"/>
      <c r="G298" s="7"/>
      <c r="H298" s="7"/>
      <c r="I298" s="7"/>
      <c r="J298" s="8"/>
      <c r="K298" s="9"/>
    </row>
    <row r="299">
      <c r="A299" s="6"/>
      <c r="B299" s="7"/>
      <c r="C299" s="7"/>
      <c r="D299" s="7"/>
      <c r="E299" s="7"/>
      <c r="F299" s="7"/>
      <c r="G299" s="7"/>
      <c r="H299" s="7"/>
      <c r="I299" s="7"/>
      <c r="J299" s="8"/>
      <c r="K299" s="9"/>
    </row>
    <row r="300">
      <c r="A300" s="6"/>
      <c r="B300" s="7"/>
      <c r="C300" s="7"/>
      <c r="D300" s="7"/>
      <c r="E300" s="7"/>
      <c r="F300" s="7"/>
      <c r="G300" s="7"/>
      <c r="H300" s="7"/>
      <c r="I300" s="7"/>
      <c r="J300" s="8"/>
      <c r="K300" s="9"/>
    </row>
    <row r="301">
      <c r="A301" s="6"/>
      <c r="B301" s="7"/>
      <c r="C301" s="7"/>
      <c r="D301" s="7"/>
      <c r="E301" s="7"/>
      <c r="F301" s="7"/>
      <c r="G301" s="7"/>
      <c r="H301" s="7"/>
      <c r="I301" s="7"/>
      <c r="J301" s="8"/>
      <c r="K301" s="9"/>
    </row>
    <row r="302">
      <c r="A302" s="6"/>
      <c r="B302" s="7"/>
      <c r="C302" s="7"/>
      <c r="D302" s="7"/>
      <c r="E302" s="7"/>
      <c r="F302" s="7"/>
      <c r="G302" s="7"/>
      <c r="H302" s="7"/>
      <c r="I302" s="7"/>
      <c r="J302" s="8"/>
      <c r="K302" s="9"/>
    </row>
    <row r="303">
      <c r="A303" s="6"/>
      <c r="B303" s="7"/>
      <c r="C303" s="7"/>
      <c r="D303" s="7"/>
      <c r="E303" s="7"/>
      <c r="F303" s="7"/>
      <c r="G303" s="7"/>
      <c r="H303" s="7"/>
      <c r="I303" s="7"/>
      <c r="J303" s="8"/>
      <c r="K303" s="9"/>
    </row>
    <row r="304">
      <c r="A304" s="6"/>
      <c r="B304" s="7"/>
      <c r="C304" s="7"/>
      <c r="D304" s="7"/>
      <c r="E304" s="7"/>
      <c r="F304" s="7"/>
      <c r="G304" s="7"/>
      <c r="H304" s="7"/>
      <c r="I304" s="7"/>
      <c r="J304" s="8"/>
      <c r="K304" s="9"/>
    </row>
    <row r="305">
      <c r="A305" s="6"/>
      <c r="B305" s="7"/>
      <c r="C305" s="7"/>
      <c r="D305" s="7"/>
      <c r="E305" s="7"/>
      <c r="F305" s="7"/>
      <c r="G305" s="7"/>
      <c r="H305" s="7"/>
      <c r="I305" s="7"/>
      <c r="J305" s="8"/>
      <c r="K305" s="9"/>
    </row>
    <row r="306">
      <c r="A306" s="6"/>
      <c r="B306" s="7"/>
      <c r="C306" s="7"/>
      <c r="D306" s="7"/>
      <c r="E306" s="7"/>
      <c r="F306" s="7"/>
      <c r="G306" s="7"/>
      <c r="H306" s="7"/>
      <c r="I306" s="7"/>
      <c r="J306" s="8"/>
      <c r="K306" s="9"/>
    </row>
    <row r="307">
      <c r="A307" s="6"/>
      <c r="B307" s="7"/>
      <c r="C307" s="7"/>
      <c r="D307" s="7"/>
      <c r="E307" s="7"/>
      <c r="F307" s="7"/>
      <c r="G307" s="7"/>
      <c r="H307" s="7"/>
      <c r="I307" s="7"/>
      <c r="J307" s="8"/>
      <c r="K307" s="9"/>
    </row>
    <row r="308">
      <c r="A308" s="6"/>
      <c r="B308" s="7"/>
      <c r="C308" s="7"/>
      <c r="D308" s="7"/>
      <c r="E308" s="7"/>
      <c r="F308" s="7"/>
      <c r="G308" s="7"/>
      <c r="H308" s="7"/>
      <c r="I308" s="7"/>
      <c r="J308" s="8"/>
      <c r="K308" s="9"/>
    </row>
    <row r="309">
      <c r="A309" s="6"/>
      <c r="B309" s="7"/>
      <c r="C309" s="7"/>
      <c r="D309" s="7"/>
      <c r="E309" s="7"/>
      <c r="F309" s="7"/>
      <c r="G309" s="7"/>
      <c r="H309" s="7"/>
      <c r="I309" s="7"/>
      <c r="J309" s="8"/>
      <c r="K309" s="9"/>
    </row>
    <row r="310">
      <c r="A310" s="6"/>
      <c r="B310" s="7"/>
      <c r="C310" s="7"/>
      <c r="D310" s="7"/>
      <c r="E310" s="7"/>
      <c r="F310" s="7"/>
      <c r="G310" s="7"/>
      <c r="H310" s="7"/>
      <c r="I310" s="7"/>
      <c r="J310" s="8"/>
      <c r="K310" s="9"/>
    </row>
    <row r="311">
      <c r="A311" s="6"/>
      <c r="B311" s="7"/>
      <c r="C311" s="7"/>
      <c r="D311" s="7"/>
      <c r="E311" s="7"/>
      <c r="F311" s="7"/>
      <c r="G311" s="7"/>
      <c r="H311" s="7"/>
      <c r="I311" s="7"/>
      <c r="J311" s="8"/>
      <c r="K311" s="9"/>
    </row>
    <row r="312">
      <c r="A312" s="6"/>
      <c r="B312" s="7"/>
      <c r="C312" s="7"/>
      <c r="D312" s="7"/>
      <c r="E312" s="7"/>
      <c r="F312" s="7"/>
      <c r="G312" s="7"/>
      <c r="H312" s="7"/>
      <c r="I312" s="7"/>
      <c r="J312" s="8"/>
      <c r="K312" s="9"/>
    </row>
    <row r="313">
      <c r="A313" s="6"/>
      <c r="B313" s="7"/>
      <c r="C313" s="7"/>
      <c r="D313" s="7"/>
      <c r="E313" s="7"/>
      <c r="F313" s="7"/>
      <c r="G313" s="7"/>
      <c r="H313" s="7"/>
      <c r="I313" s="7"/>
      <c r="J313" s="8"/>
      <c r="K313" s="9"/>
    </row>
    <row r="314">
      <c r="A314" s="6"/>
      <c r="B314" s="7"/>
      <c r="C314" s="7"/>
      <c r="D314" s="7"/>
      <c r="E314" s="7"/>
      <c r="F314" s="7"/>
      <c r="G314" s="7"/>
      <c r="H314" s="7"/>
      <c r="I314" s="7"/>
      <c r="J314" s="8"/>
      <c r="K314" s="9"/>
    </row>
    <row r="315">
      <c r="A315" s="6"/>
      <c r="B315" s="7"/>
      <c r="C315" s="7"/>
      <c r="D315" s="7"/>
      <c r="E315" s="7"/>
      <c r="F315" s="7"/>
      <c r="G315" s="7"/>
      <c r="H315" s="7"/>
      <c r="I315" s="7"/>
      <c r="J315" s="8"/>
      <c r="K315" s="9"/>
    </row>
    <row r="316">
      <c r="A316" s="6"/>
      <c r="B316" s="7"/>
      <c r="C316" s="7"/>
      <c r="D316" s="7"/>
      <c r="E316" s="7"/>
      <c r="F316" s="7"/>
      <c r="G316" s="7"/>
      <c r="H316" s="7"/>
      <c r="I316" s="7"/>
      <c r="J316" s="8"/>
      <c r="K316" s="9"/>
    </row>
    <row r="317">
      <c r="A317" s="6"/>
      <c r="B317" s="7"/>
      <c r="C317" s="7"/>
      <c r="D317" s="7"/>
      <c r="E317" s="7"/>
      <c r="F317" s="7"/>
      <c r="G317" s="7"/>
      <c r="H317" s="7"/>
      <c r="I317" s="7"/>
      <c r="J317" s="8"/>
      <c r="K317" s="9"/>
    </row>
    <row r="318">
      <c r="A318" s="6"/>
      <c r="B318" s="7"/>
      <c r="C318" s="7"/>
      <c r="D318" s="7"/>
      <c r="E318" s="7"/>
      <c r="F318" s="7"/>
      <c r="G318" s="7"/>
      <c r="H318" s="7"/>
      <c r="I318" s="7"/>
      <c r="J318" s="8"/>
      <c r="K318" s="9"/>
    </row>
    <row r="319">
      <c r="A319" s="6"/>
      <c r="B319" s="7"/>
      <c r="C319" s="7"/>
      <c r="D319" s="7"/>
      <c r="E319" s="7"/>
      <c r="F319" s="7"/>
      <c r="G319" s="7"/>
      <c r="H319" s="7"/>
      <c r="I319" s="7"/>
      <c r="J319" s="8"/>
      <c r="K319" s="9"/>
    </row>
    <row r="320">
      <c r="A320" s="6"/>
      <c r="B320" s="7"/>
      <c r="C320" s="7"/>
      <c r="D320" s="7"/>
      <c r="E320" s="7"/>
      <c r="F320" s="7"/>
      <c r="G320" s="7"/>
      <c r="H320" s="7"/>
      <c r="I320" s="7"/>
      <c r="J320" s="8"/>
      <c r="K320" s="9"/>
    </row>
    <row r="321">
      <c r="A321" s="6"/>
      <c r="B321" s="7"/>
      <c r="C321" s="7"/>
      <c r="D321" s="7"/>
      <c r="E321" s="7"/>
      <c r="F321" s="7"/>
      <c r="G321" s="7"/>
      <c r="H321" s="7"/>
      <c r="I321" s="7"/>
      <c r="J321" s="8"/>
      <c r="K321" s="9"/>
    </row>
    <row r="322">
      <c r="A322" s="6"/>
      <c r="B322" s="7"/>
      <c r="C322" s="7"/>
      <c r="D322" s="7"/>
      <c r="E322" s="7"/>
      <c r="F322" s="7"/>
      <c r="G322" s="7"/>
      <c r="H322" s="7"/>
      <c r="I322" s="7"/>
      <c r="J322" s="8"/>
      <c r="K322" s="9"/>
    </row>
    <row r="323">
      <c r="A323" s="6"/>
      <c r="B323" s="7"/>
      <c r="C323" s="7"/>
      <c r="D323" s="7"/>
      <c r="E323" s="7"/>
      <c r="F323" s="7"/>
      <c r="G323" s="7"/>
      <c r="H323" s="7"/>
      <c r="I323" s="7"/>
      <c r="J323" s="8"/>
      <c r="K323" s="9"/>
    </row>
    <row r="324">
      <c r="A324" s="6"/>
      <c r="B324" s="7"/>
      <c r="C324" s="7"/>
      <c r="D324" s="7"/>
      <c r="E324" s="7"/>
      <c r="F324" s="7"/>
      <c r="G324" s="7"/>
      <c r="H324" s="7"/>
      <c r="I324" s="7"/>
      <c r="J324" s="8"/>
      <c r="K324" s="9"/>
    </row>
    <row r="325">
      <c r="A325" s="6"/>
      <c r="B325" s="7"/>
      <c r="C325" s="7"/>
      <c r="D325" s="7"/>
      <c r="E325" s="7"/>
      <c r="F325" s="7"/>
      <c r="G325" s="7"/>
      <c r="H325" s="7"/>
      <c r="I325" s="7"/>
      <c r="J325" s="8"/>
      <c r="K325" s="9"/>
    </row>
    <row r="326">
      <c r="A326" s="6"/>
      <c r="B326" s="7"/>
      <c r="C326" s="7"/>
      <c r="D326" s="7"/>
      <c r="E326" s="7"/>
      <c r="F326" s="7"/>
      <c r="G326" s="7"/>
      <c r="H326" s="7"/>
      <c r="I326" s="7"/>
      <c r="J326" s="8"/>
      <c r="K326" s="9"/>
    </row>
    <row r="327">
      <c r="A327" s="6"/>
      <c r="B327" s="7"/>
      <c r="C327" s="7"/>
      <c r="D327" s="7"/>
      <c r="E327" s="7"/>
      <c r="F327" s="7"/>
      <c r="G327" s="7"/>
      <c r="H327" s="7"/>
      <c r="I327" s="7"/>
      <c r="J327" s="8"/>
      <c r="K327" s="9"/>
    </row>
    <row r="328">
      <c r="A328" s="6"/>
      <c r="B328" s="7"/>
      <c r="C328" s="7"/>
      <c r="D328" s="7"/>
      <c r="E328" s="7"/>
      <c r="F328" s="7"/>
      <c r="G328" s="7"/>
      <c r="H328" s="7"/>
      <c r="I328" s="7"/>
      <c r="J328" s="8"/>
      <c r="K328" s="9"/>
    </row>
    <row r="329">
      <c r="A329" s="6"/>
      <c r="B329" s="7"/>
      <c r="C329" s="7"/>
      <c r="D329" s="7"/>
      <c r="E329" s="7"/>
      <c r="F329" s="7"/>
      <c r="G329" s="7"/>
      <c r="H329" s="7"/>
      <c r="I329" s="7"/>
      <c r="J329" s="8"/>
      <c r="K329" s="9"/>
    </row>
    <row r="330">
      <c r="A330" s="6"/>
      <c r="B330" s="7"/>
      <c r="C330" s="7"/>
      <c r="D330" s="7"/>
      <c r="E330" s="7"/>
      <c r="F330" s="7"/>
      <c r="G330" s="7"/>
      <c r="H330" s="7"/>
      <c r="I330" s="7"/>
      <c r="J330" s="8"/>
      <c r="K330" s="9"/>
    </row>
    <row r="331">
      <c r="A331" s="6"/>
      <c r="B331" s="7"/>
      <c r="C331" s="7"/>
      <c r="D331" s="7"/>
      <c r="E331" s="7"/>
      <c r="F331" s="7"/>
      <c r="G331" s="7"/>
      <c r="H331" s="7"/>
      <c r="I331" s="7"/>
      <c r="J331" s="8"/>
      <c r="K331" s="9"/>
    </row>
    <row r="332">
      <c r="A332" s="6"/>
      <c r="B332" s="7"/>
      <c r="C332" s="7"/>
      <c r="D332" s="7"/>
      <c r="E332" s="7"/>
      <c r="F332" s="7"/>
      <c r="G332" s="7"/>
      <c r="H332" s="7"/>
      <c r="I332" s="7"/>
      <c r="J332" s="8"/>
      <c r="K332" s="9"/>
    </row>
    <row r="333">
      <c r="A333" s="6"/>
      <c r="B333" s="7"/>
      <c r="C333" s="7"/>
      <c r="D333" s="7"/>
      <c r="E333" s="7"/>
      <c r="F333" s="7"/>
      <c r="G333" s="7"/>
      <c r="H333" s="7"/>
      <c r="I333" s="7"/>
      <c r="J333" s="8"/>
      <c r="K333" s="9"/>
    </row>
    <row r="334">
      <c r="A334" s="6"/>
      <c r="B334" s="7"/>
      <c r="C334" s="7"/>
      <c r="D334" s="7"/>
      <c r="E334" s="7"/>
      <c r="F334" s="7"/>
      <c r="G334" s="7"/>
      <c r="H334" s="7"/>
      <c r="I334" s="7"/>
      <c r="J334" s="8"/>
      <c r="K334" s="9"/>
    </row>
    <row r="335">
      <c r="A335" s="6"/>
      <c r="B335" s="7"/>
      <c r="C335" s="7"/>
      <c r="D335" s="7"/>
      <c r="E335" s="7"/>
      <c r="F335" s="7"/>
      <c r="G335" s="7"/>
      <c r="H335" s="7"/>
      <c r="I335" s="7"/>
      <c r="J335" s="8"/>
      <c r="K335" s="9"/>
    </row>
    <row r="336">
      <c r="A336" s="6"/>
      <c r="B336" s="7"/>
      <c r="C336" s="7"/>
      <c r="D336" s="7"/>
      <c r="E336" s="7"/>
      <c r="F336" s="7"/>
      <c r="G336" s="7"/>
      <c r="H336" s="7"/>
      <c r="I336" s="7"/>
      <c r="J336" s="8"/>
      <c r="K336" s="9"/>
    </row>
    <row r="337">
      <c r="A337" s="6"/>
      <c r="B337" s="7"/>
      <c r="C337" s="7"/>
      <c r="D337" s="7"/>
      <c r="E337" s="7"/>
      <c r="F337" s="7"/>
      <c r="G337" s="7"/>
      <c r="H337" s="7"/>
      <c r="I337" s="7"/>
      <c r="J337" s="8"/>
      <c r="K337" s="9"/>
    </row>
    <row r="338">
      <c r="A338" s="6"/>
      <c r="B338" s="7"/>
      <c r="C338" s="7"/>
      <c r="D338" s="7"/>
      <c r="E338" s="7"/>
      <c r="F338" s="7"/>
      <c r="G338" s="7"/>
      <c r="H338" s="7"/>
      <c r="I338" s="7"/>
      <c r="J338" s="8"/>
      <c r="K338" s="9"/>
    </row>
    <row r="339">
      <c r="A339" s="6"/>
      <c r="B339" s="7"/>
      <c r="C339" s="7"/>
      <c r="D339" s="7"/>
      <c r="E339" s="7"/>
      <c r="F339" s="7"/>
      <c r="G339" s="7"/>
      <c r="H339" s="7"/>
      <c r="I339" s="7"/>
      <c r="J339" s="8"/>
      <c r="K339" s="9"/>
    </row>
    <row r="340">
      <c r="A340" s="6"/>
      <c r="B340" s="7"/>
      <c r="C340" s="7"/>
      <c r="D340" s="7"/>
      <c r="E340" s="7"/>
      <c r="F340" s="7"/>
      <c r="G340" s="7"/>
      <c r="H340" s="7"/>
      <c r="I340" s="7"/>
      <c r="J340" s="8"/>
      <c r="K340" s="9"/>
    </row>
    <row r="341">
      <c r="A341" s="6"/>
      <c r="B341" s="7"/>
      <c r="C341" s="7"/>
      <c r="D341" s="7"/>
      <c r="E341" s="7"/>
      <c r="F341" s="7"/>
      <c r="G341" s="7"/>
      <c r="H341" s="7"/>
      <c r="I341" s="7"/>
      <c r="J341" s="8"/>
      <c r="K341" s="9"/>
    </row>
    <row r="342">
      <c r="A342" s="6"/>
      <c r="B342" s="7"/>
      <c r="C342" s="7"/>
      <c r="D342" s="7"/>
      <c r="E342" s="7"/>
      <c r="F342" s="7"/>
      <c r="G342" s="7"/>
      <c r="H342" s="7"/>
      <c r="I342" s="7"/>
      <c r="J342" s="8"/>
      <c r="K342" s="9"/>
    </row>
    <row r="343">
      <c r="A343" s="6"/>
      <c r="B343" s="7"/>
      <c r="C343" s="7"/>
      <c r="D343" s="7"/>
      <c r="E343" s="7"/>
      <c r="F343" s="7"/>
      <c r="G343" s="7"/>
      <c r="H343" s="7"/>
      <c r="I343" s="7"/>
      <c r="J343" s="8"/>
      <c r="K343" s="9"/>
    </row>
    <row r="344">
      <c r="A344" s="6"/>
      <c r="B344" s="7"/>
      <c r="C344" s="7"/>
      <c r="D344" s="7"/>
      <c r="E344" s="7"/>
      <c r="F344" s="7"/>
      <c r="G344" s="7"/>
      <c r="H344" s="7"/>
      <c r="I344" s="7"/>
      <c r="J344" s="8"/>
      <c r="K344" s="9"/>
    </row>
    <row r="345">
      <c r="A345" s="6"/>
      <c r="B345" s="7"/>
      <c r="C345" s="7"/>
      <c r="D345" s="7"/>
      <c r="E345" s="7"/>
      <c r="F345" s="7"/>
      <c r="G345" s="7"/>
      <c r="H345" s="7"/>
      <c r="I345" s="7"/>
      <c r="J345" s="8"/>
      <c r="K345" s="9"/>
    </row>
    <row r="346">
      <c r="A346" s="6"/>
      <c r="B346" s="7"/>
      <c r="C346" s="7"/>
      <c r="D346" s="7"/>
      <c r="E346" s="7"/>
      <c r="F346" s="7"/>
      <c r="G346" s="7"/>
      <c r="H346" s="7"/>
      <c r="I346" s="7"/>
      <c r="J346" s="8"/>
      <c r="K346" s="9"/>
    </row>
    <row r="347">
      <c r="A347" s="6"/>
      <c r="B347" s="7"/>
      <c r="C347" s="7"/>
      <c r="D347" s="7"/>
      <c r="E347" s="7"/>
      <c r="F347" s="7"/>
      <c r="G347" s="7"/>
      <c r="H347" s="7"/>
      <c r="I347" s="7"/>
      <c r="J347" s="8"/>
      <c r="K347" s="9"/>
    </row>
    <row r="348">
      <c r="A348" s="6"/>
      <c r="B348" s="7"/>
      <c r="C348" s="7"/>
      <c r="D348" s="7"/>
      <c r="E348" s="7"/>
      <c r="F348" s="7"/>
      <c r="G348" s="7"/>
      <c r="H348" s="7"/>
      <c r="I348" s="7"/>
      <c r="J348" s="8"/>
      <c r="K348" s="9"/>
    </row>
    <row r="349">
      <c r="A349" s="6"/>
      <c r="B349" s="7"/>
      <c r="C349" s="7"/>
      <c r="D349" s="7"/>
      <c r="E349" s="7"/>
      <c r="F349" s="7"/>
      <c r="G349" s="7"/>
      <c r="H349" s="7"/>
      <c r="I349" s="7"/>
      <c r="J349" s="8"/>
      <c r="K349" s="9"/>
    </row>
    <row r="350">
      <c r="A350" s="6"/>
      <c r="B350" s="7"/>
      <c r="C350" s="7"/>
      <c r="D350" s="7"/>
      <c r="E350" s="7"/>
      <c r="F350" s="7"/>
      <c r="G350" s="7"/>
      <c r="H350" s="7"/>
      <c r="I350" s="7"/>
      <c r="J350" s="8"/>
      <c r="K350" s="9"/>
    </row>
    <row r="351">
      <c r="A351" s="6"/>
      <c r="B351" s="7"/>
      <c r="C351" s="7"/>
      <c r="D351" s="7"/>
      <c r="E351" s="7"/>
      <c r="F351" s="7"/>
      <c r="G351" s="7"/>
      <c r="H351" s="7"/>
      <c r="I351" s="7"/>
      <c r="J351" s="8"/>
      <c r="K351" s="9"/>
    </row>
    <row r="352">
      <c r="A352" s="6"/>
      <c r="B352" s="7"/>
      <c r="C352" s="7"/>
      <c r="D352" s="7"/>
      <c r="E352" s="7"/>
      <c r="F352" s="7"/>
      <c r="G352" s="7"/>
      <c r="H352" s="7"/>
      <c r="I352" s="7"/>
      <c r="J352" s="8"/>
      <c r="K352" s="9"/>
    </row>
    <row r="353">
      <c r="A353" s="6"/>
      <c r="B353" s="7"/>
      <c r="C353" s="7"/>
      <c r="D353" s="7"/>
      <c r="E353" s="7"/>
      <c r="F353" s="7"/>
      <c r="G353" s="7"/>
      <c r="H353" s="7"/>
      <c r="I353" s="7"/>
      <c r="J353" s="8"/>
      <c r="K353" s="9"/>
    </row>
    <row r="354">
      <c r="A354" s="6"/>
      <c r="B354" s="7"/>
      <c r="C354" s="7"/>
      <c r="D354" s="7"/>
      <c r="E354" s="7"/>
      <c r="F354" s="7"/>
      <c r="G354" s="7"/>
      <c r="H354" s="7"/>
      <c r="I354" s="7"/>
      <c r="J354" s="8"/>
      <c r="K354" s="9"/>
    </row>
    <row r="355">
      <c r="A355" s="6"/>
      <c r="B355" s="7"/>
      <c r="C355" s="7"/>
      <c r="D355" s="7"/>
      <c r="E355" s="7"/>
      <c r="F355" s="7"/>
      <c r="G355" s="7"/>
      <c r="H355" s="7"/>
      <c r="I355" s="7"/>
      <c r="J355" s="8"/>
      <c r="K355" s="9"/>
    </row>
    <row r="356">
      <c r="A356" s="6"/>
      <c r="B356" s="7"/>
      <c r="C356" s="7"/>
      <c r="D356" s="7"/>
      <c r="E356" s="7"/>
      <c r="F356" s="7"/>
      <c r="G356" s="7"/>
      <c r="H356" s="7"/>
      <c r="I356" s="7"/>
      <c r="J356" s="8"/>
      <c r="K356" s="9"/>
    </row>
    <row r="357">
      <c r="A357" s="6"/>
      <c r="B357" s="7"/>
      <c r="C357" s="7"/>
      <c r="D357" s="7"/>
      <c r="E357" s="7"/>
      <c r="F357" s="7"/>
      <c r="G357" s="7"/>
      <c r="H357" s="7"/>
      <c r="I357" s="7"/>
      <c r="J357" s="8"/>
      <c r="K357" s="9"/>
    </row>
    <row r="358">
      <c r="A358" s="6"/>
      <c r="B358" s="7"/>
      <c r="C358" s="7"/>
      <c r="D358" s="7"/>
      <c r="E358" s="7"/>
      <c r="F358" s="7"/>
      <c r="G358" s="7"/>
      <c r="H358" s="7"/>
      <c r="I358" s="7"/>
      <c r="J358" s="8"/>
      <c r="K358" s="9"/>
    </row>
    <row r="359">
      <c r="A359" s="6"/>
      <c r="B359" s="7"/>
      <c r="C359" s="7"/>
      <c r="D359" s="7"/>
      <c r="E359" s="7"/>
      <c r="F359" s="7"/>
      <c r="G359" s="7"/>
      <c r="H359" s="7"/>
      <c r="I359" s="7"/>
      <c r="J359" s="8"/>
      <c r="K359" s="9"/>
    </row>
    <row r="360">
      <c r="A360" s="6"/>
      <c r="B360" s="7"/>
      <c r="C360" s="7"/>
      <c r="D360" s="7"/>
      <c r="E360" s="7"/>
      <c r="F360" s="7"/>
      <c r="G360" s="7"/>
      <c r="H360" s="7"/>
      <c r="I360" s="7"/>
      <c r="J360" s="8"/>
      <c r="K360" s="9"/>
    </row>
    <row r="361">
      <c r="A361" s="6"/>
      <c r="B361" s="7"/>
      <c r="C361" s="7"/>
      <c r="D361" s="7"/>
      <c r="E361" s="7"/>
      <c r="F361" s="7"/>
      <c r="G361" s="7"/>
      <c r="H361" s="7"/>
      <c r="I361" s="7"/>
      <c r="J361" s="8"/>
      <c r="K361" s="9"/>
    </row>
    <row r="362">
      <c r="A362" s="6"/>
      <c r="B362" s="7"/>
      <c r="C362" s="7"/>
      <c r="D362" s="7"/>
      <c r="E362" s="7"/>
      <c r="F362" s="7"/>
      <c r="G362" s="7"/>
      <c r="H362" s="7"/>
      <c r="I362" s="7"/>
      <c r="J362" s="8"/>
      <c r="K362" s="9"/>
    </row>
    <row r="363">
      <c r="A363" s="6"/>
      <c r="B363" s="7"/>
      <c r="C363" s="7"/>
      <c r="D363" s="7"/>
      <c r="E363" s="7"/>
      <c r="F363" s="7"/>
      <c r="G363" s="7"/>
      <c r="H363" s="7"/>
      <c r="I363" s="7"/>
      <c r="J363" s="8"/>
      <c r="K363" s="9"/>
    </row>
    <row r="364">
      <c r="A364" s="6"/>
      <c r="B364" s="7"/>
      <c r="C364" s="7"/>
      <c r="D364" s="7"/>
      <c r="E364" s="7"/>
      <c r="F364" s="7"/>
      <c r="G364" s="7"/>
      <c r="H364" s="7"/>
      <c r="I364" s="7"/>
      <c r="J364" s="8"/>
      <c r="K364" s="9"/>
    </row>
    <row r="365">
      <c r="A365" s="6"/>
      <c r="B365" s="7"/>
      <c r="C365" s="7"/>
      <c r="D365" s="7"/>
      <c r="E365" s="7"/>
      <c r="F365" s="7"/>
      <c r="G365" s="7"/>
      <c r="H365" s="7"/>
      <c r="I365" s="7"/>
      <c r="J365" s="8"/>
      <c r="K365" s="9"/>
    </row>
    <row r="366">
      <c r="A366" s="6"/>
      <c r="B366" s="7"/>
      <c r="C366" s="7"/>
      <c r="D366" s="7"/>
      <c r="E366" s="7"/>
      <c r="F366" s="7"/>
      <c r="G366" s="7"/>
      <c r="H366" s="7"/>
      <c r="I366" s="7"/>
      <c r="J366" s="8"/>
      <c r="K366" s="9"/>
    </row>
    <row r="367">
      <c r="A367" s="6"/>
      <c r="B367" s="7"/>
      <c r="C367" s="7"/>
      <c r="D367" s="7"/>
      <c r="E367" s="7"/>
      <c r="F367" s="7"/>
      <c r="G367" s="7"/>
      <c r="H367" s="7"/>
      <c r="I367" s="7"/>
      <c r="J367" s="8"/>
      <c r="K367" s="9"/>
    </row>
    <row r="368">
      <c r="A368" s="6"/>
      <c r="B368" s="7"/>
      <c r="C368" s="7"/>
      <c r="D368" s="7"/>
      <c r="E368" s="7"/>
      <c r="F368" s="7"/>
      <c r="G368" s="7"/>
      <c r="H368" s="7"/>
      <c r="I368" s="7"/>
      <c r="J368" s="8"/>
      <c r="K368" s="9"/>
    </row>
    <row r="369">
      <c r="A369" s="6"/>
      <c r="B369" s="7"/>
      <c r="C369" s="7"/>
      <c r="D369" s="7"/>
      <c r="E369" s="7"/>
      <c r="F369" s="7"/>
      <c r="G369" s="7"/>
      <c r="H369" s="7"/>
      <c r="I369" s="7"/>
      <c r="J369" s="8"/>
      <c r="K369" s="9"/>
    </row>
    <row r="370">
      <c r="A370" s="6"/>
      <c r="B370" s="7"/>
      <c r="C370" s="7"/>
      <c r="D370" s="7"/>
      <c r="E370" s="7"/>
      <c r="F370" s="7"/>
      <c r="G370" s="7"/>
      <c r="H370" s="7"/>
      <c r="I370" s="7"/>
      <c r="J370" s="8"/>
      <c r="K370" s="9"/>
    </row>
    <row r="371">
      <c r="A371" s="6"/>
      <c r="B371" s="7"/>
      <c r="C371" s="7"/>
      <c r="D371" s="7"/>
      <c r="E371" s="7"/>
      <c r="F371" s="7"/>
      <c r="G371" s="7"/>
      <c r="H371" s="7"/>
      <c r="I371" s="7"/>
      <c r="J371" s="8"/>
      <c r="K371" s="9"/>
    </row>
    <row r="372">
      <c r="A372" s="6"/>
      <c r="B372" s="7"/>
      <c r="C372" s="7"/>
      <c r="D372" s="7"/>
      <c r="E372" s="7"/>
      <c r="F372" s="7"/>
      <c r="G372" s="7"/>
      <c r="H372" s="7"/>
      <c r="I372" s="7"/>
      <c r="J372" s="8"/>
      <c r="K372" s="9"/>
    </row>
    <row r="373">
      <c r="A373" s="6"/>
      <c r="B373" s="7"/>
      <c r="C373" s="7"/>
      <c r="D373" s="7"/>
      <c r="E373" s="7"/>
      <c r="F373" s="7"/>
      <c r="G373" s="7"/>
      <c r="H373" s="7"/>
      <c r="I373" s="7"/>
      <c r="J373" s="8"/>
      <c r="K373" s="9"/>
    </row>
    <row r="374">
      <c r="A374" s="6"/>
      <c r="B374" s="7"/>
      <c r="C374" s="7"/>
      <c r="D374" s="7"/>
      <c r="E374" s="7"/>
      <c r="F374" s="7"/>
      <c r="G374" s="7"/>
      <c r="H374" s="7"/>
      <c r="I374" s="7"/>
      <c r="J374" s="8"/>
      <c r="K374" s="9"/>
    </row>
    <row r="375">
      <c r="A375" s="6"/>
      <c r="B375" s="7"/>
      <c r="C375" s="7"/>
      <c r="D375" s="7"/>
      <c r="E375" s="7"/>
      <c r="F375" s="7"/>
      <c r="G375" s="7"/>
      <c r="H375" s="7"/>
      <c r="I375" s="7"/>
      <c r="J375" s="8"/>
      <c r="K375" s="9"/>
    </row>
    <row r="376">
      <c r="A376" s="6"/>
      <c r="B376" s="7"/>
      <c r="C376" s="7"/>
      <c r="D376" s="7"/>
      <c r="E376" s="7"/>
      <c r="F376" s="7"/>
      <c r="G376" s="7"/>
      <c r="H376" s="7"/>
      <c r="I376" s="7"/>
      <c r="J376" s="8"/>
      <c r="K376" s="9"/>
    </row>
    <row r="377">
      <c r="A377" s="6"/>
      <c r="B377" s="7"/>
      <c r="C377" s="7"/>
      <c r="D377" s="7"/>
      <c r="E377" s="7"/>
      <c r="F377" s="7"/>
      <c r="G377" s="7"/>
      <c r="H377" s="7"/>
      <c r="I377" s="7"/>
      <c r="J377" s="8"/>
      <c r="K377" s="9"/>
    </row>
    <row r="378">
      <c r="A378" s="6"/>
      <c r="B378" s="7"/>
      <c r="C378" s="7"/>
      <c r="D378" s="7"/>
      <c r="E378" s="7"/>
      <c r="F378" s="7"/>
      <c r="G378" s="7"/>
      <c r="H378" s="7"/>
      <c r="I378" s="7"/>
      <c r="J378" s="8"/>
      <c r="K378" s="9"/>
    </row>
    <row r="379">
      <c r="A379" s="6"/>
      <c r="B379" s="7"/>
      <c r="C379" s="7"/>
      <c r="D379" s="7"/>
      <c r="E379" s="7"/>
      <c r="F379" s="7"/>
      <c r="G379" s="7"/>
      <c r="H379" s="7"/>
      <c r="I379" s="7"/>
      <c r="J379" s="8"/>
      <c r="K379" s="9"/>
    </row>
    <row r="380">
      <c r="A380" s="6"/>
      <c r="B380" s="7"/>
      <c r="C380" s="7"/>
      <c r="D380" s="7"/>
      <c r="E380" s="7"/>
      <c r="F380" s="7"/>
      <c r="G380" s="7"/>
      <c r="H380" s="7"/>
      <c r="I380" s="7"/>
      <c r="J380" s="8"/>
      <c r="K380" s="9"/>
    </row>
    <row r="381">
      <c r="A381" s="6"/>
      <c r="B381" s="7"/>
      <c r="C381" s="7"/>
      <c r="D381" s="7"/>
      <c r="E381" s="7"/>
      <c r="F381" s="7"/>
      <c r="G381" s="7"/>
      <c r="H381" s="7"/>
      <c r="I381" s="7"/>
      <c r="J381" s="8"/>
      <c r="K381" s="9"/>
    </row>
    <row r="382">
      <c r="A382" s="6"/>
      <c r="B382" s="7"/>
      <c r="C382" s="7"/>
      <c r="D382" s="7"/>
      <c r="E382" s="7"/>
      <c r="F382" s="7"/>
      <c r="G382" s="7"/>
      <c r="H382" s="7"/>
      <c r="I382" s="7"/>
      <c r="J382" s="8"/>
      <c r="K382" s="9"/>
    </row>
    <row r="383">
      <c r="A383" s="6"/>
      <c r="B383" s="7"/>
      <c r="C383" s="7"/>
      <c r="D383" s="7"/>
      <c r="E383" s="7"/>
      <c r="F383" s="7"/>
      <c r="G383" s="7"/>
      <c r="H383" s="7"/>
      <c r="I383" s="7"/>
      <c r="J383" s="8"/>
      <c r="K383" s="9"/>
    </row>
    <row r="384">
      <c r="A384" s="6"/>
      <c r="B384" s="7"/>
      <c r="C384" s="7"/>
      <c r="D384" s="7"/>
      <c r="E384" s="7"/>
      <c r="F384" s="7"/>
      <c r="G384" s="7"/>
      <c r="H384" s="7"/>
      <c r="I384" s="7"/>
      <c r="J384" s="8"/>
      <c r="K384" s="9"/>
    </row>
    <row r="385">
      <c r="A385" s="6"/>
      <c r="B385" s="7"/>
      <c r="C385" s="7"/>
      <c r="D385" s="7"/>
      <c r="E385" s="7"/>
      <c r="F385" s="7"/>
      <c r="G385" s="7"/>
      <c r="H385" s="7"/>
      <c r="I385" s="7"/>
      <c r="J385" s="8"/>
      <c r="K385" s="9"/>
    </row>
    <row r="386">
      <c r="A386" s="6"/>
      <c r="B386" s="7"/>
      <c r="C386" s="7"/>
      <c r="D386" s="7"/>
      <c r="E386" s="7"/>
      <c r="F386" s="7"/>
      <c r="G386" s="7"/>
      <c r="H386" s="7"/>
      <c r="I386" s="7"/>
      <c r="J386" s="8"/>
      <c r="K386" s="9"/>
    </row>
    <row r="387">
      <c r="A387" s="6"/>
      <c r="B387" s="7"/>
      <c r="C387" s="7"/>
      <c r="D387" s="7"/>
      <c r="E387" s="7"/>
      <c r="F387" s="7"/>
      <c r="G387" s="7"/>
      <c r="H387" s="7"/>
      <c r="I387" s="7"/>
      <c r="J387" s="8"/>
      <c r="K387" s="9"/>
    </row>
    <row r="388">
      <c r="A388" s="6"/>
      <c r="B388" s="7"/>
      <c r="C388" s="7"/>
      <c r="D388" s="7"/>
      <c r="E388" s="7"/>
      <c r="F388" s="7"/>
      <c r="G388" s="7"/>
      <c r="H388" s="7"/>
      <c r="I388" s="7"/>
      <c r="J388" s="8"/>
      <c r="K388" s="9"/>
    </row>
    <row r="389">
      <c r="A389" s="6"/>
      <c r="B389" s="7"/>
      <c r="C389" s="7"/>
      <c r="D389" s="7"/>
      <c r="E389" s="7"/>
      <c r="F389" s="7"/>
      <c r="G389" s="7"/>
      <c r="H389" s="7"/>
      <c r="I389" s="7"/>
      <c r="J389" s="8"/>
      <c r="K389" s="9"/>
    </row>
    <row r="390">
      <c r="A390" s="6"/>
      <c r="B390" s="7"/>
      <c r="C390" s="7"/>
      <c r="D390" s="7"/>
      <c r="E390" s="7"/>
      <c r="F390" s="7"/>
      <c r="G390" s="7"/>
      <c r="H390" s="7"/>
      <c r="I390" s="7"/>
      <c r="J390" s="8"/>
      <c r="K390" s="9"/>
    </row>
    <row r="391">
      <c r="A391" s="6"/>
      <c r="B391" s="7"/>
      <c r="C391" s="7"/>
      <c r="D391" s="7"/>
      <c r="E391" s="7"/>
      <c r="F391" s="7"/>
      <c r="G391" s="7"/>
      <c r="H391" s="7"/>
      <c r="I391" s="7"/>
      <c r="J391" s="8"/>
      <c r="K391" s="9"/>
    </row>
    <row r="392">
      <c r="A392" s="6"/>
      <c r="B392" s="7"/>
      <c r="C392" s="7"/>
      <c r="D392" s="7"/>
      <c r="E392" s="7"/>
      <c r="F392" s="7"/>
      <c r="G392" s="7"/>
      <c r="H392" s="7"/>
      <c r="I392" s="7"/>
      <c r="J392" s="8"/>
      <c r="K392" s="9"/>
    </row>
    <row r="393">
      <c r="A393" s="6"/>
      <c r="B393" s="7"/>
      <c r="C393" s="7"/>
      <c r="D393" s="7"/>
      <c r="E393" s="7"/>
      <c r="F393" s="7"/>
      <c r="G393" s="7"/>
      <c r="H393" s="7"/>
      <c r="I393" s="7"/>
      <c r="J393" s="8"/>
      <c r="K393" s="9"/>
    </row>
    <row r="394">
      <c r="A394" s="6"/>
      <c r="B394" s="7"/>
      <c r="C394" s="7"/>
      <c r="D394" s="7"/>
      <c r="E394" s="7"/>
      <c r="F394" s="7"/>
      <c r="G394" s="7"/>
      <c r="H394" s="7"/>
      <c r="I394" s="7"/>
      <c r="J394" s="8"/>
      <c r="K394" s="9"/>
    </row>
    <row r="395">
      <c r="A395" s="6"/>
      <c r="B395" s="7"/>
      <c r="C395" s="7"/>
      <c r="D395" s="7"/>
      <c r="E395" s="7"/>
      <c r="F395" s="7"/>
      <c r="G395" s="7"/>
      <c r="H395" s="7"/>
      <c r="I395" s="7"/>
      <c r="J395" s="8"/>
      <c r="K395" s="9"/>
    </row>
    <row r="396">
      <c r="A396" s="6"/>
      <c r="B396" s="7"/>
      <c r="C396" s="7"/>
      <c r="D396" s="7"/>
      <c r="E396" s="7"/>
      <c r="F396" s="7"/>
      <c r="G396" s="7"/>
      <c r="H396" s="7"/>
      <c r="I396" s="7"/>
      <c r="J396" s="8"/>
      <c r="K396" s="9"/>
    </row>
    <row r="397">
      <c r="A397" s="6"/>
      <c r="B397" s="7"/>
      <c r="C397" s="7"/>
      <c r="D397" s="7"/>
      <c r="E397" s="7"/>
      <c r="F397" s="7"/>
      <c r="G397" s="7"/>
      <c r="H397" s="7"/>
      <c r="I397" s="7"/>
      <c r="J397" s="8"/>
      <c r="K397" s="9"/>
    </row>
    <row r="398">
      <c r="A398" s="6"/>
      <c r="B398" s="7"/>
      <c r="C398" s="7"/>
      <c r="D398" s="7"/>
      <c r="E398" s="7"/>
      <c r="F398" s="7"/>
      <c r="G398" s="7"/>
      <c r="H398" s="7"/>
      <c r="I398" s="7"/>
      <c r="J398" s="8"/>
      <c r="K398" s="9"/>
    </row>
    <row r="399">
      <c r="A399" s="6"/>
      <c r="B399" s="7"/>
      <c r="C399" s="7"/>
      <c r="D399" s="7"/>
      <c r="E399" s="7"/>
      <c r="F399" s="7"/>
      <c r="G399" s="7"/>
      <c r="H399" s="7"/>
      <c r="I399" s="7"/>
      <c r="J399" s="8"/>
      <c r="K399" s="9"/>
    </row>
    <row r="400">
      <c r="A400" s="6"/>
      <c r="B400" s="7"/>
      <c r="C400" s="7"/>
      <c r="D400" s="7"/>
      <c r="E400" s="7"/>
      <c r="F400" s="7"/>
      <c r="G400" s="7"/>
      <c r="H400" s="7"/>
      <c r="I400" s="7"/>
      <c r="J400" s="8"/>
      <c r="K400" s="9"/>
    </row>
    <row r="401">
      <c r="A401" s="6"/>
      <c r="B401" s="7"/>
      <c r="C401" s="7"/>
      <c r="D401" s="7"/>
      <c r="E401" s="7"/>
      <c r="F401" s="7"/>
      <c r="G401" s="7"/>
      <c r="H401" s="7"/>
      <c r="I401" s="7"/>
      <c r="J401" s="8"/>
      <c r="K401" s="9"/>
    </row>
    <row r="402">
      <c r="A402" s="6"/>
      <c r="B402" s="7"/>
      <c r="C402" s="7"/>
      <c r="D402" s="7"/>
      <c r="E402" s="7"/>
      <c r="F402" s="7"/>
      <c r="G402" s="7"/>
      <c r="H402" s="7"/>
      <c r="I402" s="7"/>
      <c r="J402" s="8"/>
      <c r="K402" s="9"/>
    </row>
    <row r="403">
      <c r="A403" s="6"/>
      <c r="B403" s="7"/>
      <c r="C403" s="7"/>
      <c r="D403" s="7"/>
      <c r="E403" s="7"/>
      <c r="F403" s="7"/>
      <c r="G403" s="7"/>
      <c r="H403" s="7"/>
      <c r="I403" s="7"/>
      <c r="J403" s="8"/>
      <c r="K403" s="9"/>
    </row>
    <row r="404">
      <c r="A404" s="6"/>
      <c r="B404" s="7"/>
      <c r="C404" s="7"/>
      <c r="D404" s="7"/>
      <c r="E404" s="7"/>
      <c r="F404" s="7"/>
      <c r="G404" s="7"/>
      <c r="H404" s="7"/>
      <c r="I404" s="7"/>
      <c r="J404" s="8"/>
      <c r="K404" s="9"/>
    </row>
    <row r="405">
      <c r="A405" s="6"/>
      <c r="B405" s="7"/>
      <c r="C405" s="7"/>
      <c r="D405" s="7"/>
      <c r="E405" s="7"/>
      <c r="F405" s="7"/>
      <c r="G405" s="7"/>
      <c r="H405" s="7"/>
      <c r="I405" s="7"/>
      <c r="J405" s="8"/>
      <c r="K405" s="9"/>
    </row>
    <row r="406">
      <c r="A406" s="6"/>
      <c r="B406" s="7"/>
      <c r="C406" s="7"/>
      <c r="D406" s="7"/>
      <c r="E406" s="7"/>
      <c r="F406" s="7"/>
      <c r="G406" s="7"/>
      <c r="H406" s="7"/>
      <c r="I406" s="7"/>
      <c r="J406" s="8"/>
      <c r="K406" s="9"/>
    </row>
    <row r="407">
      <c r="A407" s="6"/>
      <c r="B407" s="7"/>
      <c r="C407" s="7"/>
      <c r="D407" s="7"/>
      <c r="E407" s="7"/>
      <c r="F407" s="7"/>
      <c r="G407" s="7"/>
      <c r="H407" s="7"/>
      <c r="I407" s="7"/>
      <c r="J407" s="8"/>
      <c r="K407" s="9"/>
    </row>
    <row r="408">
      <c r="A408" s="6"/>
      <c r="B408" s="7"/>
      <c r="C408" s="7"/>
      <c r="D408" s="7"/>
      <c r="E408" s="7"/>
      <c r="F408" s="7"/>
      <c r="G408" s="7"/>
      <c r="H408" s="7"/>
      <c r="I408" s="7"/>
      <c r="J408" s="8"/>
      <c r="K408" s="9"/>
    </row>
    <row r="409">
      <c r="A409" s="6"/>
      <c r="B409" s="7"/>
      <c r="C409" s="7"/>
      <c r="D409" s="7"/>
      <c r="E409" s="7"/>
      <c r="F409" s="7"/>
      <c r="G409" s="7"/>
      <c r="H409" s="7"/>
      <c r="I409" s="7"/>
      <c r="J409" s="8"/>
      <c r="K409" s="9"/>
    </row>
    <row r="410">
      <c r="A410" s="6"/>
      <c r="B410" s="7"/>
      <c r="C410" s="7"/>
      <c r="D410" s="7"/>
      <c r="E410" s="7"/>
      <c r="F410" s="7"/>
      <c r="G410" s="7"/>
      <c r="H410" s="7"/>
      <c r="I410" s="7"/>
      <c r="J410" s="8"/>
      <c r="K410" s="9"/>
    </row>
    <row r="411">
      <c r="A411" s="6"/>
      <c r="B411" s="7"/>
      <c r="C411" s="7"/>
      <c r="D411" s="7"/>
      <c r="E411" s="7"/>
      <c r="F411" s="7"/>
      <c r="G411" s="7"/>
      <c r="H411" s="7"/>
      <c r="I411" s="7"/>
      <c r="J411" s="8"/>
      <c r="K411" s="9"/>
    </row>
    <row r="412">
      <c r="A412" s="6"/>
      <c r="B412" s="7"/>
      <c r="C412" s="7"/>
      <c r="D412" s="7"/>
      <c r="E412" s="7"/>
      <c r="F412" s="7"/>
      <c r="G412" s="7"/>
      <c r="H412" s="7"/>
      <c r="I412" s="7"/>
      <c r="J412" s="8"/>
      <c r="K412" s="9"/>
    </row>
    <row r="413">
      <c r="A413" s="6"/>
      <c r="B413" s="7"/>
      <c r="C413" s="7"/>
      <c r="D413" s="7"/>
      <c r="E413" s="7"/>
      <c r="F413" s="7"/>
      <c r="G413" s="7"/>
      <c r="H413" s="7"/>
      <c r="I413" s="7"/>
      <c r="J413" s="8"/>
      <c r="K413" s="9"/>
    </row>
    <row r="414">
      <c r="A414" s="6"/>
      <c r="B414" s="7"/>
      <c r="C414" s="7"/>
      <c r="D414" s="7"/>
      <c r="E414" s="7"/>
      <c r="F414" s="7"/>
      <c r="G414" s="7"/>
      <c r="H414" s="7"/>
      <c r="I414" s="7"/>
      <c r="J414" s="8"/>
      <c r="K414" s="9"/>
    </row>
    <row r="415">
      <c r="A415" s="6"/>
      <c r="B415" s="7"/>
      <c r="C415" s="7"/>
      <c r="D415" s="7"/>
      <c r="E415" s="7"/>
      <c r="F415" s="7"/>
      <c r="G415" s="7"/>
      <c r="H415" s="7"/>
      <c r="I415" s="7"/>
      <c r="J415" s="8"/>
      <c r="K415" s="9"/>
    </row>
    <row r="416">
      <c r="A416" s="6"/>
      <c r="B416" s="7"/>
      <c r="C416" s="7"/>
      <c r="D416" s="7"/>
      <c r="E416" s="7"/>
      <c r="F416" s="7"/>
      <c r="G416" s="7"/>
      <c r="H416" s="7"/>
      <c r="I416" s="7"/>
      <c r="J416" s="8"/>
      <c r="K416" s="9"/>
    </row>
    <row r="417">
      <c r="A417" s="6"/>
      <c r="B417" s="7"/>
      <c r="C417" s="7"/>
      <c r="D417" s="7"/>
      <c r="E417" s="7"/>
      <c r="F417" s="7"/>
      <c r="G417" s="7"/>
      <c r="H417" s="7"/>
      <c r="I417" s="7"/>
      <c r="J417" s="8"/>
      <c r="K417" s="9"/>
    </row>
    <row r="418">
      <c r="A418" s="6"/>
      <c r="B418" s="7"/>
      <c r="C418" s="7"/>
      <c r="D418" s="7"/>
      <c r="E418" s="7"/>
      <c r="F418" s="7"/>
      <c r="G418" s="7"/>
      <c r="H418" s="7"/>
      <c r="I418" s="7"/>
      <c r="J418" s="8"/>
      <c r="K418" s="9"/>
    </row>
    <row r="419">
      <c r="A419" s="6"/>
      <c r="B419" s="7"/>
      <c r="C419" s="7"/>
      <c r="D419" s="7"/>
      <c r="E419" s="7"/>
      <c r="F419" s="7"/>
      <c r="G419" s="7"/>
      <c r="H419" s="7"/>
      <c r="I419" s="7"/>
      <c r="J419" s="8"/>
      <c r="K419" s="9"/>
    </row>
    <row r="420">
      <c r="A420" s="6"/>
      <c r="B420" s="7"/>
      <c r="C420" s="7"/>
      <c r="D420" s="7"/>
      <c r="E420" s="7"/>
      <c r="F420" s="7"/>
      <c r="G420" s="7"/>
      <c r="H420" s="7"/>
      <c r="I420" s="7"/>
      <c r="J420" s="8"/>
      <c r="K420" s="9"/>
    </row>
    <row r="421">
      <c r="A421" s="6"/>
      <c r="B421" s="7"/>
      <c r="C421" s="7"/>
      <c r="D421" s="7"/>
      <c r="E421" s="7"/>
      <c r="F421" s="7"/>
      <c r="G421" s="7"/>
      <c r="H421" s="7"/>
      <c r="I421" s="7"/>
      <c r="J421" s="8"/>
      <c r="K421" s="9"/>
    </row>
    <row r="422">
      <c r="A422" s="6"/>
      <c r="B422" s="7"/>
      <c r="C422" s="7"/>
      <c r="D422" s="7"/>
      <c r="E422" s="7"/>
      <c r="F422" s="7"/>
      <c r="G422" s="7"/>
      <c r="H422" s="7"/>
      <c r="I422" s="7"/>
      <c r="J422" s="8"/>
      <c r="K422" s="9"/>
    </row>
    <row r="423">
      <c r="A423" s="6"/>
      <c r="B423" s="7"/>
      <c r="C423" s="7"/>
      <c r="D423" s="7"/>
      <c r="E423" s="7"/>
      <c r="F423" s="7"/>
      <c r="G423" s="7"/>
      <c r="H423" s="7"/>
      <c r="I423" s="7"/>
      <c r="J423" s="8"/>
      <c r="K423" s="9"/>
    </row>
    <row r="424">
      <c r="A424" s="6"/>
      <c r="B424" s="7"/>
      <c r="C424" s="7"/>
      <c r="D424" s="7"/>
      <c r="E424" s="7"/>
      <c r="F424" s="7"/>
      <c r="G424" s="7"/>
      <c r="H424" s="7"/>
      <c r="I424" s="7"/>
      <c r="J424" s="8"/>
      <c r="K424" s="9"/>
    </row>
    <row r="425">
      <c r="A425" s="6"/>
      <c r="B425" s="7"/>
      <c r="C425" s="7"/>
      <c r="D425" s="7"/>
      <c r="E425" s="7"/>
      <c r="F425" s="7"/>
      <c r="G425" s="7"/>
      <c r="H425" s="7"/>
      <c r="I425" s="7"/>
      <c r="J425" s="8"/>
      <c r="K425" s="9"/>
    </row>
    <row r="426">
      <c r="A426" s="6"/>
      <c r="B426" s="7"/>
      <c r="C426" s="7"/>
      <c r="D426" s="7"/>
      <c r="E426" s="7"/>
      <c r="F426" s="7"/>
      <c r="G426" s="7"/>
      <c r="H426" s="7"/>
      <c r="I426" s="7"/>
      <c r="J426" s="8"/>
      <c r="K426" s="9"/>
    </row>
    <row r="427">
      <c r="A427" s="6"/>
      <c r="B427" s="7"/>
      <c r="C427" s="7"/>
      <c r="D427" s="7"/>
      <c r="E427" s="7"/>
      <c r="F427" s="7"/>
      <c r="G427" s="7"/>
      <c r="H427" s="7"/>
      <c r="I427" s="7"/>
      <c r="J427" s="8"/>
      <c r="K427" s="9"/>
    </row>
    <row r="428">
      <c r="A428" s="6"/>
      <c r="B428" s="7"/>
      <c r="C428" s="7"/>
      <c r="D428" s="7"/>
      <c r="E428" s="7"/>
      <c r="F428" s="7"/>
      <c r="G428" s="7"/>
      <c r="H428" s="7"/>
      <c r="I428" s="7"/>
      <c r="J428" s="8"/>
      <c r="K428" s="9"/>
    </row>
    <row r="429">
      <c r="A429" s="6"/>
      <c r="B429" s="7"/>
      <c r="C429" s="7"/>
      <c r="D429" s="7"/>
      <c r="E429" s="7"/>
      <c r="F429" s="7"/>
      <c r="G429" s="7"/>
      <c r="H429" s="7"/>
      <c r="I429" s="7"/>
      <c r="J429" s="8"/>
      <c r="K429" s="9"/>
    </row>
    <row r="430">
      <c r="A430" s="6"/>
      <c r="B430" s="7"/>
      <c r="C430" s="7"/>
      <c r="D430" s="7"/>
      <c r="E430" s="7"/>
      <c r="F430" s="7"/>
      <c r="G430" s="7"/>
      <c r="H430" s="7"/>
      <c r="I430" s="7"/>
      <c r="J430" s="8"/>
      <c r="K430" s="9"/>
    </row>
    <row r="431">
      <c r="A431" s="6"/>
      <c r="B431" s="7"/>
      <c r="C431" s="7"/>
      <c r="D431" s="7"/>
      <c r="E431" s="7"/>
      <c r="F431" s="7"/>
      <c r="G431" s="7"/>
      <c r="H431" s="7"/>
      <c r="I431" s="7"/>
      <c r="J431" s="8"/>
      <c r="K431" s="9"/>
    </row>
    <row r="432">
      <c r="A432" s="6"/>
      <c r="B432" s="7"/>
      <c r="C432" s="7"/>
      <c r="D432" s="7"/>
      <c r="E432" s="7"/>
      <c r="F432" s="7"/>
      <c r="G432" s="7"/>
      <c r="H432" s="7"/>
      <c r="I432" s="7"/>
      <c r="J432" s="8"/>
      <c r="K432" s="9"/>
    </row>
    <row r="433">
      <c r="A433" s="6"/>
      <c r="B433" s="7"/>
      <c r="C433" s="7"/>
      <c r="D433" s="7"/>
      <c r="E433" s="7"/>
      <c r="F433" s="7"/>
      <c r="G433" s="7"/>
      <c r="H433" s="7"/>
      <c r="I433" s="7"/>
      <c r="J433" s="8"/>
      <c r="K433" s="9"/>
    </row>
    <row r="434">
      <c r="A434" s="6"/>
      <c r="B434" s="7"/>
      <c r="C434" s="7"/>
      <c r="D434" s="7"/>
      <c r="E434" s="7"/>
      <c r="F434" s="7"/>
      <c r="G434" s="7"/>
      <c r="H434" s="7"/>
      <c r="I434" s="7"/>
      <c r="J434" s="8"/>
      <c r="K434" s="9"/>
    </row>
    <row r="435">
      <c r="A435" s="6"/>
      <c r="B435" s="7"/>
      <c r="C435" s="7"/>
      <c r="D435" s="7"/>
      <c r="E435" s="7"/>
      <c r="F435" s="7"/>
      <c r="G435" s="7"/>
      <c r="H435" s="7"/>
      <c r="I435" s="7"/>
      <c r="J435" s="8"/>
      <c r="K435" s="9"/>
    </row>
    <row r="436">
      <c r="A436" s="6"/>
      <c r="B436" s="7"/>
      <c r="C436" s="7"/>
      <c r="D436" s="7"/>
      <c r="E436" s="7"/>
      <c r="F436" s="7"/>
      <c r="G436" s="7"/>
      <c r="H436" s="7"/>
      <c r="I436" s="7"/>
      <c r="J436" s="8"/>
      <c r="K436" s="9"/>
    </row>
    <row r="437">
      <c r="A437" s="6"/>
      <c r="B437" s="7"/>
      <c r="C437" s="7"/>
      <c r="D437" s="7"/>
      <c r="E437" s="7"/>
      <c r="F437" s="7"/>
      <c r="G437" s="7"/>
      <c r="H437" s="7"/>
      <c r="I437" s="7"/>
      <c r="J437" s="8"/>
      <c r="K437" s="9"/>
    </row>
    <row r="438">
      <c r="A438" s="6"/>
      <c r="B438" s="7"/>
      <c r="C438" s="7"/>
      <c r="D438" s="7"/>
      <c r="E438" s="7"/>
      <c r="F438" s="7"/>
      <c r="G438" s="7"/>
      <c r="H438" s="7"/>
      <c r="I438" s="7"/>
      <c r="J438" s="8"/>
      <c r="K438" s="9"/>
    </row>
    <row r="439">
      <c r="A439" s="6"/>
      <c r="B439" s="7"/>
      <c r="C439" s="7"/>
      <c r="D439" s="7"/>
      <c r="E439" s="7"/>
      <c r="F439" s="7"/>
      <c r="G439" s="7"/>
      <c r="H439" s="7"/>
      <c r="I439" s="7"/>
      <c r="J439" s="8"/>
      <c r="K439" s="9"/>
    </row>
    <row r="440">
      <c r="A440" s="6"/>
      <c r="B440" s="7"/>
      <c r="C440" s="7"/>
      <c r="D440" s="7"/>
      <c r="E440" s="7"/>
      <c r="F440" s="7"/>
      <c r="G440" s="7"/>
      <c r="H440" s="7"/>
      <c r="I440" s="7"/>
      <c r="J440" s="8"/>
      <c r="K440" s="9"/>
    </row>
    <row r="441">
      <c r="A441" s="6"/>
      <c r="B441" s="7"/>
      <c r="C441" s="7"/>
      <c r="D441" s="7"/>
      <c r="E441" s="7"/>
      <c r="F441" s="7"/>
      <c r="G441" s="7"/>
      <c r="H441" s="7"/>
      <c r="I441" s="7"/>
      <c r="J441" s="8"/>
      <c r="K441" s="9"/>
    </row>
    <row r="442">
      <c r="A442" s="6"/>
      <c r="B442" s="7"/>
      <c r="C442" s="7"/>
      <c r="D442" s="7"/>
      <c r="E442" s="7"/>
      <c r="F442" s="7"/>
      <c r="G442" s="7"/>
      <c r="H442" s="7"/>
      <c r="I442" s="7"/>
      <c r="J442" s="8"/>
      <c r="K442" s="9"/>
    </row>
    <row r="443">
      <c r="A443" s="6"/>
      <c r="B443" s="7"/>
      <c r="C443" s="7"/>
      <c r="D443" s="7"/>
      <c r="E443" s="7"/>
      <c r="F443" s="7"/>
      <c r="G443" s="7"/>
      <c r="H443" s="7"/>
      <c r="I443" s="7"/>
      <c r="J443" s="8"/>
      <c r="K443" s="9"/>
    </row>
    <row r="444">
      <c r="A444" s="6"/>
      <c r="B444" s="7"/>
      <c r="C444" s="7"/>
      <c r="D444" s="7"/>
      <c r="E444" s="7"/>
      <c r="F444" s="7"/>
      <c r="G444" s="7"/>
      <c r="H444" s="7"/>
      <c r="I444" s="7"/>
      <c r="J444" s="8"/>
      <c r="K444" s="9"/>
    </row>
    <row r="445">
      <c r="A445" s="6"/>
      <c r="B445" s="7"/>
      <c r="C445" s="7"/>
      <c r="D445" s="7"/>
      <c r="E445" s="7"/>
      <c r="F445" s="7"/>
      <c r="G445" s="7"/>
      <c r="H445" s="7"/>
      <c r="I445" s="7"/>
      <c r="J445" s="8"/>
      <c r="K445" s="9"/>
    </row>
    <row r="446">
      <c r="A446" s="6"/>
      <c r="B446" s="7"/>
      <c r="C446" s="7"/>
      <c r="D446" s="7"/>
      <c r="E446" s="7"/>
      <c r="F446" s="7"/>
      <c r="G446" s="7"/>
      <c r="H446" s="7"/>
      <c r="I446" s="7"/>
      <c r="J446" s="8"/>
      <c r="K446" s="9"/>
    </row>
    <row r="447">
      <c r="A447" s="6"/>
      <c r="B447" s="7"/>
      <c r="C447" s="7"/>
      <c r="D447" s="7"/>
      <c r="E447" s="7"/>
      <c r="F447" s="7"/>
      <c r="G447" s="7"/>
      <c r="H447" s="7"/>
      <c r="I447" s="7"/>
      <c r="J447" s="8"/>
      <c r="K447" s="9"/>
    </row>
    <row r="448">
      <c r="A448" s="6"/>
      <c r="B448" s="7"/>
      <c r="C448" s="7"/>
      <c r="D448" s="7"/>
      <c r="E448" s="7"/>
      <c r="F448" s="7"/>
      <c r="G448" s="7"/>
      <c r="H448" s="7"/>
      <c r="I448" s="7"/>
      <c r="J448" s="8"/>
      <c r="K448" s="9"/>
    </row>
    <row r="449">
      <c r="A449" s="6"/>
      <c r="B449" s="7"/>
      <c r="C449" s="7"/>
      <c r="D449" s="7"/>
      <c r="E449" s="7"/>
      <c r="F449" s="7"/>
      <c r="G449" s="7"/>
      <c r="H449" s="7"/>
      <c r="I449" s="7"/>
      <c r="J449" s="8"/>
      <c r="K449" s="9"/>
    </row>
    <row r="450">
      <c r="A450" s="6"/>
      <c r="B450" s="7"/>
      <c r="C450" s="7"/>
      <c r="D450" s="7"/>
      <c r="E450" s="7"/>
      <c r="F450" s="7"/>
      <c r="G450" s="7"/>
      <c r="H450" s="7"/>
      <c r="I450" s="7"/>
      <c r="J450" s="8"/>
      <c r="K450" s="9"/>
    </row>
    <row r="451">
      <c r="A451" s="6"/>
      <c r="B451" s="7"/>
      <c r="C451" s="7"/>
      <c r="D451" s="7"/>
      <c r="E451" s="7"/>
      <c r="F451" s="7"/>
      <c r="G451" s="7"/>
      <c r="H451" s="7"/>
      <c r="I451" s="7"/>
      <c r="J451" s="8"/>
      <c r="K451" s="9"/>
    </row>
    <row r="452">
      <c r="A452" s="6"/>
      <c r="B452" s="7"/>
      <c r="C452" s="7"/>
      <c r="D452" s="7"/>
      <c r="E452" s="7"/>
      <c r="F452" s="7"/>
      <c r="G452" s="7"/>
      <c r="H452" s="7"/>
      <c r="I452" s="7"/>
      <c r="J452" s="8"/>
      <c r="K452" s="9"/>
    </row>
    <row r="453">
      <c r="A453" s="6"/>
      <c r="B453" s="7"/>
      <c r="C453" s="7"/>
      <c r="D453" s="7"/>
      <c r="E453" s="7"/>
      <c r="F453" s="7"/>
      <c r="G453" s="7"/>
      <c r="H453" s="7"/>
      <c r="I453" s="7"/>
      <c r="J453" s="8"/>
      <c r="K453" s="9"/>
    </row>
    <row r="454">
      <c r="A454" s="6"/>
      <c r="B454" s="7"/>
      <c r="C454" s="7"/>
      <c r="D454" s="7"/>
      <c r="E454" s="7"/>
      <c r="F454" s="7"/>
      <c r="G454" s="7"/>
      <c r="H454" s="7"/>
      <c r="I454" s="7"/>
      <c r="J454" s="8"/>
      <c r="K454" s="9"/>
    </row>
    <row r="455">
      <c r="A455" s="6"/>
      <c r="B455" s="7"/>
      <c r="C455" s="7"/>
      <c r="D455" s="7"/>
      <c r="E455" s="7"/>
      <c r="F455" s="7"/>
      <c r="G455" s="7"/>
      <c r="H455" s="7"/>
      <c r="I455" s="7"/>
      <c r="J455" s="8"/>
      <c r="K455" s="9"/>
    </row>
    <row r="456">
      <c r="A456" s="6"/>
      <c r="B456" s="7"/>
      <c r="C456" s="7"/>
      <c r="D456" s="7"/>
      <c r="E456" s="7"/>
      <c r="F456" s="7"/>
      <c r="G456" s="7"/>
      <c r="H456" s="7"/>
      <c r="I456" s="7"/>
      <c r="J456" s="8"/>
      <c r="K456" s="9"/>
    </row>
    <row r="457">
      <c r="A457" s="6"/>
      <c r="B457" s="7"/>
      <c r="C457" s="7"/>
      <c r="D457" s="7"/>
      <c r="E457" s="7"/>
      <c r="F457" s="7"/>
      <c r="G457" s="7"/>
      <c r="H457" s="7"/>
      <c r="I457" s="7"/>
      <c r="J457" s="8"/>
      <c r="K457" s="9"/>
    </row>
    <row r="458">
      <c r="A458" s="6"/>
      <c r="B458" s="7"/>
      <c r="C458" s="7"/>
      <c r="D458" s="7"/>
      <c r="E458" s="7"/>
      <c r="F458" s="7"/>
      <c r="G458" s="7"/>
      <c r="H458" s="7"/>
      <c r="I458" s="7"/>
      <c r="J458" s="8"/>
      <c r="K458" s="9"/>
    </row>
    <row r="459">
      <c r="A459" s="6"/>
      <c r="B459" s="7"/>
      <c r="C459" s="7"/>
      <c r="D459" s="7"/>
      <c r="E459" s="7"/>
      <c r="F459" s="7"/>
      <c r="G459" s="7"/>
      <c r="H459" s="7"/>
      <c r="I459" s="7"/>
      <c r="J459" s="8"/>
      <c r="K459" s="9"/>
    </row>
    <row r="460">
      <c r="A460" s="6"/>
      <c r="B460" s="7"/>
      <c r="C460" s="7"/>
      <c r="D460" s="7"/>
      <c r="E460" s="7"/>
      <c r="F460" s="7"/>
      <c r="G460" s="7"/>
      <c r="H460" s="7"/>
      <c r="I460" s="7"/>
      <c r="J460" s="8"/>
      <c r="K460" s="9"/>
    </row>
    <row r="461">
      <c r="A461" s="6"/>
      <c r="B461" s="7"/>
      <c r="C461" s="7"/>
      <c r="D461" s="7"/>
      <c r="E461" s="7"/>
      <c r="F461" s="7"/>
      <c r="G461" s="7"/>
      <c r="H461" s="7"/>
      <c r="I461" s="7"/>
      <c r="J461" s="8"/>
      <c r="K461" s="9"/>
    </row>
    <row r="462">
      <c r="A462" s="6"/>
      <c r="B462" s="7"/>
      <c r="C462" s="7"/>
      <c r="D462" s="7"/>
      <c r="E462" s="7"/>
      <c r="F462" s="7"/>
      <c r="G462" s="7"/>
      <c r="H462" s="7"/>
      <c r="I462" s="7"/>
      <c r="J462" s="8"/>
      <c r="K462" s="9"/>
    </row>
    <row r="463">
      <c r="A463" s="6"/>
      <c r="B463" s="7"/>
      <c r="C463" s="7"/>
      <c r="D463" s="7"/>
      <c r="E463" s="7"/>
      <c r="F463" s="7"/>
      <c r="G463" s="7"/>
      <c r="H463" s="7"/>
      <c r="I463" s="7"/>
      <c r="J463" s="8"/>
      <c r="K463" s="9"/>
    </row>
    <row r="464">
      <c r="A464" s="6"/>
      <c r="B464" s="7"/>
      <c r="C464" s="7"/>
      <c r="D464" s="7"/>
      <c r="E464" s="7"/>
      <c r="F464" s="7"/>
      <c r="G464" s="7"/>
      <c r="H464" s="7"/>
      <c r="I464" s="7"/>
      <c r="J464" s="8"/>
      <c r="K464" s="9"/>
    </row>
    <row r="465">
      <c r="A465" s="6"/>
      <c r="B465" s="7"/>
      <c r="C465" s="7"/>
      <c r="D465" s="7"/>
      <c r="E465" s="7"/>
      <c r="F465" s="7"/>
      <c r="G465" s="7"/>
      <c r="H465" s="7"/>
      <c r="I465" s="7"/>
      <c r="J465" s="8"/>
      <c r="K465" s="9"/>
    </row>
    <row r="466">
      <c r="A466" s="6"/>
      <c r="B466" s="7"/>
      <c r="C466" s="7"/>
      <c r="D466" s="7"/>
      <c r="E466" s="7"/>
      <c r="F466" s="7"/>
      <c r="G466" s="7"/>
      <c r="H466" s="7"/>
      <c r="I466" s="7"/>
      <c r="J466" s="8"/>
      <c r="K466" s="9"/>
    </row>
    <row r="467">
      <c r="A467" s="6"/>
      <c r="B467" s="7"/>
      <c r="C467" s="7"/>
      <c r="D467" s="7"/>
      <c r="E467" s="7"/>
      <c r="F467" s="7"/>
      <c r="G467" s="7"/>
      <c r="H467" s="7"/>
      <c r="I467" s="7"/>
      <c r="J467" s="8"/>
      <c r="K467" s="9"/>
    </row>
    <row r="468">
      <c r="A468" s="6"/>
      <c r="B468" s="7"/>
      <c r="C468" s="7"/>
      <c r="D468" s="7"/>
      <c r="E468" s="7"/>
      <c r="F468" s="7"/>
      <c r="G468" s="7"/>
      <c r="H468" s="7"/>
      <c r="I468" s="7"/>
      <c r="J468" s="8"/>
      <c r="K468" s="9"/>
    </row>
    <row r="469">
      <c r="A469" s="6"/>
      <c r="B469" s="7"/>
      <c r="C469" s="7"/>
      <c r="D469" s="7"/>
      <c r="E469" s="7"/>
      <c r="F469" s="7"/>
      <c r="G469" s="7"/>
      <c r="H469" s="7"/>
      <c r="I469" s="7"/>
      <c r="J469" s="8"/>
      <c r="K469" s="9"/>
    </row>
    <row r="470">
      <c r="A470" s="6"/>
      <c r="B470" s="7"/>
      <c r="C470" s="7"/>
      <c r="D470" s="7"/>
      <c r="E470" s="7"/>
      <c r="F470" s="7"/>
      <c r="G470" s="7"/>
      <c r="H470" s="7"/>
      <c r="I470" s="7"/>
      <c r="J470" s="8"/>
      <c r="K470" s="9"/>
    </row>
    <row r="471">
      <c r="A471" s="6"/>
      <c r="B471" s="7"/>
      <c r="C471" s="7"/>
      <c r="D471" s="7"/>
      <c r="E471" s="7"/>
      <c r="F471" s="7"/>
      <c r="G471" s="7"/>
      <c r="H471" s="7"/>
      <c r="I471" s="7"/>
      <c r="J471" s="8"/>
      <c r="K471" s="9"/>
    </row>
    <row r="472">
      <c r="A472" s="6"/>
      <c r="B472" s="7"/>
      <c r="C472" s="7"/>
      <c r="D472" s="7"/>
      <c r="E472" s="7"/>
      <c r="F472" s="7"/>
      <c r="G472" s="7"/>
      <c r="H472" s="7"/>
      <c r="I472" s="7"/>
      <c r="J472" s="8"/>
      <c r="K472" s="9"/>
    </row>
    <row r="473">
      <c r="A473" s="6"/>
      <c r="B473" s="7"/>
      <c r="C473" s="7"/>
      <c r="D473" s="7"/>
      <c r="E473" s="7"/>
      <c r="F473" s="7"/>
      <c r="G473" s="7"/>
      <c r="H473" s="7"/>
      <c r="I473" s="7"/>
      <c r="J473" s="8"/>
      <c r="K473" s="9"/>
    </row>
    <row r="474">
      <c r="A474" s="6"/>
      <c r="B474" s="7"/>
      <c r="C474" s="7"/>
      <c r="D474" s="7"/>
      <c r="E474" s="7"/>
      <c r="F474" s="7"/>
      <c r="G474" s="7"/>
      <c r="H474" s="7"/>
      <c r="I474" s="7"/>
      <c r="J474" s="8"/>
      <c r="K474" s="9"/>
    </row>
    <row r="475">
      <c r="A475" s="6"/>
      <c r="B475" s="7"/>
      <c r="C475" s="7"/>
      <c r="D475" s="7"/>
      <c r="E475" s="7"/>
      <c r="F475" s="7"/>
      <c r="G475" s="7"/>
      <c r="H475" s="7"/>
      <c r="I475" s="7"/>
      <c r="J475" s="8"/>
      <c r="K475" s="9"/>
    </row>
    <row r="476">
      <c r="A476" s="6"/>
      <c r="B476" s="7"/>
      <c r="C476" s="7"/>
      <c r="D476" s="7"/>
      <c r="E476" s="7"/>
      <c r="F476" s="7"/>
      <c r="G476" s="7"/>
      <c r="H476" s="7"/>
      <c r="I476" s="7"/>
      <c r="J476" s="8"/>
      <c r="K476" s="9"/>
    </row>
    <row r="477">
      <c r="A477" s="6"/>
      <c r="B477" s="7"/>
      <c r="C477" s="7"/>
      <c r="D477" s="7"/>
      <c r="E477" s="7"/>
      <c r="F477" s="7"/>
      <c r="G477" s="7"/>
      <c r="H477" s="7"/>
      <c r="I477" s="7"/>
      <c r="J477" s="8"/>
      <c r="K477" s="9"/>
    </row>
    <row r="478">
      <c r="A478" s="6"/>
      <c r="B478" s="7"/>
      <c r="C478" s="7"/>
      <c r="D478" s="7"/>
      <c r="E478" s="7"/>
      <c r="F478" s="7"/>
      <c r="G478" s="7"/>
      <c r="H478" s="7"/>
      <c r="I478" s="7"/>
      <c r="J478" s="8"/>
      <c r="K478" s="9"/>
    </row>
    <row r="479">
      <c r="A479" s="6"/>
      <c r="B479" s="7"/>
      <c r="C479" s="7"/>
      <c r="D479" s="7"/>
      <c r="E479" s="7"/>
      <c r="F479" s="7"/>
      <c r="G479" s="7"/>
      <c r="H479" s="7"/>
      <c r="I479" s="7"/>
      <c r="J479" s="8"/>
      <c r="K479" s="9"/>
    </row>
    <row r="480">
      <c r="A480" s="6"/>
      <c r="B480" s="7"/>
      <c r="C480" s="7"/>
      <c r="D480" s="7"/>
      <c r="E480" s="7"/>
      <c r="F480" s="7"/>
      <c r="G480" s="7"/>
      <c r="H480" s="7"/>
      <c r="I480" s="7"/>
      <c r="J480" s="8"/>
      <c r="K480" s="9"/>
    </row>
    <row r="481">
      <c r="A481" s="6"/>
      <c r="B481" s="7"/>
      <c r="C481" s="7"/>
      <c r="D481" s="7"/>
      <c r="E481" s="7"/>
      <c r="F481" s="7"/>
      <c r="G481" s="7"/>
      <c r="H481" s="7"/>
      <c r="I481" s="7"/>
      <c r="J481" s="8"/>
      <c r="K481" s="9"/>
    </row>
    <row r="482">
      <c r="A482" s="6"/>
      <c r="B482" s="7"/>
      <c r="C482" s="7"/>
      <c r="D482" s="7"/>
      <c r="E482" s="7"/>
      <c r="F482" s="7"/>
      <c r="G482" s="7"/>
      <c r="H482" s="7"/>
      <c r="I482" s="7"/>
      <c r="J482" s="8"/>
      <c r="K482" s="9"/>
    </row>
    <row r="483">
      <c r="A483" s="6"/>
      <c r="B483" s="7"/>
      <c r="C483" s="7"/>
      <c r="D483" s="7"/>
      <c r="E483" s="7"/>
      <c r="F483" s="7"/>
      <c r="G483" s="7"/>
      <c r="H483" s="7"/>
      <c r="I483" s="7"/>
      <c r="J483" s="8"/>
      <c r="K483" s="9"/>
    </row>
    <row r="484">
      <c r="A484" s="6"/>
      <c r="B484" s="7"/>
      <c r="C484" s="7"/>
      <c r="D484" s="7"/>
      <c r="E484" s="7"/>
      <c r="F484" s="7"/>
      <c r="G484" s="7"/>
      <c r="H484" s="7"/>
      <c r="I484" s="7"/>
      <c r="J484" s="8"/>
      <c r="K484" s="9"/>
    </row>
    <row r="485">
      <c r="A485" s="6"/>
      <c r="B485" s="7"/>
      <c r="C485" s="7"/>
      <c r="D485" s="7"/>
      <c r="E485" s="7"/>
      <c r="F485" s="7"/>
      <c r="G485" s="7"/>
      <c r="H485" s="7"/>
      <c r="I485" s="7"/>
      <c r="J485" s="8"/>
      <c r="K485" s="9"/>
    </row>
    <row r="486">
      <c r="A486" s="6"/>
      <c r="B486" s="7"/>
      <c r="C486" s="7"/>
      <c r="D486" s="7"/>
      <c r="E486" s="7"/>
      <c r="F486" s="7"/>
      <c r="G486" s="7"/>
      <c r="H486" s="7"/>
      <c r="I486" s="7"/>
      <c r="J486" s="8"/>
      <c r="K486" s="9"/>
    </row>
    <row r="487">
      <c r="A487" s="6"/>
      <c r="B487" s="7"/>
      <c r="C487" s="7"/>
      <c r="D487" s="7"/>
      <c r="E487" s="7"/>
      <c r="F487" s="7"/>
      <c r="G487" s="7"/>
      <c r="H487" s="7"/>
      <c r="I487" s="7"/>
      <c r="J487" s="8"/>
      <c r="K487" s="9"/>
    </row>
    <row r="488">
      <c r="A488" s="6"/>
      <c r="B488" s="7"/>
      <c r="C488" s="7"/>
      <c r="D488" s="7"/>
      <c r="E488" s="7"/>
      <c r="F488" s="7"/>
      <c r="G488" s="7"/>
      <c r="H488" s="7"/>
      <c r="I488" s="7"/>
      <c r="J488" s="8"/>
      <c r="K488" s="9"/>
    </row>
    <row r="489">
      <c r="A489" s="6"/>
      <c r="B489" s="7"/>
      <c r="C489" s="7"/>
      <c r="D489" s="7"/>
      <c r="E489" s="7"/>
      <c r="F489" s="7"/>
      <c r="G489" s="7"/>
      <c r="H489" s="7"/>
      <c r="I489" s="7"/>
      <c r="J489" s="8"/>
      <c r="K489" s="9"/>
    </row>
    <row r="490">
      <c r="A490" s="6"/>
      <c r="B490" s="7"/>
      <c r="C490" s="7"/>
      <c r="D490" s="7"/>
      <c r="E490" s="7"/>
      <c r="F490" s="7"/>
      <c r="G490" s="7"/>
      <c r="H490" s="7"/>
      <c r="I490" s="7"/>
      <c r="J490" s="8"/>
      <c r="K490" s="9"/>
    </row>
    <row r="491">
      <c r="A491" s="6"/>
      <c r="B491" s="7"/>
      <c r="C491" s="7"/>
      <c r="D491" s="7"/>
      <c r="E491" s="7"/>
      <c r="F491" s="7"/>
      <c r="G491" s="7"/>
      <c r="H491" s="7"/>
      <c r="I491" s="7"/>
      <c r="J491" s="8"/>
      <c r="K491" s="9"/>
    </row>
    <row r="492">
      <c r="A492" s="6"/>
      <c r="B492" s="7"/>
      <c r="C492" s="7"/>
      <c r="D492" s="7"/>
      <c r="E492" s="7"/>
      <c r="F492" s="7"/>
      <c r="G492" s="7"/>
      <c r="H492" s="7"/>
      <c r="I492" s="7"/>
      <c r="J492" s="8"/>
      <c r="K492" s="9"/>
    </row>
    <row r="493">
      <c r="A493" s="6"/>
      <c r="B493" s="7"/>
      <c r="C493" s="7"/>
      <c r="D493" s="7"/>
      <c r="E493" s="7"/>
      <c r="F493" s="7"/>
      <c r="G493" s="7"/>
      <c r="H493" s="7"/>
      <c r="I493" s="7"/>
      <c r="J493" s="8"/>
      <c r="K493" s="9"/>
    </row>
    <row r="494">
      <c r="A494" s="6"/>
      <c r="B494" s="7"/>
      <c r="C494" s="7"/>
      <c r="D494" s="7"/>
      <c r="E494" s="7"/>
      <c r="F494" s="7"/>
      <c r="G494" s="7"/>
      <c r="H494" s="7"/>
      <c r="I494" s="7"/>
      <c r="J494" s="8"/>
      <c r="K494" s="9"/>
    </row>
    <row r="495">
      <c r="A495" s="6"/>
      <c r="B495" s="7"/>
      <c r="C495" s="7"/>
      <c r="D495" s="7"/>
      <c r="E495" s="7"/>
      <c r="F495" s="7"/>
      <c r="G495" s="7"/>
      <c r="H495" s="7"/>
      <c r="I495" s="7"/>
      <c r="J495" s="8"/>
      <c r="K495" s="9"/>
    </row>
    <row r="496">
      <c r="A496" s="6"/>
      <c r="B496" s="7"/>
      <c r="C496" s="7"/>
      <c r="D496" s="7"/>
      <c r="E496" s="7"/>
      <c r="F496" s="7"/>
      <c r="G496" s="7"/>
      <c r="H496" s="7"/>
      <c r="I496" s="7"/>
      <c r="J496" s="8"/>
      <c r="K496" s="9"/>
    </row>
    <row r="497">
      <c r="A497" s="6"/>
      <c r="B497" s="7"/>
      <c r="C497" s="7"/>
      <c r="D497" s="7"/>
      <c r="E497" s="7"/>
      <c r="F497" s="7"/>
      <c r="G497" s="7"/>
      <c r="H497" s="7"/>
      <c r="I497" s="7"/>
      <c r="J497" s="8"/>
      <c r="K497" s="9"/>
    </row>
    <row r="498">
      <c r="A498" s="6"/>
      <c r="B498" s="7"/>
      <c r="C498" s="7"/>
      <c r="D498" s="7"/>
      <c r="E498" s="7"/>
      <c r="F498" s="7"/>
      <c r="G498" s="7"/>
      <c r="H498" s="7"/>
      <c r="I498" s="7"/>
      <c r="J498" s="8"/>
      <c r="K498" s="9"/>
    </row>
    <row r="499">
      <c r="A499" s="6"/>
      <c r="B499" s="7"/>
      <c r="C499" s="7"/>
      <c r="D499" s="7"/>
      <c r="E499" s="7"/>
      <c r="F499" s="7"/>
      <c r="G499" s="7"/>
      <c r="H499" s="7"/>
      <c r="I499" s="7"/>
      <c r="J499" s="8"/>
      <c r="K499" s="9"/>
    </row>
    <row r="500">
      <c r="A500" s="6"/>
      <c r="B500" s="7"/>
      <c r="C500" s="7"/>
      <c r="D500" s="7"/>
      <c r="E500" s="7"/>
      <c r="F500" s="7"/>
      <c r="G500" s="7"/>
      <c r="H500" s="7"/>
      <c r="I500" s="7"/>
      <c r="J500" s="8"/>
      <c r="K500" s="9"/>
    </row>
    <row r="501">
      <c r="A501" s="6"/>
      <c r="B501" s="7"/>
      <c r="C501" s="7"/>
      <c r="D501" s="7"/>
      <c r="E501" s="7"/>
      <c r="F501" s="7"/>
      <c r="G501" s="7"/>
      <c r="H501" s="7"/>
      <c r="I501" s="7"/>
      <c r="J501" s="8"/>
      <c r="K501" s="9"/>
    </row>
    <row r="502">
      <c r="A502" s="6"/>
      <c r="B502" s="7"/>
      <c r="C502" s="7"/>
      <c r="D502" s="7"/>
      <c r="E502" s="7"/>
      <c r="F502" s="7"/>
      <c r="G502" s="7"/>
      <c r="H502" s="7"/>
      <c r="I502" s="7"/>
      <c r="J502" s="8"/>
      <c r="K502" s="9"/>
    </row>
    <row r="503">
      <c r="A503" s="6"/>
      <c r="B503" s="7"/>
      <c r="C503" s="7"/>
      <c r="D503" s="7"/>
      <c r="E503" s="7"/>
      <c r="F503" s="7"/>
      <c r="G503" s="7"/>
      <c r="H503" s="7"/>
      <c r="I503" s="7"/>
      <c r="J503" s="8"/>
      <c r="K503" s="9"/>
    </row>
    <row r="504">
      <c r="A504" s="6"/>
      <c r="B504" s="7"/>
      <c r="C504" s="7"/>
      <c r="D504" s="7"/>
      <c r="E504" s="7"/>
      <c r="F504" s="7"/>
      <c r="G504" s="7"/>
      <c r="H504" s="7"/>
      <c r="I504" s="7"/>
      <c r="J504" s="8"/>
      <c r="K504" s="9"/>
    </row>
    <row r="505">
      <c r="A505" s="6"/>
      <c r="B505" s="7"/>
      <c r="C505" s="7"/>
      <c r="D505" s="7"/>
      <c r="E505" s="7"/>
      <c r="F505" s="7"/>
      <c r="G505" s="7"/>
      <c r="H505" s="7"/>
      <c r="I505" s="7"/>
      <c r="J505" s="8"/>
      <c r="K505" s="9"/>
    </row>
    <row r="506">
      <c r="A506" s="6"/>
      <c r="B506" s="7"/>
      <c r="C506" s="7"/>
      <c r="D506" s="7"/>
      <c r="E506" s="7"/>
      <c r="F506" s="7"/>
      <c r="G506" s="7"/>
      <c r="H506" s="7"/>
      <c r="I506" s="7"/>
      <c r="J506" s="8"/>
      <c r="K506" s="9"/>
    </row>
    <row r="507">
      <c r="A507" s="6"/>
      <c r="B507" s="7"/>
      <c r="C507" s="7"/>
      <c r="D507" s="7"/>
      <c r="E507" s="7"/>
      <c r="F507" s="7"/>
      <c r="G507" s="7"/>
      <c r="H507" s="7"/>
      <c r="I507" s="7"/>
      <c r="J507" s="8"/>
      <c r="K507" s="9"/>
    </row>
    <row r="508">
      <c r="A508" s="6"/>
      <c r="B508" s="7"/>
      <c r="C508" s="7"/>
      <c r="D508" s="7"/>
      <c r="E508" s="7"/>
      <c r="F508" s="7"/>
      <c r="G508" s="7"/>
      <c r="H508" s="7"/>
      <c r="I508" s="7"/>
      <c r="J508" s="8"/>
      <c r="K508" s="9"/>
    </row>
    <row r="509">
      <c r="A509" s="6"/>
      <c r="B509" s="7"/>
      <c r="C509" s="7"/>
      <c r="D509" s="7"/>
      <c r="E509" s="7"/>
      <c r="F509" s="7"/>
      <c r="G509" s="7"/>
      <c r="H509" s="7"/>
      <c r="I509" s="7"/>
      <c r="J509" s="8"/>
      <c r="K509" s="9"/>
    </row>
    <row r="510">
      <c r="A510" s="6"/>
      <c r="B510" s="7"/>
      <c r="C510" s="7"/>
      <c r="D510" s="7"/>
      <c r="E510" s="7"/>
      <c r="F510" s="7"/>
      <c r="G510" s="7"/>
      <c r="H510" s="7"/>
      <c r="I510" s="7"/>
      <c r="J510" s="8"/>
      <c r="K510" s="9"/>
    </row>
    <row r="511">
      <c r="A511" s="6"/>
      <c r="B511" s="7"/>
      <c r="C511" s="7"/>
      <c r="D511" s="7"/>
      <c r="E511" s="7"/>
      <c r="F511" s="7"/>
      <c r="G511" s="7"/>
      <c r="H511" s="7"/>
      <c r="I511" s="7"/>
      <c r="J511" s="8"/>
      <c r="K511" s="9"/>
    </row>
    <row r="512">
      <c r="A512" s="6"/>
      <c r="B512" s="7"/>
      <c r="C512" s="7"/>
      <c r="D512" s="7"/>
      <c r="E512" s="7"/>
      <c r="F512" s="7"/>
      <c r="G512" s="7"/>
      <c r="H512" s="7"/>
      <c r="I512" s="7"/>
      <c r="J512" s="8"/>
      <c r="K512" s="9"/>
    </row>
    <row r="513">
      <c r="A513" s="6"/>
      <c r="B513" s="7"/>
      <c r="C513" s="7"/>
      <c r="D513" s="7"/>
      <c r="E513" s="7"/>
      <c r="F513" s="7"/>
      <c r="G513" s="7"/>
      <c r="H513" s="7"/>
      <c r="I513" s="7"/>
      <c r="J513" s="8"/>
      <c r="K513" s="9"/>
    </row>
    <row r="514">
      <c r="A514" s="6"/>
      <c r="B514" s="7"/>
      <c r="C514" s="7"/>
      <c r="D514" s="7"/>
      <c r="E514" s="7"/>
      <c r="F514" s="7"/>
      <c r="G514" s="7"/>
      <c r="H514" s="7"/>
      <c r="I514" s="7"/>
      <c r="J514" s="8"/>
      <c r="K514" s="9"/>
    </row>
    <row r="515">
      <c r="A515" s="6"/>
      <c r="B515" s="7"/>
      <c r="C515" s="7"/>
      <c r="D515" s="7"/>
      <c r="E515" s="7"/>
      <c r="F515" s="7"/>
      <c r="G515" s="7"/>
      <c r="H515" s="7"/>
      <c r="I515" s="7"/>
      <c r="J515" s="8"/>
      <c r="K515" s="9"/>
    </row>
    <row r="516">
      <c r="A516" s="6"/>
      <c r="B516" s="7"/>
      <c r="C516" s="7"/>
      <c r="D516" s="7"/>
      <c r="E516" s="7"/>
      <c r="F516" s="7"/>
      <c r="G516" s="7"/>
      <c r="H516" s="7"/>
      <c r="I516" s="7"/>
      <c r="J516" s="8"/>
      <c r="K516" s="9"/>
    </row>
    <row r="517">
      <c r="A517" s="6"/>
      <c r="B517" s="7"/>
      <c r="C517" s="7"/>
      <c r="D517" s="7"/>
      <c r="E517" s="7"/>
      <c r="F517" s="7"/>
      <c r="G517" s="7"/>
      <c r="H517" s="7"/>
      <c r="I517" s="7"/>
      <c r="J517" s="8"/>
      <c r="K517" s="9"/>
    </row>
    <row r="518">
      <c r="A518" s="6"/>
      <c r="B518" s="7"/>
      <c r="C518" s="7"/>
      <c r="D518" s="7"/>
      <c r="E518" s="7"/>
      <c r="F518" s="7"/>
      <c r="G518" s="7"/>
      <c r="H518" s="7"/>
      <c r="I518" s="7"/>
      <c r="J518" s="8"/>
      <c r="K518" s="9"/>
    </row>
    <row r="519">
      <c r="A519" s="6"/>
      <c r="B519" s="7"/>
      <c r="C519" s="7"/>
      <c r="D519" s="7"/>
      <c r="E519" s="7"/>
      <c r="F519" s="7"/>
      <c r="G519" s="7"/>
      <c r="H519" s="7"/>
      <c r="I519" s="7"/>
      <c r="J519" s="8"/>
      <c r="K519" s="9"/>
    </row>
    <row r="520">
      <c r="A520" s="6"/>
      <c r="B520" s="7"/>
      <c r="C520" s="7"/>
      <c r="D520" s="7"/>
      <c r="E520" s="7"/>
      <c r="F520" s="7"/>
      <c r="G520" s="7"/>
      <c r="H520" s="7"/>
      <c r="I520" s="7"/>
      <c r="J520" s="8"/>
      <c r="K520" s="9"/>
    </row>
    <row r="521">
      <c r="A521" s="6"/>
      <c r="B521" s="7"/>
      <c r="C521" s="7"/>
      <c r="D521" s="7"/>
      <c r="E521" s="7"/>
      <c r="F521" s="7"/>
      <c r="G521" s="7"/>
      <c r="H521" s="7"/>
      <c r="I521" s="7"/>
      <c r="J521" s="8"/>
      <c r="K521" s="9"/>
    </row>
    <row r="522">
      <c r="A522" s="6"/>
      <c r="B522" s="7"/>
      <c r="C522" s="7"/>
      <c r="D522" s="7"/>
      <c r="E522" s="7"/>
      <c r="F522" s="7"/>
      <c r="G522" s="7"/>
      <c r="H522" s="7"/>
      <c r="I522" s="7"/>
      <c r="J522" s="8"/>
      <c r="K522" s="9"/>
    </row>
    <row r="523">
      <c r="A523" s="6"/>
      <c r="B523" s="7"/>
      <c r="C523" s="7"/>
      <c r="D523" s="7"/>
      <c r="E523" s="7"/>
      <c r="F523" s="7"/>
      <c r="G523" s="7"/>
      <c r="H523" s="7"/>
      <c r="I523" s="7"/>
      <c r="J523" s="8"/>
      <c r="K523" s="9"/>
    </row>
    <row r="524">
      <c r="A524" s="6"/>
      <c r="B524" s="7"/>
      <c r="C524" s="7"/>
      <c r="D524" s="7"/>
      <c r="E524" s="7"/>
      <c r="F524" s="7"/>
      <c r="G524" s="7"/>
      <c r="H524" s="7"/>
      <c r="I524" s="7"/>
      <c r="J524" s="8"/>
      <c r="K524" s="9"/>
    </row>
    <row r="525">
      <c r="A525" s="6"/>
      <c r="B525" s="7"/>
      <c r="C525" s="7"/>
      <c r="D525" s="7"/>
      <c r="E525" s="7"/>
      <c r="F525" s="7"/>
      <c r="G525" s="7"/>
      <c r="H525" s="7"/>
      <c r="I525" s="7"/>
      <c r="J525" s="8"/>
      <c r="K525" s="9"/>
    </row>
    <row r="526">
      <c r="A526" s="6"/>
      <c r="B526" s="7"/>
      <c r="C526" s="7"/>
      <c r="D526" s="7"/>
      <c r="E526" s="7"/>
      <c r="F526" s="7"/>
      <c r="G526" s="7"/>
      <c r="H526" s="7"/>
      <c r="I526" s="7"/>
      <c r="J526" s="8"/>
      <c r="K526" s="9"/>
    </row>
    <row r="527">
      <c r="A527" s="6"/>
      <c r="B527" s="7"/>
      <c r="C527" s="7"/>
      <c r="D527" s="7"/>
      <c r="E527" s="7"/>
      <c r="F527" s="7"/>
      <c r="G527" s="7"/>
      <c r="H527" s="7"/>
      <c r="I527" s="7"/>
      <c r="J527" s="8"/>
      <c r="K527" s="9"/>
    </row>
    <row r="528">
      <c r="A528" s="6"/>
      <c r="B528" s="7"/>
      <c r="C528" s="7"/>
      <c r="D528" s="7"/>
      <c r="E528" s="7"/>
      <c r="F528" s="7"/>
      <c r="G528" s="7"/>
      <c r="H528" s="7"/>
      <c r="I528" s="7"/>
      <c r="J528" s="8"/>
      <c r="K528" s="9"/>
    </row>
    <row r="529">
      <c r="A529" s="6"/>
      <c r="B529" s="7"/>
      <c r="C529" s="7"/>
      <c r="D529" s="7"/>
      <c r="E529" s="7"/>
      <c r="F529" s="7"/>
      <c r="G529" s="7"/>
      <c r="H529" s="7"/>
      <c r="I529" s="7"/>
      <c r="J529" s="8"/>
      <c r="K529" s="9"/>
    </row>
    <row r="530">
      <c r="A530" s="6"/>
      <c r="B530" s="7"/>
      <c r="C530" s="7"/>
      <c r="D530" s="7"/>
      <c r="E530" s="7"/>
      <c r="F530" s="7"/>
      <c r="G530" s="7"/>
      <c r="H530" s="7"/>
      <c r="I530" s="7"/>
      <c r="J530" s="8"/>
      <c r="K530" s="9"/>
    </row>
    <row r="531">
      <c r="A531" s="6"/>
      <c r="B531" s="7"/>
      <c r="C531" s="7"/>
      <c r="D531" s="7"/>
      <c r="E531" s="7"/>
      <c r="F531" s="7"/>
      <c r="G531" s="7"/>
      <c r="H531" s="7"/>
      <c r="I531" s="7"/>
      <c r="J531" s="8"/>
      <c r="K531" s="9"/>
    </row>
    <row r="532">
      <c r="A532" s="6"/>
      <c r="B532" s="7"/>
      <c r="C532" s="7"/>
      <c r="D532" s="7"/>
      <c r="E532" s="7"/>
      <c r="F532" s="7"/>
      <c r="G532" s="7"/>
      <c r="H532" s="7"/>
      <c r="I532" s="7"/>
      <c r="J532" s="8"/>
      <c r="K532" s="9"/>
    </row>
    <row r="533">
      <c r="A533" s="6"/>
      <c r="B533" s="7"/>
      <c r="C533" s="7"/>
      <c r="D533" s="7"/>
      <c r="E533" s="7"/>
      <c r="F533" s="7"/>
      <c r="G533" s="7"/>
      <c r="H533" s="7"/>
      <c r="I533" s="7"/>
      <c r="J533" s="8"/>
      <c r="K533" s="9"/>
    </row>
    <row r="534">
      <c r="A534" s="6"/>
      <c r="B534" s="7"/>
      <c r="C534" s="7"/>
      <c r="D534" s="7"/>
      <c r="E534" s="7"/>
      <c r="F534" s="7"/>
      <c r="G534" s="7"/>
      <c r="H534" s="7"/>
      <c r="I534" s="7"/>
      <c r="J534" s="8"/>
      <c r="K534" s="9"/>
    </row>
    <row r="535">
      <c r="A535" s="6"/>
      <c r="B535" s="7"/>
      <c r="C535" s="7"/>
      <c r="D535" s="7"/>
      <c r="E535" s="7"/>
      <c r="F535" s="7"/>
      <c r="G535" s="7"/>
      <c r="H535" s="7"/>
      <c r="I535" s="7"/>
      <c r="J535" s="8"/>
      <c r="K535" s="9"/>
    </row>
    <row r="536">
      <c r="A536" s="6"/>
      <c r="B536" s="7"/>
      <c r="C536" s="7"/>
      <c r="D536" s="7"/>
      <c r="E536" s="7"/>
      <c r="F536" s="7"/>
      <c r="G536" s="7"/>
      <c r="H536" s="7"/>
      <c r="I536" s="7"/>
      <c r="J536" s="8"/>
      <c r="K536" s="9"/>
    </row>
    <row r="537">
      <c r="A537" s="6"/>
      <c r="B537" s="7"/>
      <c r="C537" s="7"/>
      <c r="D537" s="7"/>
      <c r="E537" s="7"/>
      <c r="F537" s="7"/>
      <c r="G537" s="7"/>
      <c r="H537" s="7"/>
      <c r="I537" s="7"/>
      <c r="J537" s="8"/>
      <c r="K537" s="9"/>
    </row>
    <row r="538">
      <c r="A538" s="6"/>
      <c r="B538" s="7"/>
      <c r="C538" s="7"/>
      <c r="D538" s="7"/>
      <c r="E538" s="7"/>
      <c r="F538" s="7"/>
      <c r="G538" s="7"/>
      <c r="H538" s="7"/>
      <c r="I538" s="7"/>
      <c r="J538" s="8"/>
      <c r="K538" s="9"/>
    </row>
    <row r="539">
      <c r="A539" s="6"/>
      <c r="B539" s="7"/>
      <c r="C539" s="7"/>
      <c r="D539" s="7"/>
      <c r="E539" s="7"/>
      <c r="F539" s="7"/>
      <c r="G539" s="7"/>
      <c r="H539" s="7"/>
      <c r="I539" s="7"/>
      <c r="J539" s="8"/>
      <c r="K539" s="9"/>
    </row>
    <row r="540">
      <c r="A540" s="6"/>
      <c r="B540" s="7"/>
      <c r="C540" s="7"/>
      <c r="D540" s="7"/>
      <c r="E540" s="7"/>
      <c r="F540" s="7"/>
      <c r="G540" s="7"/>
      <c r="H540" s="7"/>
      <c r="I540" s="7"/>
      <c r="J540" s="8"/>
      <c r="K540" s="9"/>
    </row>
    <row r="541">
      <c r="A541" s="6"/>
      <c r="B541" s="7"/>
      <c r="C541" s="7"/>
      <c r="D541" s="7"/>
      <c r="E541" s="7"/>
      <c r="F541" s="7"/>
      <c r="G541" s="7"/>
      <c r="H541" s="7"/>
      <c r="I541" s="7"/>
      <c r="J541" s="8"/>
      <c r="K541" s="9"/>
    </row>
    <row r="542">
      <c r="A542" s="6"/>
      <c r="B542" s="7"/>
      <c r="C542" s="7"/>
      <c r="D542" s="7"/>
      <c r="E542" s="7"/>
      <c r="F542" s="7"/>
      <c r="G542" s="7"/>
      <c r="H542" s="7"/>
      <c r="I542" s="7"/>
      <c r="J542" s="8"/>
      <c r="K542" s="9"/>
    </row>
    <row r="543">
      <c r="A543" s="6"/>
      <c r="B543" s="7"/>
      <c r="C543" s="7"/>
      <c r="D543" s="7"/>
      <c r="E543" s="7"/>
      <c r="F543" s="7"/>
      <c r="G543" s="7"/>
      <c r="H543" s="7"/>
      <c r="I543" s="7"/>
      <c r="J543" s="8"/>
      <c r="K543" s="9"/>
    </row>
    <row r="544">
      <c r="A544" s="6"/>
      <c r="B544" s="7"/>
      <c r="C544" s="7"/>
      <c r="D544" s="7"/>
      <c r="E544" s="7"/>
      <c r="F544" s="7"/>
      <c r="G544" s="7"/>
      <c r="H544" s="7"/>
      <c r="I544" s="7"/>
      <c r="J544" s="8"/>
      <c r="K544" s="9"/>
    </row>
    <row r="545">
      <c r="A545" s="6"/>
      <c r="B545" s="7"/>
      <c r="C545" s="7"/>
      <c r="D545" s="7"/>
      <c r="E545" s="7"/>
      <c r="F545" s="7"/>
      <c r="G545" s="7"/>
      <c r="H545" s="7"/>
      <c r="I545" s="7"/>
      <c r="J545" s="8"/>
      <c r="K545" s="9"/>
    </row>
    <row r="546">
      <c r="A546" s="6"/>
      <c r="B546" s="7"/>
      <c r="C546" s="7"/>
      <c r="D546" s="7"/>
      <c r="E546" s="7"/>
      <c r="F546" s="7"/>
      <c r="G546" s="7"/>
      <c r="H546" s="7"/>
      <c r="I546" s="7"/>
      <c r="J546" s="8"/>
      <c r="K546" s="9"/>
    </row>
    <row r="547">
      <c r="A547" s="6"/>
      <c r="B547" s="7"/>
      <c r="C547" s="7"/>
      <c r="D547" s="7"/>
      <c r="E547" s="7"/>
      <c r="F547" s="7"/>
      <c r="G547" s="7"/>
      <c r="H547" s="7"/>
      <c r="I547" s="7"/>
      <c r="J547" s="8"/>
      <c r="K547" s="9"/>
    </row>
    <row r="548">
      <c r="A548" s="6"/>
      <c r="B548" s="7"/>
      <c r="C548" s="7"/>
      <c r="D548" s="7"/>
      <c r="E548" s="7"/>
      <c r="F548" s="7"/>
      <c r="G548" s="7"/>
      <c r="H548" s="7"/>
      <c r="I548" s="7"/>
      <c r="J548" s="8"/>
      <c r="K548" s="9"/>
    </row>
    <row r="549">
      <c r="A549" s="6"/>
      <c r="B549" s="7"/>
      <c r="C549" s="7"/>
      <c r="D549" s="7"/>
      <c r="E549" s="7"/>
      <c r="F549" s="7"/>
      <c r="G549" s="7"/>
      <c r="H549" s="7"/>
      <c r="I549" s="7"/>
      <c r="J549" s="8"/>
      <c r="K549" s="9"/>
    </row>
    <row r="550">
      <c r="A550" s="6"/>
      <c r="B550" s="7"/>
      <c r="C550" s="7"/>
      <c r="D550" s="7"/>
      <c r="E550" s="7"/>
      <c r="F550" s="7"/>
      <c r="G550" s="7"/>
      <c r="H550" s="7"/>
      <c r="I550" s="7"/>
      <c r="J550" s="8"/>
      <c r="K550" s="9"/>
    </row>
    <row r="551">
      <c r="A551" s="6"/>
      <c r="B551" s="7"/>
      <c r="C551" s="7"/>
      <c r="D551" s="7"/>
      <c r="E551" s="7"/>
      <c r="F551" s="7"/>
      <c r="G551" s="7"/>
      <c r="H551" s="7"/>
      <c r="I551" s="7"/>
      <c r="J551" s="8"/>
      <c r="K551" s="9"/>
    </row>
    <row r="552">
      <c r="A552" s="6"/>
      <c r="B552" s="7"/>
      <c r="C552" s="7"/>
      <c r="D552" s="7"/>
      <c r="E552" s="7"/>
      <c r="F552" s="7"/>
      <c r="G552" s="7"/>
      <c r="H552" s="7"/>
      <c r="I552" s="7"/>
      <c r="J552" s="8"/>
      <c r="K552" s="9"/>
    </row>
    <row r="553">
      <c r="A553" s="6"/>
      <c r="B553" s="7"/>
      <c r="C553" s="7"/>
      <c r="D553" s="7"/>
      <c r="E553" s="7"/>
      <c r="F553" s="7"/>
      <c r="G553" s="7"/>
      <c r="H553" s="7"/>
      <c r="I553" s="7"/>
      <c r="J553" s="8"/>
      <c r="K553" s="9"/>
    </row>
    <row r="554">
      <c r="A554" s="6"/>
      <c r="B554" s="7"/>
      <c r="C554" s="7"/>
      <c r="D554" s="7"/>
      <c r="E554" s="7"/>
      <c r="F554" s="7"/>
      <c r="G554" s="7"/>
      <c r="H554" s="7"/>
      <c r="I554" s="7"/>
      <c r="J554" s="8"/>
      <c r="K554" s="9"/>
    </row>
    <row r="555">
      <c r="A555" s="6"/>
      <c r="B555" s="7"/>
      <c r="C555" s="7"/>
      <c r="D555" s="7"/>
      <c r="E555" s="7"/>
      <c r="F555" s="7"/>
      <c r="G555" s="7"/>
      <c r="H555" s="7"/>
      <c r="I555" s="7"/>
      <c r="J555" s="8"/>
      <c r="K555" s="9"/>
    </row>
    <row r="556">
      <c r="A556" s="6"/>
      <c r="B556" s="7"/>
      <c r="C556" s="7"/>
      <c r="D556" s="7"/>
      <c r="E556" s="7"/>
      <c r="F556" s="7"/>
      <c r="G556" s="7"/>
      <c r="H556" s="7"/>
      <c r="I556" s="7"/>
      <c r="J556" s="8"/>
      <c r="K556" s="9"/>
    </row>
    <row r="557">
      <c r="A557" s="6"/>
      <c r="B557" s="7"/>
      <c r="C557" s="7"/>
      <c r="D557" s="7"/>
      <c r="E557" s="7"/>
      <c r="F557" s="7"/>
      <c r="G557" s="7"/>
      <c r="H557" s="7"/>
      <c r="I557" s="7"/>
      <c r="J557" s="8"/>
      <c r="K557" s="9"/>
    </row>
    <row r="558">
      <c r="A558" s="6"/>
      <c r="B558" s="7"/>
      <c r="C558" s="7"/>
      <c r="D558" s="7"/>
      <c r="E558" s="7"/>
      <c r="F558" s="7"/>
      <c r="G558" s="7"/>
      <c r="H558" s="7"/>
      <c r="I558" s="7"/>
      <c r="J558" s="8"/>
      <c r="K558" s="9"/>
    </row>
    <row r="559">
      <c r="A559" s="6"/>
      <c r="B559" s="7"/>
      <c r="C559" s="7"/>
      <c r="D559" s="7"/>
      <c r="E559" s="7"/>
      <c r="F559" s="7"/>
      <c r="G559" s="7"/>
      <c r="H559" s="7"/>
      <c r="I559" s="7"/>
      <c r="J559" s="8"/>
      <c r="K559" s="9"/>
    </row>
    <row r="560">
      <c r="A560" s="6"/>
      <c r="B560" s="7"/>
      <c r="C560" s="7"/>
      <c r="D560" s="7"/>
      <c r="E560" s="7"/>
      <c r="F560" s="7"/>
      <c r="G560" s="7"/>
      <c r="H560" s="7"/>
      <c r="I560" s="7"/>
      <c r="J560" s="8"/>
      <c r="K560" s="9"/>
    </row>
    <row r="561">
      <c r="A561" s="6"/>
      <c r="B561" s="7"/>
      <c r="C561" s="7"/>
      <c r="D561" s="7"/>
      <c r="E561" s="7"/>
      <c r="F561" s="7"/>
      <c r="G561" s="7"/>
      <c r="H561" s="7"/>
      <c r="I561" s="7"/>
      <c r="J561" s="8"/>
      <c r="K561" s="9"/>
    </row>
    <row r="562">
      <c r="A562" s="6"/>
      <c r="B562" s="7"/>
      <c r="C562" s="7"/>
      <c r="D562" s="7"/>
      <c r="E562" s="7"/>
      <c r="F562" s="7"/>
      <c r="G562" s="7"/>
      <c r="H562" s="7"/>
      <c r="I562" s="7"/>
      <c r="J562" s="8"/>
      <c r="K562" s="9"/>
    </row>
    <row r="563">
      <c r="A563" s="6"/>
      <c r="B563" s="7"/>
      <c r="C563" s="7"/>
      <c r="D563" s="7"/>
      <c r="E563" s="7"/>
      <c r="F563" s="7"/>
      <c r="G563" s="7"/>
      <c r="H563" s="7"/>
      <c r="I563" s="7"/>
      <c r="J563" s="8"/>
      <c r="K563" s="9"/>
    </row>
    <row r="564">
      <c r="A564" s="6"/>
      <c r="B564" s="7"/>
      <c r="C564" s="7"/>
      <c r="D564" s="7"/>
      <c r="E564" s="7"/>
      <c r="F564" s="7"/>
      <c r="G564" s="7"/>
      <c r="H564" s="7"/>
      <c r="I564" s="7"/>
      <c r="J564" s="8"/>
      <c r="K564" s="9"/>
    </row>
    <row r="565">
      <c r="A565" s="6"/>
      <c r="B565" s="7"/>
      <c r="C565" s="7"/>
      <c r="D565" s="7"/>
      <c r="E565" s="7"/>
      <c r="F565" s="7"/>
      <c r="G565" s="7"/>
      <c r="H565" s="7"/>
      <c r="I565" s="7"/>
      <c r="J565" s="8"/>
      <c r="K565" s="9"/>
    </row>
    <row r="566">
      <c r="A566" s="6"/>
      <c r="B566" s="7"/>
      <c r="C566" s="7"/>
      <c r="D566" s="7"/>
      <c r="E566" s="7"/>
      <c r="F566" s="7"/>
      <c r="G566" s="7"/>
      <c r="H566" s="7"/>
      <c r="I566" s="7"/>
      <c r="J566" s="8"/>
      <c r="K566" s="9"/>
    </row>
    <row r="567">
      <c r="A567" s="6"/>
      <c r="B567" s="7"/>
      <c r="C567" s="7"/>
      <c r="D567" s="7"/>
      <c r="E567" s="7"/>
      <c r="F567" s="7"/>
      <c r="G567" s="7"/>
      <c r="H567" s="7"/>
      <c r="I567" s="7"/>
      <c r="J567" s="8"/>
      <c r="K567" s="9"/>
    </row>
    <row r="568">
      <c r="A568" s="6"/>
      <c r="B568" s="7"/>
      <c r="C568" s="7"/>
      <c r="D568" s="7"/>
      <c r="E568" s="7"/>
      <c r="F568" s="7"/>
      <c r="G568" s="7"/>
      <c r="H568" s="7"/>
      <c r="I568" s="7"/>
      <c r="J568" s="8"/>
      <c r="K568" s="9"/>
    </row>
    <row r="569">
      <c r="A569" s="6"/>
      <c r="B569" s="7"/>
      <c r="C569" s="7"/>
      <c r="D569" s="7"/>
      <c r="E569" s="7"/>
      <c r="F569" s="7"/>
      <c r="G569" s="7"/>
      <c r="H569" s="7"/>
      <c r="I569" s="7"/>
      <c r="J569" s="8"/>
      <c r="K569" s="9"/>
    </row>
    <row r="570">
      <c r="A570" s="6"/>
      <c r="B570" s="7"/>
      <c r="C570" s="7"/>
      <c r="D570" s="7"/>
      <c r="E570" s="7"/>
      <c r="F570" s="7"/>
      <c r="G570" s="7"/>
      <c r="H570" s="7"/>
      <c r="I570" s="7"/>
      <c r="J570" s="8"/>
      <c r="K570" s="9"/>
    </row>
    <row r="571">
      <c r="A571" s="6"/>
      <c r="B571" s="7"/>
      <c r="C571" s="7"/>
      <c r="D571" s="7"/>
      <c r="E571" s="7"/>
      <c r="F571" s="7"/>
      <c r="G571" s="7"/>
      <c r="H571" s="7"/>
      <c r="I571" s="7"/>
      <c r="J571" s="8"/>
      <c r="K571" s="9"/>
    </row>
    <row r="572">
      <c r="A572" s="6"/>
      <c r="B572" s="7"/>
      <c r="C572" s="7"/>
      <c r="D572" s="7"/>
      <c r="E572" s="7"/>
      <c r="F572" s="7"/>
      <c r="G572" s="7"/>
      <c r="H572" s="7"/>
      <c r="I572" s="7"/>
      <c r="J572" s="8"/>
      <c r="K572" s="9"/>
    </row>
    <row r="573">
      <c r="A573" s="6"/>
      <c r="B573" s="7"/>
      <c r="C573" s="7"/>
      <c r="D573" s="7"/>
      <c r="E573" s="7"/>
      <c r="F573" s="7"/>
      <c r="G573" s="7"/>
      <c r="H573" s="7"/>
      <c r="I573" s="7"/>
      <c r="J573" s="8"/>
      <c r="K573" s="9"/>
    </row>
    <row r="574">
      <c r="A574" s="6"/>
      <c r="B574" s="7"/>
      <c r="C574" s="7"/>
      <c r="D574" s="7"/>
      <c r="E574" s="7"/>
      <c r="F574" s="7"/>
      <c r="G574" s="7"/>
      <c r="H574" s="7"/>
      <c r="I574" s="7"/>
      <c r="J574" s="8"/>
      <c r="K574" s="9"/>
    </row>
    <row r="575">
      <c r="A575" s="6"/>
      <c r="B575" s="7"/>
      <c r="C575" s="7"/>
      <c r="D575" s="7"/>
      <c r="E575" s="7"/>
      <c r="F575" s="7"/>
      <c r="G575" s="7"/>
      <c r="H575" s="7"/>
      <c r="I575" s="7"/>
      <c r="J575" s="8"/>
      <c r="K575" s="9"/>
    </row>
    <row r="576">
      <c r="A576" s="6"/>
      <c r="B576" s="7"/>
      <c r="C576" s="7"/>
      <c r="D576" s="7"/>
      <c r="E576" s="7"/>
      <c r="F576" s="7"/>
      <c r="G576" s="7"/>
      <c r="H576" s="7"/>
      <c r="I576" s="7"/>
      <c r="J576" s="8"/>
      <c r="K576" s="9"/>
    </row>
    <row r="577">
      <c r="A577" s="6"/>
      <c r="B577" s="7"/>
      <c r="C577" s="7"/>
      <c r="D577" s="7"/>
      <c r="E577" s="7"/>
      <c r="F577" s="7"/>
      <c r="G577" s="7"/>
      <c r="H577" s="7"/>
      <c r="I577" s="7"/>
      <c r="J577" s="8"/>
      <c r="K577" s="9"/>
    </row>
    <row r="578">
      <c r="A578" s="6"/>
      <c r="B578" s="7"/>
      <c r="C578" s="7"/>
      <c r="D578" s="7"/>
      <c r="E578" s="7"/>
      <c r="F578" s="7"/>
      <c r="G578" s="7"/>
      <c r="H578" s="7"/>
      <c r="I578" s="7"/>
      <c r="J578" s="8"/>
      <c r="K578" s="9"/>
    </row>
    <row r="579">
      <c r="A579" s="6"/>
      <c r="B579" s="7"/>
      <c r="C579" s="7"/>
      <c r="D579" s="7"/>
      <c r="E579" s="7"/>
      <c r="F579" s="7"/>
      <c r="G579" s="7"/>
      <c r="H579" s="7"/>
      <c r="I579" s="7"/>
      <c r="J579" s="8"/>
      <c r="K579" s="9"/>
    </row>
    <row r="580">
      <c r="A580" s="6"/>
      <c r="B580" s="7"/>
      <c r="C580" s="7"/>
      <c r="D580" s="7"/>
      <c r="E580" s="7"/>
      <c r="F580" s="7"/>
      <c r="G580" s="7"/>
      <c r="H580" s="7"/>
      <c r="I580" s="7"/>
      <c r="J580" s="8"/>
      <c r="K580" s="9"/>
    </row>
    <row r="581">
      <c r="A581" s="6"/>
      <c r="B581" s="7"/>
      <c r="C581" s="7"/>
      <c r="D581" s="7"/>
      <c r="E581" s="7"/>
      <c r="F581" s="7"/>
      <c r="G581" s="7"/>
      <c r="H581" s="7"/>
      <c r="I581" s="7"/>
      <c r="J581" s="8"/>
      <c r="K581" s="9"/>
    </row>
    <row r="582">
      <c r="A582" s="6"/>
      <c r="B582" s="7"/>
      <c r="C582" s="7"/>
      <c r="D582" s="7"/>
      <c r="E582" s="7"/>
      <c r="F582" s="7"/>
      <c r="G582" s="7"/>
      <c r="H582" s="7"/>
      <c r="I582" s="7"/>
      <c r="J582" s="8"/>
      <c r="K582" s="9"/>
    </row>
    <row r="583">
      <c r="A583" s="6"/>
      <c r="B583" s="7"/>
      <c r="C583" s="7"/>
      <c r="D583" s="7"/>
      <c r="E583" s="7"/>
      <c r="F583" s="7"/>
      <c r="G583" s="7"/>
      <c r="H583" s="7"/>
      <c r="I583" s="7"/>
      <c r="J583" s="8"/>
      <c r="K583" s="9"/>
    </row>
    <row r="584">
      <c r="A584" s="6"/>
      <c r="B584" s="7"/>
      <c r="C584" s="7"/>
      <c r="D584" s="7"/>
      <c r="E584" s="7"/>
      <c r="F584" s="7"/>
      <c r="G584" s="7"/>
      <c r="H584" s="7"/>
      <c r="I584" s="7"/>
      <c r="J584" s="8"/>
      <c r="K584" s="9"/>
    </row>
    <row r="585">
      <c r="A585" s="6"/>
      <c r="B585" s="7"/>
      <c r="C585" s="7"/>
      <c r="D585" s="7"/>
      <c r="E585" s="7"/>
      <c r="F585" s="7"/>
      <c r="G585" s="7"/>
      <c r="H585" s="7"/>
      <c r="I585" s="7"/>
      <c r="J585" s="8"/>
      <c r="K585" s="9"/>
    </row>
    <row r="586">
      <c r="A586" s="6"/>
      <c r="B586" s="7"/>
      <c r="C586" s="7"/>
      <c r="D586" s="7"/>
      <c r="E586" s="7"/>
      <c r="F586" s="7"/>
      <c r="G586" s="7"/>
      <c r="H586" s="7"/>
      <c r="I586" s="7"/>
      <c r="J586" s="8"/>
      <c r="K586" s="9"/>
    </row>
    <row r="587">
      <c r="A587" s="6"/>
      <c r="B587" s="7"/>
      <c r="C587" s="7"/>
      <c r="D587" s="7"/>
      <c r="E587" s="7"/>
      <c r="F587" s="7"/>
      <c r="G587" s="7"/>
      <c r="H587" s="7"/>
      <c r="I587" s="7"/>
      <c r="J587" s="8"/>
      <c r="K587" s="9"/>
    </row>
    <row r="588">
      <c r="A588" s="6"/>
      <c r="B588" s="7"/>
      <c r="C588" s="7"/>
      <c r="D588" s="7"/>
      <c r="E588" s="7"/>
      <c r="F588" s="7"/>
      <c r="G588" s="7"/>
      <c r="H588" s="7"/>
      <c r="I588" s="7"/>
      <c r="J588" s="8"/>
      <c r="K588" s="9"/>
    </row>
    <row r="589">
      <c r="A589" s="6"/>
      <c r="B589" s="7"/>
      <c r="C589" s="7"/>
      <c r="D589" s="7"/>
      <c r="E589" s="7"/>
      <c r="F589" s="7"/>
      <c r="G589" s="7"/>
      <c r="H589" s="7"/>
      <c r="I589" s="7"/>
      <c r="J589" s="8"/>
      <c r="K589" s="9"/>
    </row>
    <row r="590">
      <c r="A590" s="6"/>
      <c r="B590" s="7"/>
      <c r="C590" s="7"/>
      <c r="D590" s="7"/>
      <c r="E590" s="7"/>
      <c r="F590" s="7"/>
      <c r="G590" s="7"/>
      <c r="H590" s="7"/>
      <c r="I590" s="7"/>
      <c r="J590" s="8"/>
      <c r="K590" s="9"/>
    </row>
    <row r="591">
      <c r="A591" s="6"/>
      <c r="B591" s="7"/>
      <c r="C591" s="7"/>
      <c r="D591" s="7"/>
      <c r="E591" s="7"/>
      <c r="F591" s="7"/>
      <c r="G591" s="7"/>
      <c r="H591" s="7"/>
      <c r="I591" s="7"/>
      <c r="J591" s="8"/>
      <c r="K591" s="9"/>
    </row>
    <row r="592">
      <c r="A592" s="6"/>
      <c r="B592" s="7"/>
      <c r="C592" s="7"/>
      <c r="D592" s="7"/>
      <c r="E592" s="7"/>
      <c r="F592" s="7"/>
      <c r="G592" s="7"/>
      <c r="H592" s="7"/>
      <c r="I592" s="7"/>
      <c r="J592" s="8"/>
      <c r="K592" s="9"/>
    </row>
    <row r="593">
      <c r="A593" s="6"/>
      <c r="B593" s="7"/>
      <c r="C593" s="7"/>
      <c r="D593" s="7"/>
      <c r="E593" s="7"/>
      <c r="F593" s="7"/>
      <c r="G593" s="7"/>
      <c r="H593" s="7"/>
      <c r="I593" s="7"/>
      <c r="J593" s="8"/>
      <c r="K593" s="9"/>
    </row>
    <row r="594">
      <c r="A594" s="6"/>
      <c r="B594" s="7"/>
      <c r="C594" s="7"/>
      <c r="D594" s="7"/>
      <c r="E594" s="7"/>
      <c r="F594" s="7"/>
      <c r="G594" s="7"/>
      <c r="H594" s="7"/>
      <c r="I594" s="7"/>
      <c r="J594" s="8"/>
      <c r="K594" s="9"/>
    </row>
    <row r="595">
      <c r="A595" s="6"/>
      <c r="B595" s="7"/>
      <c r="C595" s="7"/>
      <c r="D595" s="7"/>
      <c r="E595" s="7"/>
      <c r="F595" s="7"/>
      <c r="G595" s="7"/>
      <c r="H595" s="7"/>
      <c r="I595" s="7"/>
      <c r="J595" s="8"/>
      <c r="K595" s="9"/>
    </row>
    <row r="596">
      <c r="A596" s="6"/>
      <c r="B596" s="7"/>
      <c r="C596" s="7"/>
      <c r="D596" s="7"/>
      <c r="E596" s="7"/>
      <c r="F596" s="7"/>
      <c r="G596" s="7"/>
      <c r="H596" s="7"/>
      <c r="I596" s="7"/>
      <c r="J596" s="8"/>
      <c r="K596" s="9"/>
    </row>
    <row r="597">
      <c r="A597" s="6"/>
      <c r="B597" s="7"/>
      <c r="C597" s="7"/>
      <c r="D597" s="7"/>
      <c r="E597" s="7"/>
      <c r="F597" s="7"/>
      <c r="G597" s="7"/>
      <c r="H597" s="7"/>
      <c r="I597" s="7"/>
      <c r="J597" s="8"/>
      <c r="K597" s="9"/>
    </row>
    <row r="598">
      <c r="A598" s="6"/>
      <c r="B598" s="7"/>
      <c r="C598" s="7"/>
      <c r="D598" s="7"/>
      <c r="E598" s="7"/>
      <c r="F598" s="7"/>
      <c r="G598" s="7"/>
      <c r="H598" s="7"/>
      <c r="I598" s="7"/>
      <c r="J598" s="8"/>
      <c r="K598" s="9"/>
    </row>
    <row r="599">
      <c r="A599" s="6"/>
      <c r="B599" s="7"/>
      <c r="C599" s="7"/>
      <c r="D599" s="7"/>
      <c r="E599" s="7"/>
      <c r="F599" s="7"/>
      <c r="G599" s="7"/>
      <c r="H599" s="7"/>
      <c r="I599" s="7"/>
      <c r="J599" s="8"/>
      <c r="K599" s="9"/>
    </row>
    <row r="600">
      <c r="A600" s="6"/>
      <c r="B600" s="7"/>
      <c r="C600" s="7"/>
      <c r="D600" s="7"/>
      <c r="E600" s="7"/>
      <c r="F600" s="7"/>
      <c r="G600" s="7"/>
      <c r="H600" s="7"/>
      <c r="I600" s="7"/>
      <c r="J600" s="8"/>
      <c r="K600" s="9"/>
    </row>
    <row r="601">
      <c r="A601" s="6"/>
      <c r="B601" s="7"/>
      <c r="C601" s="7"/>
      <c r="D601" s="7"/>
      <c r="E601" s="7"/>
      <c r="F601" s="7"/>
      <c r="G601" s="7"/>
      <c r="H601" s="7"/>
      <c r="I601" s="7"/>
      <c r="J601" s="8"/>
      <c r="K601" s="9"/>
    </row>
    <row r="602">
      <c r="A602" s="6"/>
      <c r="B602" s="7"/>
      <c r="C602" s="7"/>
      <c r="D602" s="7"/>
      <c r="E602" s="7"/>
      <c r="F602" s="7"/>
      <c r="G602" s="7"/>
      <c r="H602" s="7"/>
      <c r="I602" s="7"/>
      <c r="J602" s="8"/>
      <c r="K602" s="9"/>
    </row>
    <row r="603">
      <c r="A603" s="6"/>
      <c r="B603" s="7"/>
      <c r="C603" s="7"/>
      <c r="D603" s="7"/>
      <c r="E603" s="7"/>
      <c r="F603" s="7"/>
      <c r="G603" s="7"/>
      <c r="H603" s="7"/>
      <c r="I603" s="7"/>
      <c r="J603" s="8"/>
      <c r="K603" s="9"/>
    </row>
    <row r="604">
      <c r="A604" s="6"/>
      <c r="B604" s="7"/>
      <c r="C604" s="7"/>
      <c r="D604" s="7"/>
      <c r="E604" s="7"/>
      <c r="F604" s="7"/>
      <c r="G604" s="7"/>
      <c r="H604" s="7"/>
      <c r="I604" s="7"/>
      <c r="J604" s="8"/>
      <c r="K604" s="9"/>
    </row>
    <row r="605">
      <c r="A605" s="6"/>
      <c r="B605" s="7"/>
      <c r="C605" s="7"/>
      <c r="D605" s="7"/>
      <c r="E605" s="7"/>
      <c r="F605" s="7"/>
      <c r="G605" s="7"/>
      <c r="H605" s="7"/>
      <c r="I605" s="7"/>
      <c r="J605" s="8"/>
      <c r="K605" s="9"/>
    </row>
    <row r="606">
      <c r="A606" s="6"/>
      <c r="B606" s="7"/>
      <c r="C606" s="7"/>
      <c r="D606" s="7"/>
      <c r="E606" s="7"/>
      <c r="F606" s="7"/>
      <c r="G606" s="7"/>
      <c r="H606" s="7"/>
      <c r="I606" s="7"/>
      <c r="J606" s="8"/>
      <c r="K606" s="9"/>
    </row>
    <row r="607">
      <c r="A607" s="6"/>
      <c r="B607" s="7"/>
      <c r="C607" s="7"/>
      <c r="D607" s="7"/>
      <c r="E607" s="7"/>
      <c r="F607" s="7"/>
      <c r="G607" s="7"/>
      <c r="H607" s="7"/>
      <c r="I607" s="7"/>
      <c r="J607" s="8"/>
      <c r="K607" s="9"/>
    </row>
    <row r="608">
      <c r="A608" s="6"/>
      <c r="B608" s="7"/>
      <c r="C608" s="7"/>
      <c r="D608" s="7"/>
      <c r="E608" s="7"/>
      <c r="F608" s="7"/>
      <c r="G608" s="7"/>
      <c r="H608" s="7"/>
      <c r="I608" s="7"/>
      <c r="J608" s="8"/>
      <c r="K608" s="9"/>
    </row>
    <row r="609">
      <c r="A609" s="6"/>
      <c r="B609" s="7"/>
      <c r="C609" s="7"/>
      <c r="D609" s="7"/>
      <c r="E609" s="7"/>
      <c r="F609" s="7"/>
      <c r="G609" s="7"/>
      <c r="H609" s="7"/>
      <c r="I609" s="7"/>
      <c r="J609" s="8"/>
      <c r="K609" s="9"/>
    </row>
    <row r="610">
      <c r="A610" s="6"/>
      <c r="B610" s="7"/>
      <c r="C610" s="7"/>
      <c r="D610" s="7"/>
      <c r="E610" s="7"/>
      <c r="F610" s="7"/>
      <c r="G610" s="7"/>
      <c r="H610" s="7"/>
      <c r="I610" s="7"/>
      <c r="J610" s="8"/>
      <c r="K610" s="9"/>
    </row>
    <row r="611">
      <c r="A611" s="6"/>
      <c r="B611" s="7"/>
      <c r="C611" s="7"/>
      <c r="D611" s="7"/>
      <c r="E611" s="7"/>
      <c r="F611" s="7"/>
      <c r="G611" s="7"/>
      <c r="H611" s="7"/>
      <c r="I611" s="7"/>
      <c r="J611" s="8"/>
      <c r="K611" s="9"/>
    </row>
    <row r="612">
      <c r="A612" s="6"/>
      <c r="B612" s="7"/>
      <c r="C612" s="7"/>
      <c r="D612" s="7"/>
      <c r="E612" s="7"/>
      <c r="F612" s="7"/>
      <c r="G612" s="7"/>
      <c r="H612" s="7"/>
      <c r="I612" s="7"/>
      <c r="J612" s="8"/>
      <c r="K612" s="9"/>
    </row>
    <row r="613">
      <c r="A613" s="6"/>
      <c r="B613" s="7"/>
      <c r="C613" s="7"/>
      <c r="D613" s="7"/>
      <c r="E613" s="7"/>
      <c r="F613" s="7"/>
      <c r="G613" s="7"/>
      <c r="H613" s="7"/>
      <c r="I613" s="7"/>
      <c r="J613" s="8"/>
      <c r="K613" s="9"/>
    </row>
    <row r="614">
      <c r="A614" s="6"/>
      <c r="B614" s="7"/>
      <c r="C614" s="7"/>
      <c r="D614" s="7"/>
      <c r="E614" s="7"/>
      <c r="F614" s="7"/>
      <c r="G614" s="7"/>
      <c r="H614" s="7"/>
      <c r="I614" s="7"/>
      <c r="J614" s="8"/>
      <c r="K614" s="9"/>
    </row>
    <row r="615">
      <c r="A615" s="6"/>
      <c r="B615" s="7"/>
      <c r="C615" s="7"/>
      <c r="D615" s="7"/>
      <c r="E615" s="7"/>
      <c r="F615" s="7"/>
      <c r="G615" s="7"/>
      <c r="H615" s="7"/>
      <c r="I615" s="7"/>
      <c r="J615" s="8"/>
      <c r="K615" s="9"/>
    </row>
    <row r="616">
      <c r="A616" s="6"/>
      <c r="B616" s="7"/>
      <c r="C616" s="7"/>
      <c r="D616" s="7"/>
      <c r="E616" s="7"/>
      <c r="F616" s="7"/>
      <c r="G616" s="7"/>
      <c r="H616" s="7"/>
      <c r="I616" s="7"/>
      <c r="J616" s="8"/>
      <c r="K616" s="9"/>
    </row>
    <row r="617">
      <c r="A617" s="6"/>
      <c r="B617" s="7"/>
      <c r="C617" s="7"/>
      <c r="D617" s="7"/>
      <c r="E617" s="7"/>
      <c r="F617" s="7"/>
      <c r="G617" s="7"/>
      <c r="H617" s="7"/>
      <c r="I617" s="7"/>
      <c r="J617" s="8"/>
      <c r="K617" s="9"/>
    </row>
    <row r="618">
      <c r="A618" s="6"/>
      <c r="B618" s="7"/>
      <c r="C618" s="7"/>
      <c r="D618" s="7"/>
      <c r="E618" s="7"/>
      <c r="F618" s="7"/>
      <c r="G618" s="7"/>
      <c r="H618" s="7"/>
      <c r="I618" s="7"/>
      <c r="J618" s="8"/>
      <c r="K618" s="9"/>
    </row>
    <row r="619">
      <c r="A619" s="6"/>
      <c r="B619" s="7"/>
      <c r="C619" s="7"/>
      <c r="D619" s="7"/>
      <c r="E619" s="7"/>
      <c r="F619" s="7"/>
      <c r="G619" s="7"/>
      <c r="H619" s="7"/>
      <c r="I619" s="7"/>
      <c r="J619" s="8"/>
      <c r="K619" s="9"/>
    </row>
    <row r="620">
      <c r="A620" s="6"/>
      <c r="B620" s="7"/>
      <c r="C620" s="7"/>
      <c r="D620" s="7"/>
      <c r="E620" s="7"/>
      <c r="F620" s="7"/>
      <c r="G620" s="7"/>
      <c r="H620" s="7"/>
      <c r="I620" s="7"/>
      <c r="J620" s="8"/>
      <c r="K620" s="9"/>
    </row>
    <row r="621">
      <c r="A621" s="6"/>
      <c r="B621" s="7"/>
      <c r="C621" s="7"/>
      <c r="D621" s="7"/>
      <c r="E621" s="7"/>
      <c r="F621" s="7"/>
      <c r="G621" s="7"/>
      <c r="H621" s="7"/>
      <c r="I621" s="7"/>
      <c r="J621" s="8"/>
      <c r="K621" s="9"/>
    </row>
    <row r="622">
      <c r="A622" s="6"/>
      <c r="B622" s="7"/>
      <c r="C622" s="7"/>
      <c r="D622" s="7"/>
      <c r="E622" s="7"/>
      <c r="F622" s="7"/>
      <c r="G622" s="7"/>
      <c r="H622" s="7"/>
      <c r="I622" s="7"/>
      <c r="J622" s="8"/>
      <c r="K622" s="9"/>
    </row>
    <row r="623">
      <c r="A623" s="6"/>
      <c r="B623" s="7"/>
      <c r="C623" s="7"/>
      <c r="D623" s="7"/>
      <c r="E623" s="7"/>
      <c r="F623" s="7"/>
      <c r="G623" s="7"/>
      <c r="H623" s="7"/>
      <c r="I623" s="7"/>
      <c r="J623" s="8"/>
      <c r="K623" s="9"/>
    </row>
    <row r="624">
      <c r="A624" s="6"/>
      <c r="B624" s="7"/>
      <c r="C624" s="7"/>
      <c r="D624" s="7"/>
      <c r="E624" s="7"/>
      <c r="F624" s="7"/>
      <c r="G624" s="7"/>
      <c r="H624" s="7"/>
      <c r="I624" s="7"/>
      <c r="J624" s="8"/>
      <c r="K624" s="9"/>
    </row>
    <row r="625">
      <c r="A625" s="6"/>
      <c r="B625" s="7"/>
      <c r="C625" s="7"/>
      <c r="D625" s="7"/>
      <c r="E625" s="7"/>
      <c r="F625" s="7"/>
      <c r="G625" s="7"/>
      <c r="H625" s="7"/>
      <c r="I625" s="7"/>
      <c r="J625" s="8"/>
      <c r="K625" s="9"/>
    </row>
    <row r="626">
      <c r="A626" s="6"/>
      <c r="B626" s="7"/>
      <c r="C626" s="7"/>
      <c r="D626" s="7"/>
      <c r="E626" s="7"/>
      <c r="F626" s="7"/>
      <c r="G626" s="7"/>
      <c r="H626" s="7"/>
      <c r="I626" s="7"/>
      <c r="J626" s="8"/>
      <c r="K626" s="9"/>
    </row>
    <row r="627">
      <c r="A627" s="6"/>
      <c r="B627" s="7"/>
      <c r="C627" s="7"/>
      <c r="D627" s="7"/>
      <c r="E627" s="7"/>
      <c r="F627" s="7"/>
      <c r="G627" s="7"/>
      <c r="H627" s="7"/>
      <c r="I627" s="7"/>
      <c r="J627" s="8"/>
      <c r="K627" s="9"/>
    </row>
    <row r="628">
      <c r="A628" s="6"/>
      <c r="B628" s="7"/>
      <c r="C628" s="7"/>
      <c r="D628" s="7"/>
      <c r="E628" s="7"/>
      <c r="F628" s="7"/>
      <c r="G628" s="7"/>
      <c r="H628" s="7"/>
      <c r="I628" s="7"/>
      <c r="J628" s="8"/>
      <c r="K628" s="9"/>
    </row>
    <row r="629">
      <c r="A629" s="6"/>
      <c r="B629" s="7"/>
      <c r="C629" s="7"/>
      <c r="D629" s="7"/>
      <c r="E629" s="7"/>
      <c r="F629" s="7"/>
      <c r="G629" s="7"/>
      <c r="H629" s="7"/>
      <c r="I629" s="7"/>
      <c r="J629" s="8"/>
      <c r="K629" s="9"/>
    </row>
    <row r="630">
      <c r="A630" s="6"/>
      <c r="B630" s="7"/>
      <c r="C630" s="7"/>
      <c r="D630" s="7"/>
      <c r="E630" s="7"/>
      <c r="F630" s="7"/>
      <c r="G630" s="7"/>
      <c r="H630" s="7"/>
      <c r="I630" s="7"/>
      <c r="J630" s="8"/>
      <c r="K630" s="9"/>
    </row>
    <row r="631">
      <c r="A631" s="6"/>
      <c r="B631" s="7"/>
      <c r="C631" s="7"/>
      <c r="D631" s="7"/>
      <c r="E631" s="7"/>
      <c r="F631" s="7"/>
      <c r="G631" s="7"/>
      <c r="H631" s="7"/>
      <c r="I631" s="7"/>
      <c r="J631" s="8"/>
      <c r="K631" s="9"/>
    </row>
    <row r="632">
      <c r="A632" s="6"/>
      <c r="B632" s="7"/>
      <c r="C632" s="7"/>
      <c r="D632" s="7"/>
      <c r="E632" s="7"/>
      <c r="F632" s="7"/>
      <c r="G632" s="7"/>
      <c r="H632" s="7"/>
      <c r="I632" s="7"/>
      <c r="J632" s="8"/>
      <c r="K632" s="9"/>
    </row>
    <row r="633">
      <c r="A633" s="6"/>
      <c r="B633" s="7"/>
      <c r="C633" s="7"/>
      <c r="D633" s="7"/>
      <c r="E633" s="7"/>
      <c r="F633" s="7"/>
      <c r="G633" s="7"/>
      <c r="H633" s="7"/>
      <c r="I633" s="7"/>
      <c r="J633" s="8"/>
      <c r="K633" s="9"/>
    </row>
    <row r="634">
      <c r="A634" s="6"/>
      <c r="B634" s="7"/>
      <c r="C634" s="7"/>
      <c r="D634" s="7"/>
      <c r="E634" s="7"/>
      <c r="F634" s="7"/>
      <c r="G634" s="7"/>
      <c r="H634" s="7"/>
      <c r="I634" s="7"/>
      <c r="J634" s="8"/>
      <c r="K634" s="9"/>
    </row>
    <row r="635">
      <c r="A635" s="6"/>
      <c r="B635" s="7"/>
      <c r="C635" s="7"/>
      <c r="D635" s="7"/>
      <c r="E635" s="7"/>
      <c r="F635" s="7"/>
      <c r="G635" s="7"/>
      <c r="H635" s="7"/>
      <c r="I635" s="7"/>
      <c r="J635" s="8"/>
      <c r="K635" s="9"/>
    </row>
    <row r="636">
      <c r="A636" s="6"/>
      <c r="B636" s="7"/>
      <c r="C636" s="7"/>
      <c r="D636" s="7"/>
      <c r="E636" s="7"/>
      <c r="F636" s="7"/>
      <c r="G636" s="7"/>
      <c r="H636" s="7"/>
      <c r="I636" s="7"/>
      <c r="J636" s="8"/>
      <c r="K636" s="9"/>
    </row>
    <row r="637">
      <c r="A637" s="6"/>
      <c r="B637" s="7"/>
      <c r="C637" s="7"/>
      <c r="D637" s="7"/>
      <c r="E637" s="7"/>
      <c r="F637" s="7"/>
      <c r="G637" s="7"/>
      <c r="H637" s="7"/>
      <c r="I637" s="7"/>
      <c r="J637" s="8"/>
      <c r="K637" s="9"/>
    </row>
    <row r="638">
      <c r="A638" s="6"/>
      <c r="B638" s="7"/>
      <c r="C638" s="7"/>
      <c r="D638" s="7"/>
      <c r="E638" s="7"/>
      <c r="F638" s="7"/>
      <c r="G638" s="7"/>
      <c r="H638" s="7"/>
      <c r="I638" s="7"/>
      <c r="J638" s="8"/>
      <c r="K638" s="9"/>
    </row>
    <row r="639">
      <c r="A639" s="6"/>
      <c r="B639" s="7"/>
      <c r="C639" s="7"/>
      <c r="D639" s="7"/>
      <c r="E639" s="7"/>
      <c r="F639" s="7"/>
      <c r="G639" s="7"/>
      <c r="H639" s="7"/>
      <c r="I639" s="7"/>
      <c r="J639" s="8"/>
      <c r="K639" s="9"/>
    </row>
    <row r="640">
      <c r="A640" s="6"/>
      <c r="B640" s="7"/>
      <c r="C640" s="7"/>
      <c r="D640" s="7"/>
      <c r="E640" s="7"/>
      <c r="F640" s="7"/>
      <c r="G640" s="7"/>
      <c r="H640" s="7"/>
      <c r="I640" s="7"/>
      <c r="J640" s="8"/>
      <c r="K640" s="9"/>
    </row>
    <row r="641">
      <c r="A641" s="6"/>
      <c r="B641" s="7"/>
      <c r="C641" s="7"/>
      <c r="D641" s="7"/>
      <c r="E641" s="7"/>
      <c r="F641" s="7"/>
      <c r="G641" s="7"/>
      <c r="H641" s="7"/>
      <c r="I641" s="7"/>
      <c r="J641" s="8"/>
      <c r="K641" s="9"/>
    </row>
    <row r="642">
      <c r="A642" s="6"/>
      <c r="B642" s="7"/>
      <c r="C642" s="7"/>
      <c r="D642" s="7"/>
      <c r="E642" s="7"/>
      <c r="F642" s="7"/>
      <c r="G642" s="7"/>
      <c r="H642" s="7"/>
      <c r="I642" s="7"/>
      <c r="J642" s="8"/>
      <c r="K642" s="9"/>
    </row>
    <row r="643">
      <c r="A643" s="6"/>
      <c r="B643" s="7"/>
      <c r="C643" s="7"/>
      <c r="D643" s="7"/>
      <c r="E643" s="7"/>
      <c r="F643" s="7"/>
      <c r="G643" s="7"/>
      <c r="H643" s="7"/>
      <c r="I643" s="7"/>
      <c r="J643" s="8"/>
      <c r="K643" s="9"/>
    </row>
    <row r="644">
      <c r="A644" s="6"/>
      <c r="B644" s="7"/>
      <c r="C644" s="7"/>
      <c r="D644" s="7"/>
      <c r="E644" s="7"/>
      <c r="F644" s="7"/>
      <c r="G644" s="7"/>
      <c r="H644" s="7"/>
      <c r="I644" s="7"/>
      <c r="J644" s="8"/>
      <c r="K644" s="9"/>
    </row>
    <row r="645">
      <c r="A645" s="6"/>
      <c r="B645" s="7"/>
      <c r="C645" s="7"/>
      <c r="D645" s="7"/>
      <c r="E645" s="7"/>
      <c r="F645" s="7"/>
      <c r="G645" s="7"/>
      <c r="H645" s="7"/>
      <c r="I645" s="7"/>
      <c r="J645" s="8"/>
      <c r="K645" s="9"/>
    </row>
    <row r="646">
      <c r="A646" s="6"/>
      <c r="B646" s="7"/>
      <c r="C646" s="7"/>
      <c r="D646" s="7"/>
      <c r="E646" s="7"/>
      <c r="F646" s="7"/>
      <c r="G646" s="7"/>
      <c r="H646" s="7"/>
      <c r="I646" s="7"/>
      <c r="J646" s="8"/>
      <c r="K646" s="9"/>
    </row>
    <row r="647">
      <c r="A647" s="6"/>
      <c r="B647" s="7"/>
      <c r="C647" s="7"/>
      <c r="D647" s="7"/>
      <c r="E647" s="7"/>
      <c r="F647" s="7"/>
      <c r="G647" s="7"/>
      <c r="H647" s="7"/>
      <c r="I647" s="7"/>
      <c r="J647" s="8"/>
      <c r="K647" s="9"/>
    </row>
    <row r="648">
      <c r="A648" s="6"/>
      <c r="B648" s="7"/>
      <c r="C648" s="7"/>
      <c r="D648" s="7"/>
      <c r="E648" s="7"/>
      <c r="F648" s="7"/>
      <c r="G648" s="7"/>
      <c r="H648" s="7"/>
      <c r="I648" s="7"/>
      <c r="J648" s="8"/>
      <c r="K648" s="9"/>
    </row>
    <row r="649">
      <c r="A649" s="6"/>
      <c r="B649" s="7"/>
      <c r="C649" s="7"/>
      <c r="D649" s="7"/>
      <c r="E649" s="7"/>
      <c r="F649" s="7"/>
      <c r="G649" s="7"/>
      <c r="H649" s="7"/>
      <c r="I649" s="7"/>
      <c r="J649" s="8"/>
      <c r="K649" s="9"/>
    </row>
    <row r="650">
      <c r="A650" s="6"/>
      <c r="B650" s="7"/>
      <c r="C650" s="7"/>
      <c r="D650" s="7"/>
      <c r="E650" s="7"/>
      <c r="F650" s="7"/>
      <c r="G650" s="7"/>
      <c r="H650" s="7"/>
      <c r="I650" s="7"/>
      <c r="J650" s="8"/>
      <c r="K650" s="9"/>
    </row>
    <row r="651">
      <c r="A651" s="6"/>
      <c r="B651" s="7"/>
      <c r="C651" s="7"/>
      <c r="D651" s="7"/>
      <c r="E651" s="7"/>
      <c r="F651" s="7"/>
      <c r="G651" s="7"/>
      <c r="H651" s="7"/>
      <c r="I651" s="7"/>
      <c r="J651" s="8"/>
      <c r="K651" s="9"/>
    </row>
    <row r="652">
      <c r="A652" s="6"/>
      <c r="B652" s="7"/>
      <c r="C652" s="7"/>
      <c r="D652" s="7"/>
      <c r="E652" s="7"/>
      <c r="F652" s="7"/>
      <c r="G652" s="7"/>
      <c r="H652" s="7"/>
      <c r="I652" s="7"/>
      <c r="J652" s="8"/>
      <c r="K652" s="9"/>
    </row>
    <row r="653">
      <c r="A653" s="6"/>
      <c r="B653" s="7"/>
      <c r="C653" s="7"/>
      <c r="D653" s="7"/>
      <c r="E653" s="7"/>
      <c r="F653" s="7"/>
      <c r="G653" s="7"/>
      <c r="H653" s="7"/>
      <c r="I653" s="7"/>
      <c r="J653" s="8"/>
      <c r="K653" s="9"/>
    </row>
    <row r="654">
      <c r="A654" s="6"/>
      <c r="B654" s="7"/>
      <c r="C654" s="7"/>
      <c r="D654" s="7"/>
      <c r="E654" s="7"/>
      <c r="F654" s="7"/>
      <c r="G654" s="7"/>
      <c r="H654" s="7"/>
      <c r="I654" s="7"/>
      <c r="J654" s="8"/>
      <c r="K654" s="9"/>
    </row>
    <row r="655">
      <c r="A655" s="6"/>
      <c r="B655" s="7"/>
      <c r="C655" s="7"/>
      <c r="D655" s="7"/>
      <c r="E655" s="7"/>
      <c r="F655" s="7"/>
      <c r="G655" s="7"/>
      <c r="H655" s="7"/>
      <c r="I655" s="7"/>
      <c r="J655" s="8"/>
      <c r="K655" s="9"/>
    </row>
    <row r="656">
      <c r="A656" s="6"/>
      <c r="B656" s="7"/>
      <c r="C656" s="7"/>
      <c r="D656" s="7"/>
      <c r="E656" s="7"/>
      <c r="F656" s="7"/>
      <c r="G656" s="7"/>
      <c r="H656" s="7"/>
      <c r="I656" s="7"/>
      <c r="J656" s="8"/>
      <c r="K656" s="9"/>
    </row>
    <row r="657">
      <c r="A657" s="6"/>
      <c r="B657" s="7"/>
      <c r="C657" s="7"/>
      <c r="D657" s="7"/>
      <c r="E657" s="7"/>
      <c r="F657" s="7"/>
      <c r="G657" s="7"/>
      <c r="H657" s="7"/>
      <c r="I657" s="7"/>
      <c r="J657" s="8"/>
      <c r="K657" s="9"/>
    </row>
    <row r="658">
      <c r="A658" s="6"/>
      <c r="B658" s="7"/>
      <c r="C658" s="7"/>
      <c r="D658" s="7"/>
      <c r="E658" s="7"/>
      <c r="F658" s="7"/>
      <c r="G658" s="7"/>
      <c r="H658" s="7"/>
      <c r="I658" s="7"/>
      <c r="J658" s="8"/>
      <c r="K658" s="9"/>
    </row>
    <row r="659">
      <c r="A659" s="6"/>
      <c r="B659" s="7"/>
      <c r="C659" s="7"/>
      <c r="D659" s="7"/>
      <c r="E659" s="7"/>
      <c r="F659" s="7"/>
      <c r="G659" s="7"/>
      <c r="H659" s="7"/>
      <c r="I659" s="7"/>
      <c r="J659" s="8"/>
      <c r="K659" s="9"/>
    </row>
    <row r="660">
      <c r="A660" s="6"/>
      <c r="B660" s="7"/>
      <c r="C660" s="7"/>
      <c r="D660" s="7"/>
      <c r="E660" s="7"/>
      <c r="F660" s="7"/>
      <c r="G660" s="7"/>
      <c r="H660" s="7"/>
      <c r="I660" s="7"/>
      <c r="J660" s="8"/>
      <c r="K660" s="9"/>
    </row>
    <row r="661">
      <c r="A661" s="6"/>
      <c r="B661" s="7"/>
      <c r="C661" s="7"/>
      <c r="D661" s="7"/>
      <c r="E661" s="7"/>
      <c r="F661" s="7"/>
      <c r="G661" s="7"/>
      <c r="H661" s="7"/>
      <c r="I661" s="7"/>
      <c r="J661" s="8"/>
      <c r="K661" s="9"/>
    </row>
    <row r="662">
      <c r="A662" s="6"/>
      <c r="B662" s="7"/>
      <c r="C662" s="7"/>
      <c r="D662" s="7"/>
      <c r="E662" s="7"/>
      <c r="F662" s="7"/>
      <c r="G662" s="7"/>
      <c r="H662" s="7"/>
      <c r="I662" s="7"/>
      <c r="J662" s="8"/>
      <c r="K662" s="9"/>
    </row>
    <row r="663">
      <c r="A663" s="6"/>
      <c r="B663" s="7"/>
      <c r="C663" s="7"/>
      <c r="D663" s="7"/>
      <c r="E663" s="7"/>
      <c r="F663" s="7"/>
      <c r="G663" s="7"/>
      <c r="H663" s="7"/>
      <c r="I663" s="7"/>
      <c r="J663" s="8"/>
      <c r="K663" s="9"/>
    </row>
    <row r="664">
      <c r="A664" s="6"/>
      <c r="B664" s="7"/>
      <c r="C664" s="7"/>
      <c r="D664" s="7"/>
      <c r="E664" s="7"/>
      <c r="F664" s="7"/>
      <c r="G664" s="7"/>
      <c r="H664" s="7"/>
      <c r="I664" s="7"/>
      <c r="J664" s="8"/>
      <c r="K664" s="9"/>
    </row>
    <row r="665">
      <c r="A665" s="6"/>
      <c r="B665" s="7"/>
      <c r="C665" s="7"/>
      <c r="D665" s="7"/>
      <c r="E665" s="7"/>
      <c r="F665" s="7"/>
      <c r="G665" s="7"/>
      <c r="H665" s="7"/>
      <c r="I665" s="7"/>
      <c r="J665" s="8"/>
      <c r="K665" s="9"/>
    </row>
    <row r="666">
      <c r="A666" s="6"/>
      <c r="B666" s="7"/>
      <c r="C666" s="7"/>
      <c r="D666" s="7"/>
      <c r="E666" s="7"/>
      <c r="F666" s="7"/>
      <c r="G666" s="7"/>
      <c r="H666" s="7"/>
      <c r="I666" s="7"/>
      <c r="J666" s="8"/>
      <c r="K666" s="9"/>
    </row>
    <row r="667">
      <c r="A667" s="6"/>
      <c r="B667" s="7"/>
      <c r="C667" s="7"/>
      <c r="D667" s="7"/>
      <c r="E667" s="7"/>
      <c r="F667" s="7"/>
      <c r="G667" s="7"/>
      <c r="H667" s="7"/>
      <c r="I667" s="7"/>
      <c r="J667" s="8"/>
      <c r="K667" s="9"/>
    </row>
    <row r="668">
      <c r="A668" s="6"/>
      <c r="B668" s="7"/>
      <c r="C668" s="7"/>
      <c r="D668" s="7"/>
      <c r="E668" s="7"/>
      <c r="F668" s="7"/>
      <c r="G668" s="7"/>
      <c r="H668" s="7"/>
      <c r="I668" s="7"/>
      <c r="J668" s="8"/>
      <c r="K668" s="9"/>
    </row>
    <row r="669">
      <c r="A669" s="6"/>
      <c r="B669" s="7"/>
      <c r="C669" s="7"/>
      <c r="D669" s="7"/>
      <c r="E669" s="7"/>
      <c r="F669" s="7"/>
      <c r="G669" s="7"/>
      <c r="H669" s="7"/>
      <c r="I669" s="7"/>
      <c r="J669" s="8"/>
      <c r="K669" s="9"/>
    </row>
    <row r="670">
      <c r="A670" s="6"/>
      <c r="B670" s="7"/>
      <c r="C670" s="7"/>
      <c r="D670" s="7"/>
      <c r="E670" s="7"/>
      <c r="F670" s="7"/>
      <c r="G670" s="7"/>
      <c r="H670" s="7"/>
      <c r="I670" s="7"/>
      <c r="J670" s="8"/>
      <c r="K670" s="9"/>
    </row>
    <row r="671">
      <c r="A671" s="6"/>
      <c r="B671" s="7"/>
      <c r="C671" s="7"/>
      <c r="D671" s="7"/>
      <c r="E671" s="7"/>
      <c r="F671" s="7"/>
      <c r="G671" s="7"/>
      <c r="H671" s="7"/>
      <c r="I671" s="7"/>
      <c r="J671" s="8"/>
      <c r="K671" s="9"/>
    </row>
    <row r="672">
      <c r="A672" s="6"/>
      <c r="B672" s="7"/>
      <c r="C672" s="7"/>
      <c r="D672" s="7"/>
      <c r="E672" s="7"/>
      <c r="F672" s="7"/>
      <c r="G672" s="7"/>
      <c r="H672" s="7"/>
      <c r="I672" s="7"/>
      <c r="J672" s="8"/>
      <c r="K672" s="9"/>
    </row>
    <row r="673">
      <c r="A673" s="6"/>
      <c r="B673" s="7"/>
      <c r="C673" s="7"/>
      <c r="D673" s="7"/>
      <c r="E673" s="7"/>
      <c r="F673" s="7"/>
      <c r="G673" s="7"/>
      <c r="H673" s="7"/>
      <c r="I673" s="7"/>
      <c r="J673" s="8"/>
      <c r="K673" s="9"/>
    </row>
    <row r="674">
      <c r="A674" s="6"/>
      <c r="B674" s="7"/>
      <c r="C674" s="7"/>
      <c r="D674" s="7"/>
      <c r="E674" s="7"/>
      <c r="F674" s="7"/>
      <c r="G674" s="7"/>
      <c r="H674" s="7"/>
      <c r="I674" s="7"/>
      <c r="J674" s="8"/>
      <c r="K674" s="9"/>
    </row>
    <row r="675">
      <c r="A675" s="6"/>
      <c r="B675" s="7"/>
      <c r="C675" s="7"/>
      <c r="D675" s="7"/>
      <c r="E675" s="7"/>
      <c r="F675" s="7"/>
      <c r="G675" s="7"/>
      <c r="H675" s="7"/>
      <c r="I675" s="7"/>
      <c r="J675" s="8"/>
      <c r="K675" s="9"/>
    </row>
    <row r="676">
      <c r="A676" s="6"/>
      <c r="B676" s="7"/>
      <c r="C676" s="7"/>
      <c r="D676" s="7"/>
      <c r="E676" s="7"/>
      <c r="F676" s="7"/>
      <c r="G676" s="7"/>
      <c r="H676" s="7"/>
      <c r="I676" s="7"/>
      <c r="J676" s="8"/>
      <c r="K676" s="9"/>
    </row>
    <row r="677">
      <c r="A677" s="6"/>
      <c r="B677" s="7"/>
      <c r="C677" s="7"/>
      <c r="D677" s="7"/>
      <c r="E677" s="7"/>
      <c r="F677" s="7"/>
      <c r="G677" s="7"/>
      <c r="H677" s="7"/>
      <c r="I677" s="7"/>
      <c r="J677" s="8"/>
      <c r="K677" s="9"/>
    </row>
    <row r="678">
      <c r="A678" s="6"/>
      <c r="B678" s="7"/>
      <c r="C678" s="7"/>
      <c r="D678" s="7"/>
      <c r="E678" s="7"/>
      <c r="F678" s="7"/>
      <c r="G678" s="7"/>
      <c r="H678" s="7"/>
      <c r="I678" s="7"/>
      <c r="J678" s="8"/>
      <c r="K678" s="9"/>
    </row>
    <row r="679">
      <c r="A679" s="6"/>
      <c r="B679" s="7"/>
      <c r="C679" s="7"/>
      <c r="D679" s="7"/>
      <c r="E679" s="7"/>
      <c r="F679" s="7"/>
      <c r="G679" s="7"/>
      <c r="H679" s="7"/>
      <c r="I679" s="7"/>
      <c r="J679" s="8"/>
      <c r="K679" s="9"/>
    </row>
    <row r="680">
      <c r="A680" s="6"/>
      <c r="B680" s="7"/>
      <c r="C680" s="7"/>
      <c r="D680" s="7"/>
      <c r="E680" s="7"/>
      <c r="F680" s="7"/>
      <c r="G680" s="7"/>
      <c r="H680" s="7"/>
      <c r="I680" s="7"/>
      <c r="J680" s="8"/>
      <c r="K680" s="9"/>
    </row>
    <row r="681">
      <c r="A681" s="6"/>
      <c r="B681" s="7"/>
      <c r="C681" s="7"/>
      <c r="D681" s="7"/>
      <c r="E681" s="7"/>
      <c r="F681" s="7"/>
      <c r="G681" s="7"/>
      <c r="H681" s="7"/>
      <c r="I681" s="7"/>
      <c r="J681" s="8"/>
      <c r="K681" s="9"/>
    </row>
    <row r="682">
      <c r="A682" s="6"/>
      <c r="B682" s="7"/>
      <c r="C682" s="7"/>
      <c r="D682" s="7"/>
      <c r="E682" s="7"/>
      <c r="F682" s="7"/>
      <c r="G682" s="7"/>
      <c r="H682" s="7"/>
      <c r="I682" s="7"/>
      <c r="J682" s="8"/>
      <c r="K682" s="9"/>
    </row>
    <row r="683">
      <c r="A683" s="6"/>
      <c r="B683" s="7"/>
      <c r="C683" s="7"/>
      <c r="D683" s="7"/>
      <c r="E683" s="7"/>
      <c r="F683" s="7"/>
      <c r="G683" s="7"/>
      <c r="H683" s="7"/>
      <c r="I683" s="7"/>
      <c r="J683" s="8"/>
      <c r="K683" s="9"/>
    </row>
    <row r="684">
      <c r="A684" s="6"/>
      <c r="B684" s="7"/>
      <c r="C684" s="7"/>
      <c r="D684" s="7"/>
      <c r="E684" s="7"/>
      <c r="F684" s="7"/>
      <c r="G684" s="7"/>
      <c r="H684" s="7"/>
      <c r="I684" s="7"/>
      <c r="J684" s="8"/>
      <c r="K684" s="9"/>
    </row>
    <row r="685">
      <c r="A685" s="6"/>
      <c r="B685" s="7"/>
      <c r="C685" s="7"/>
      <c r="D685" s="7"/>
      <c r="E685" s="7"/>
      <c r="F685" s="7"/>
      <c r="G685" s="7"/>
      <c r="H685" s="7"/>
      <c r="I685" s="7"/>
      <c r="J685" s="8"/>
      <c r="K685" s="9"/>
    </row>
    <row r="686">
      <c r="A686" s="6"/>
      <c r="B686" s="7"/>
      <c r="C686" s="7"/>
      <c r="D686" s="7"/>
      <c r="E686" s="7"/>
      <c r="F686" s="7"/>
      <c r="G686" s="7"/>
      <c r="H686" s="7"/>
      <c r="I686" s="7"/>
      <c r="J686" s="8"/>
      <c r="K686" s="9"/>
    </row>
    <row r="687">
      <c r="A687" s="6"/>
      <c r="B687" s="7"/>
      <c r="C687" s="7"/>
      <c r="D687" s="7"/>
      <c r="E687" s="7"/>
      <c r="F687" s="7"/>
      <c r="G687" s="7"/>
      <c r="H687" s="7"/>
      <c r="I687" s="7"/>
      <c r="J687" s="8"/>
      <c r="K687" s="9"/>
    </row>
    <row r="688">
      <c r="A688" s="6"/>
      <c r="B688" s="7"/>
      <c r="C688" s="7"/>
      <c r="D688" s="7"/>
      <c r="E688" s="7"/>
      <c r="F688" s="7"/>
      <c r="G688" s="7"/>
      <c r="H688" s="7"/>
      <c r="I688" s="7"/>
      <c r="J688" s="8"/>
      <c r="K688" s="9"/>
    </row>
    <row r="689">
      <c r="A689" s="6"/>
      <c r="B689" s="7"/>
      <c r="C689" s="7"/>
      <c r="D689" s="7"/>
      <c r="E689" s="7"/>
      <c r="F689" s="7"/>
      <c r="G689" s="7"/>
      <c r="H689" s="7"/>
      <c r="I689" s="7"/>
      <c r="J689" s="8"/>
      <c r="K689" s="9"/>
    </row>
    <row r="690">
      <c r="A690" s="6"/>
      <c r="B690" s="7"/>
      <c r="C690" s="7"/>
      <c r="D690" s="7"/>
      <c r="E690" s="7"/>
      <c r="F690" s="7"/>
      <c r="G690" s="7"/>
      <c r="H690" s="7"/>
      <c r="I690" s="7"/>
      <c r="J690" s="8"/>
      <c r="K690" s="9"/>
    </row>
    <row r="691">
      <c r="A691" s="6"/>
      <c r="B691" s="7"/>
      <c r="C691" s="7"/>
      <c r="D691" s="7"/>
      <c r="E691" s="7"/>
      <c r="F691" s="7"/>
      <c r="G691" s="7"/>
      <c r="H691" s="7"/>
      <c r="I691" s="7"/>
      <c r="J691" s="8"/>
      <c r="K691" s="9"/>
    </row>
    <row r="692">
      <c r="A692" s="6"/>
      <c r="B692" s="7"/>
      <c r="C692" s="7"/>
      <c r="D692" s="7"/>
      <c r="E692" s="7"/>
      <c r="F692" s="7"/>
      <c r="G692" s="7"/>
      <c r="H692" s="7"/>
      <c r="I692" s="7"/>
      <c r="J692" s="8"/>
      <c r="K692" s="9"/>
    </row>
    <row r="693">
      <c r="A693" s="6"/>
      <c r="B693" s="7"/>
      <c r="C693" s="7"/>
      <c r="D693" s="7"/>
      <c r="E693" s="7"/>
      <c r="F693" s="7"/>
      <c r="G693" s="7"/>
      <c r="H693" s="7"/>
      <c r="I693" s="7"/>
      <c r="J693" s="8"/>
      <c r="K693" s="9"/>
    </row>
    <row r="694">
      <c r="A694" s="6"/>
      <c r="B694" s="7"/>
      <c r="C694" s="7"/>
      <c r="D694" s="7"/>
      <c r="E694" s="7"/>
      <c r="F694" s="7"/>
      <c r="G694" s="7"/>
      <c r="H694" s="7"/>
      <c r="I694" s="7"/>
      <c r="J694" s="8"/>
      <c r="K694" s="9"/>
    </row>
    <row r="695">
      <c r="A695" s="6"/>
      <c r="B695" s="7"/>
      <c r="C695" s="7"/>
      <c r="D695" s="7"/>
      <c r="E695" s="7"/>
      <c r="F695" s="7"/>
      <c r="G695" s="7"/>
      <c r="H695" s="7"/>
      <c r="I695" s="7"/>
      <c r="J695" s="8"/>
      <c r="K695" s="9"/>
    </row>
    <row r="696">
      <c r="A696" s="6"/>
      <c r="B696" s="7"/>
      <c r="C696" s="7"/>
      <c r="D696" s="7"/>
      <c r="E696" s="7"/>
      <c r="F696" s="7"/>
      <c r="G696" s="7"/>
      <c r="H696" s="7"/>
      <c r="I696" s="7"/>
      <c r="J696" s="8"/>
      <c r="K696" s="9"/>
    </row>
    <row r="697">
      <c r="A697" s="6"/>
      <c r="B697" s="7"/>
      <c r="C697" s="7"/>
      <c r="D697" s="7"/>
      <c r="E697" s="7"/>
      <c r="F697" s="7"/>
      <c r="G697" s="7"/>
      <c r="H697" s="7"/>
      <c r="I697" s="7"/>
      <c r="J697" s="8"/>
      <c r="K697" s="9"/>
    </row>
    <row r="698">
      <c r="A698" s="6"/>
      <c r="B698" s="7"/>
      <c r="C698" s="7"/>
      <c r="D698" s="7"/>
      <c r="E698" s="7"/>
      <c r="F698" s="7"/>
      <c r="G698" s="7"/>
      <c r="H698" s="7"/>
      <c r="I698" s="7"/>
      <c r="J698" s="8"/>
      <c r="K698" s="9"/>
    </row>
    <row r="699">
      <c r="A699" s="6"/>
      <c r="B699" s="7"/>
      <c r="C699" s="7"/>
      <c r="D699" s="7"/>
      <c r="E699" s="7"/>
      <c r="F699" s="7"/>
      <c r="G699" s="7"/>
      <c r="H699" s="7"/>
      <c r="I699" s="7"/>
      <c r="J699" s="8"/>
      <c r="K699" s="9"/>
    </row>
    <row r="700">
      <c r="A700" s="6"/>
      <c r="B700" s="7"/>
      <c r="C700" s="7"/>
      <c r="D700" s="7"/>
      <c r="E700" s="7"/>
      <c r="F700" s="7"/>
      <c r="G700" s="7"/>
      <c r="H700" s="7"/>
      <c r="I700" s="7"/>
      <c r="J700" s="8"/>
      <c r="K700" s="9"/>
    </row>
    <row r="701">
      <c r="A701" s="6"/>
      <c r="B701" s="7"/>
      <c r="C701" s="7"/>
      <c r="D701" s="7"/>
      <c r="E701" s="7"/>
      <c r="F701" s="7"/>
      <c r="G701" s="7"/>
      <c r="H701" s="7"/>
      <c r="I701" s="7"/>
      <c r="J701" s="8"/>
      <c r="K701" s="9"/>
    </row>
    <row r="702">
      <c r="A702" s="6"/>
      <c r="B702" s="7"/>
      <c r="C702" s="7"/>
      <c r="D702" s="7"/>
      <c r="E702" s="7"/>
      <c r="F702" s="7"/>
      <c r="G702" s="7"/>
      <c r="H702" s="7"/>
      <c r="I702" s="7"/>
      <c r="J702" s="8"/>
      <c r="K702" s="9"/>
    </row>
    <row r="703">
      <c r="A703" s="6"/>
      <c r="B703" s="7"/>
      <c r="C703" s="7"/>
      <c r="D703" s="7"/>
      <c r="E703" s="7"/>
      <c r="F703" s="7"/>
      <c r="G703" s="7"/>
      <c r="H703" s="7"/>
      <c r="I703" s="7"/>
      <c r="J703" s="8"/>
      <c r="K703" s="9"/>
    </row>
    <row r="704">
      <c r="A704" s="6"/>
      <c r="B704" s="7"/>
      <c r="C704" s="7"/>
      <c r="D704" s="7"/>
      <c r="E704" s="7"/>
      <c r="F704" s="7"/>
      <c r="G704" s="7"/>
      <c r="H704" s="7"/>
      <c r="I704" s="7"/>
      <c r="J704" s="8"/>
      <c r="K704" s="9"/>
    </row>
    <row r="705">
      <c r="A705" s="6"/>
      <c r="B705" s="7"/>
      <c r="C705" s="7"/>
      <c r="D705" s="7"/>
      <c r="E705" s="7"/>
      <c r="F705" s="7"/>
      <c r="G705" s="7"/>
      <c r="H705" s="7"/>
      <c r="I705" s="7"/>
      <c r="J705" s="8"/>
      <c r="K705" s="9"/>
    </row>
    <row r="706">
      <c r="A706" s="6"/>
      <c r="B706" s="7"/>
      <c r="C706" s="7"/>
      <c r="D706" s="7"/>
      <c r="E706" s="7"/>
      <c r="F706" s="7"/>
      <c r="G706" s="7"/>
      <c r="H706" s="7"/>
      <c r="I706" s="7"/>
      <c r="J706" s="8"/>
      <c r="K706" s="9"/>
    </row>
    <row r="707">
      <c r="A707" s="6"/>
      <c r="B707" s="7"/>
      <c r="C707" s="7"/>
      <c r="D707" s="7"/>
      <c r="E707" s="7"/>
      <c r="F707" s="7"/>
      <c r="G707" s="7"/>
      <c r="H707" s="7"/>
      <c r="I707" s="7"/>
      <c r="J707" s="8"/>
      <c r="K707" s="9"/>
    </row>
    <row r="708">
      <c r="A708" s="6"/>
      <c r="B708" s="7"/>
      <c r="C708" s="7"/>
      <c r="D708" s="7"/>
      <c r="E708" s="7"/>
      <c r="F708" s="7"/>
      <c r="G708" s="7"/>
      <c r="H708" s="7"/>
      <c r="I708" s="7"/>
      <c r="J708" s="8"/>
      <c r="K708" s="9"/>
    </row>
    <row r="709">
      <c r="A709" s="6"/>
      <c r="B709" s="7"/>
      <c r="C709" s="7"/>
      <c r="D709" s="7"/>
      <c r="E709" s="7"/>
      <c r="F709" s="7"/>
      <c r="G709" s="7"/>
      <c r="H709" s="7"/>
      <c r="I709" s="7"/>
      <c r="J709" s="8"/>
      <c r="K709" s="9"/>
    </row>
    <row r="710">
      <c r="A710" s="6"/>
      <c r="B710" s="7"/>
      <c r="C710" s="7"/>
      <c r="D710" s="7"/>
      <c r="E710" s="7"/>
      <c r="F710" s="7"/>
      <c r="G710" s="7"/>
      <c r="H710" s="7"/>
      <c r="I710" s="7"/>
      <c r="J710" s="8"/>
      <c r="K710" s="9"/>
    </row>
    <row r="711">
      <c r="A711" s="6"/>
      <c r="B711" s="7"/>
      <c r="C711" s="7"/>
      <c r="D711" s="7"/>
      <c r="E711" s="7"/>
      <c r="F711" s="7"/>
      <c r="G711" s="7"/>
      <c r="H711" s="7"/>
      <c r="I711" s="7"/>
      <c r="J711" s="8"/>
      <c r="K711" s="9"/>
    </row>
    <row r="712">
      <c r="A712" s="6"/>
      <c r="B712" s="7"/>
      <c r="C712" s="7"/>
      <c r="D712" s="7"/>
      <c r="E712" s="7"/>
      <c r="F712" s="7"/>
      <c r="G712" s="7"/>
      <c r="H712" s="7"/>
      <c r="I712" s="7"/>
      <c r="J712" s="8"/>
      <c r="K712" s="9"/>
    </row>
    <row r="713">
      <c r="A713" s="6"/>
      <c r="B713" s="7"/>
      <c r="C713" s="7"/>
      <c r="D713" s="7"/>
      <c r="E713" s="7"/>
      <c r="F713" s="7"/>
      <c r="G713" s="7"/>
      <c r="H713" s="7"/>
      <c r="I713" s="7"/>
      <c r="J713" s="8"/>
      <c r="K713" s="9"/>
    </row>
    <row r="714">
      <c r="A714" s="6"/>
      <c r="B714" s="7"/>
      <c r="C714" s="7"/>
      <c r="D714" s="7"/>
      <c r="E714" s="7"/>
      <c r="F714" s="7"/>
      <c r="G714" s="7"/>
      <c r="H714" s="7"/>
      <c r="I714" s="7"/>
      <c r="J714" s="8"/>
      <c r="K714" s="9"/>
    </row>
    <row r="715">
      <c r="A715" s="6"/>
      <c r="B715" s="7"/>
      <c r="C715" s="7"/>
      <c r="D715" s="7"/>
      <c r="E715" s="7"/>
      <c r="F715" s="7"/>
      <c r="G715" s="7"/>
      <c r="H715" s="7"/>
      <c r="I715" s="7"/>
      <c r="J715" s="8"/>
      <c r="K715" s="9"/>
    </row>
    <row r="716">
      <c r="A716" s="6"/>
      <c r="B716" s="7"/>
      <c r="C716" s="7"/>
      <c r="D716" s="7"/>
      <c r="E716" s="7"/>
      <c r="F716" s="7"/>
      <c r="G716" s="7"/>
      <c r="H716" s="7"/>
      <c r="I716" s="7"/>
      <c r="J716" s="8"/>
      <c r="K716" s="9"/>
    </row>
    <row r="717">
      <c r="A717" s="6"/>
      <c r="B717" s="7"/>
      <c r="C717" s="7"/>
      <c r="D717" s="7"/>
      <c r="E717" s="7"/>
      <c r="F717" s="7"/>
      <c r="G717" s="7"/>
      <c r="H717" s="7"/>
      <c r="I717" s="7"/>
      <c r="J717" s="8"/>
      <c r="K717" s="9"/>
    </row>
    <row r="718">
      <c r="A718" s="6"/>
      <c r="B718" s="7"/>
      <c r="C718" s="7"/>
      <c r="D718" s="7"/>
      <c r="E718" s="7"/>
      <c r="F718" s="7"/>
      <c r="G718" s="7"/>
      <c r="H718" s="7"/>
      <c r="I718" s="7"/>
      <c r="J718" s="8"/>
      <c r="K718" s="9"/>
    </row>
    <row r="719">
      <c r="A719" s="6"/>
      <c r="B719" s="7"/>
      <c r="C719" s="7"/>
      <c r="D719" s="7"/>
      <c r="E719" s="7"/>
      <c r="F719" s="7"/>
      <c r="G719" s="7"/>
      <c r="H719" s="7"/>
      <c r="I719" s="7"/>
      <c r="J719" s="8"/>
      <c r="K719" s="9"/>
    </row>
    <row r="720">
      <c r="A720" s="6"/>
      <c r="B720" s="7"/>
      <c r="C720" s="7"/>
      <c r="D720" s="7"/>
      <c r="E720" s="7"/>
      <c r="F720" s="7"/>
      <c r="G720" s="7"/>
      <c r="H720" s="7"/>
      <c r="I720" s="7"/>
      <c r="J720" s="8"/>
      <c r="K720" s="9"/>
    </row>
    <row r="721">
      <c r="A721" s="6"/>
      <c r="B721" s="7"/>
      <c r="C721" s="7"/>
      <c r="D721" s="7"/>
      <c r="E721" s="7"/>
      <c r="F721" s="7"/>
      <c r="G721" s="7"/>
      <c r="H721" s="7"/>
      <c r="I721" s="7"/>
      <c r="J721" s="8"/>
      <c r="K721" s="9"/>
    </row>
    <row r="722">
      <c r="A722" s="6"/>
      <c r="B722" s="7"/>
      <c r="C722" s="7"/>
      <c r="D722" s="7"/>
      <c r="E722" s="7"/>
      <c r="F722" s="7"/>
      <c r="G722" s="7"/>
      <c r="H722" s="7"/>
      <c r="I722" s="7"/>
      <c r="J722" s="8"/>
      <c r="K722" s="9"/>
    </row>
    <row r="723">
      <c r="A723" s="6"/>
      <c r="B723" s="7"/>
      <c r="C723" s="7"/>
      <c r="D723" s="7"/>
      <c r="E723" s="7"/>
      <c r="F723" s="7"/>
      <c r="G723" s="7"/>
      <c r="H723" s="7"/>
      <c r="I723" s="7"/>
      <c r="J723" s="8"/>
      <c r="K723" s="9"/>
    </row>
    <row r="724">
      <c r="A724" s="6"/>
      <c r="B724" s="7"/>
      <c r="C724" s="7"/>
      <c r="D724" s="7"/>
      <c r="E724" s="7"/>
      <c r="F724" s="7"/>
      <c r="G724" s="7"/>
      <c r="H724" s="7"/>
      <c r="I724" s="7"/>
      <c r="J724" s="8"/>
      <c r="K724" s="9"/>
    </row>
    <row r="725">
      <c r="A725" s="6"/>
      <c r="B725" s="7"/>
      <c r="C725" s="7"/>
      <c r="D725" s="7"/>
      <c r="E725" s="7"/>
      <c r="F725" s="7"/>
      <c r="G725" s="7"/>
      <c r="H725" s="7"/>
      <c r="I725" s="7"/>
      <c r="J725" s="8"/>
      <c r="K725" s="9"/>
    </row>
    <row r="726">
      <c r="A726" s="6"/>
      <c r="B726" s="7"/>
      <c r="C726" s="7"/>
      <c r="D726" s="7"/>
      <c r="E726" s="7"/>
      <c r="F726" s="7"/>
      <c r="G726" s="7"/>
      <c r="H726" s="7"/>
      <c r="I726" s="7"/>
      <c r="J726" s="8"/>
      <c r="K726" s="9"/>
    </row>
    <row r="727">
      <c r="A727" s="6"/>
      <c r="B727" s="7"/>
      <c r="C727" s="7"/>
      <c r="D727" s="7"/>
      <c r="E727" s="7"/>
      <c r="F727" s="7"/>
      <c r="G727" s="7"/>
      <c r="H727" s="7"/>
      <c r="I727" s="7"/>
      <c r="J727" s="8"/>
      <c r="K727" s="9"/>
    </row>
    <row r="728">
      <c r="A728" s="6"/>
      <c r="B728" s="7"/>
      <c r="C728" s="7"/>
      <c r="D728" s="7"/>
      <c r="E728" s="7"/>
      <c r="F728" s="7"/>
      <c r="G728" s="7"/>
      <c r="H728" s="7"/>
      <c r="I728" s="7"/>
      <c r="J728" s="8"/>
      <c r="K728" s="9"/>
    </row>
    <row r="729">
      <c r="A729" s="6"/>
      <c r="B729" s="7"/>
      <c r="C729" s="7"/>
      <c r="D729" s="7"/>
      <c r="E729" s="7"/>
      <c r="F729" s="7"/>
      <c r="G729" s="7"/>
      <c r="H729" s="7"/>
      <c r="I729" s="7"/>
      <c r="J729" s="8"/>
      <c r="K729" s="9"/>
    </row>
    <row r="730">
      <c r="A730" s="6"/>
      <c r="B730" s="7"/>
      <c r="C730" s="7"/>
      <c r="D730" s="7"/>
      <c r="E730" s="7"/>
      <c r="F730" s="7"/>
      <c r="G730" s="7"/>
      <c r="H730" s="7"/>
      <c r="I730" s="7"/>
      <c r="J730" s="8"/>
      <c r="K730" s="9"/>
    </row>
    <row r="731">
      <c r="A731" s="6"/>
      <c r="B731" s="7"/>
      <c r="C731" s="7"/>
      <c r="D731" s="7"/>
      <c r="E731" s="7"/>
      <c r="F731" s="7"/>
      <c r="G731" s="7"/>
      <c r="H731" s="7"/>
      <c r="I731" s="7"/>
      <c r="J731" s="8"/>
      <c r="K731" s="9"/>
    </row>
    <row r="732">
      <c r="A732" s="6"/>
      <c r="B732" s="7"/>
      <c r="C732" s="7"/>
      <c r="D732" s="7"/>
      <c r="E732" s="7"/>
      <c r="F732" s="7"/>
      <c r="G732" s="7"/>
      <c r="H732" s="7"/>
      <c r="I732" s="7"/>
      <c r="J732" s="8"/>
      <c r="K732" s="9"/>
    </row>
    <row r="733">
      <c r="A733" s="6"/>
      <c r="B733" s="7"/>
      <c r="C733" s="7"/>
      <c r="D733" s="7"/>
      <c r="E733" s="7"/>
      <c r="F733" s="7"/>
      <c r="G733" s="7"/>
      <c r="H733" s="7"/>
      <c r="I733" s="7"/>
      <c r="J733" s="8"/>
      <c r="K733" s="9"/>
    </row>
    <row r="734">
      <c r="A734" s="6"/>
      <c r="B734" s="7"/>
      <c r="C734" s="7"/>
      <c r="D734" s="7"/>
      <c r="E734" s="7"/>
      <c r="F734" s="7"/>
      <c r="G734" s="7"/>
      <c r="H734" s="7"/>
      <c r="I734" s="7"/>
      <c r="J734" s="8"/>
      <c r="K734" s="9"/>
    </row>
    <row r="735">
      <c r="A735" s="6"/>
      <c r="B735" s="7"/>
      <c r="C735" s="7"/>
      <c r="D735" s="7"/>
      <c r="E735" s="7"/>
      <c r="F735" s="7"/>
      <c r="G735" s="7"/>
      <c r="H735" s="7"/>
      <c r="I735" s="7"/>
      <c r="J735" s="8"/>
      <c r="K735" s="9"/>
    </row>
    <row r="736">
      <c r="A736" s="6"/>
      <c r="B736" s="7"/>
      <c r="C736" s="7"/>
      <c r="D736" s="7"/>
      <c r="E736" s="7"/>
      <c r="F736" s="7"/>
      <c r="G736" s="7"/>
      <c r="H736" s="7"/>
      <c r="I736" s="7"/>
      <c r="J736" s="8"/>
      <c r="K736" s="9"/>
    </row>
    <row r="737">
      <c r="A737" s="6"/>
      <c r="B737" s="7"/>
      <c r="C737" s="7"/>
      <c r="D737" s="7"/>
      <c r="E737" s="7"/>
      <c r="F737" s="7"/>
      <c r="G737" s="7"/>
      <c r="H737" s="7"/>
      <c r="I737" s="7"/>
      <c r="J737" s="8"/>
      <c r="K737" s="9"/>
    </row>
    <row r="738">
      <c r="A738" s="6"/>
      <c r="B738" s="7"/>
      <c r="C738" s="7"/>
      <c r="D738" s="7"/>
      <c r="E738" s="7"/>
      <c r="F738" s="7"/>
      <c r="G738" s="7"/>
      <c r="H738" s="7"/>
      <c r="I738" s="7"/>
      <c r="J738" s="8"/>
      <c r="K738" s="9"/>
    </row>
    <row r="739">
      <c r="A739" s="6"/>
      <c r="B739" s="7"/>
      <c r="C739" s="7"/>
      <c r="D739" s="7"/>
      <c r="E739" s="7"/>
      <c r="F739" s="7"/>
      <c r="G739" s="7"/>
      <c r="H739" s="7"/>
      <c r="I739" s="7"/>
      <c r="J739" s="8"/>
      <c r="K739" s="9"/>
    </row>
    <row r="740">
      <c r="A740" s="6"/>
      <c r="B740" s="7"/>
      <c r="C740" s="7"/>
      <c r="D740" s="7"/>
      <c r="E740" s="7"/>
      <c r="F740" s="7"/>
      <c r="G740" s="7"/>
      <c r="H740" s="7"/>
      <c r="I740" s="7"/>
      <c r="J740" s="8"/>
      <c r="K740" s="9"/>
    </row>
    <row r="741">
      <c r="A741" s="6"/>
      <c r="B741" s="7"/>
      <c r="C741" s="7"/>
      <c r="D741" s="7"/>
      <c r="E741" s="7"/>
      <c r="F741" s="7"/>
      <c r="G741" s="7"/>
      <c r="H741" s="7"/>
      <c r="I741" s="7"/>
      <c r="J741" s="8"/>
      <c r="K741" s="9"/>
    </row>
    <row r="742">
      <c r="A742" s="6"/>
      <c r="B742" s="7"/>
      <c r="C742" s="7"/>
      <c r="D742" s="7"/>
      <c r="E742" s="7"/>
      <c r="F742" s="7"/>
      <c r="G742" s="7"/>
      <c r="H742" s="7"/>
      <c r="I742" s="7"/>
      <c r="J742" s="8"/>
      <c r="K742" s="9"/>
    </row>
    <row r="743">
      <c r="A743" s="6"/>
      <c r="B743" s="7"/>
      <c r="C743" s="7"/>
      <c r="D743" s="7"/>
      <c r="E743" s="7"/>
      <c r="F743" s="7"/>
      <c r="G743" s="7"/>
      <c r="H743" s="7"/>
      <c r="I743" s="7"/>
      <c r="J743" s="8"/>
      <c r="K743" s="9"/>
    </row>
    <row r="744">
      <c r="A744" s="6"/>
      <c r="B744" s="7"/>
      <c r="C744" s="7"/>
      <c r="D744" s="7"/>
      <c r="E744" s="7"/>
      <c r="F744" s="7"/>
      <c r="G744" s="7"/>
      <c r="H744" s="7"/>
      <c r="I744" s="7"/>
      <c r="J744" s="8"/>
      <c r="K744" s="9"/>
    </row>
    <row r="745">
      <c r="A745" s="6"/>
      <c r="B745" s="7"/>
      <c r="C745" s="7"/>
      <c r="D745" s="7"/>
      <c r="E745" s="7"/>
      <c r="F745" s="7"/>
      <c r="G745" s="7"/>
      <c r="H745" s="7"/>
      <c r="I745" s="7"/>
      <c r="J745" s="8"/>
      <c r="K745" s="9"/>
    </row>
    <row r="746">
      <c r="A746" s="6"/>
      <c r="B746" s="7"/>
      <c r="C746" s="7"/>
      <c r="D746" s="7"/>
      <c r="E746" s="7"/>
      <c r="F746" s="7"/>
      <c r="G746" s="7"/>
      <c r="H746" s="7"/>
      <c r="I746" s="7"/>
      <c r="J746" s="8"/>
      <c r="K746" s="9"/>
    </row>
    <row r="747">
      <c r="A747" s="6"/>
      <c r="B747" s="7"/>
      <c r="C747" s="7"/>
      <c r="D747" s="7"/>
      <c r="E747" s="7"/>
      <c r="F747" s="7"/>
      <c r="G747" s="7"/>
      <c r="H747" s="7"/>
      <c r="I747" s="7"/>
      <c r="J747" s="8"/>
      <c r="K747" s="9"/>
    </row>
    <row r="748">
      <c r="A748" s="6"/>
      <c r="B748" s="7"/>
      <c r="C748" s="7"/>
      <c r="D748" s="7"/>
      <c r="E748" s="7"/>
      <c r="F748" s="7"/>
      <c r="G748" s="7"/>
      <c r="H748" s="7"/>
      <c r="I748" s="7"/>
      <c r="J748" s="8"/>
      <c r="K748" s="9"/>
    </row>
    <row r="749">
      <c r="A749" s="6"/>
      <c r="B749" s="7"/>
      <c r="C749" s="7"/>
      <c r="D749" s="7"/>
      <c r="E749" s="7"/>
      <c r="F749" s="7"/>
      <c r="G749" s="7"/>
      <c r="H749" s="7"/>
      <c r="I749" s="7"/>
      <c r="J749" s="8"/>
      <c r="K749" s="9"/>
    </row>
    <row r="750">
      <c r="A750" s="6"/>
      <c r="B750" s="7"/>
      <c r="C750" s="7"/>
      <c r="D750" s="7"/>
      <c r="E750" s="7"/>
      <c r="F750" s="7"/>
      <c r="G750" s="7"/>
      <c r="H750" s="7"/>
      <c r="I750" s="7"/>
      <c r="J750" s="8"/>
      <c r="K750" s="9"/>
    </row>
    <row r="751">
      <c r="A751" s="6"/>
      <c r="B751" s="7"/>
      <c r="C751" s="7"/>
      <c r="D751" s="7"/>
      <c r="E751" s="7"/>
      <c r="F751" s="7"/>
      <c r="G751" s="7"/>
      <c r="H751" s="7"/>
      <c r="I751" s="7"/>
      <c r="J751" s="8"/>
      <c r="K751" s="9"/>
    </row>
    <row r="752">
      <c r="A752" s="6"/>
      <c r="B752" s="7"/>
      <c r="C752" s="7"/>
      <c r="D752" s="7"/>
      <c r="E752" s="7"/>
      <c r="F752" s="7"/>
      <c r="G752" s="7"/>
      <c r="H752" s="7"/>
      <c r="I752" s="7"/>
      <c r="J752" s="8"/>
      <c r="K752" s="9"/>
    </row>
    <row r="753">
      <c r="A753" s="6"/>
      <c r="B753" s="7"/>
      <c r="C753" s="7"/>
      <c r="D753" s="7"/>
      <c r="E753" s="7"/>
      <c r="F753" s="7"/>
      <c r="G753" s="7"/>
      <c r="H753" s="7"/>
      <c r="I753" s="7"/>
      <c r="J753" s="8"/>
      <c r="K753" s="9"/>
    </row>
    <row r="754">
      <c r="A754" s="6"/>
      <c r="B754" s="7"/>
      <c r="C754" s="7"/>
      <c r="D754" s="7"/>
      <c r="E754" s="7"/>
      <c r="F754" s="7"/>
      <c r="G754" s="7"/>
      <c r="H754" s="7"/>
      <c r="I754" s="7"/>
      <c r="J754" s="8"/>
      <c r="K754" s="9"/>
    </row>
    <row r="755">
      <c r="A755" s="6"/>
      <c r="B755" s="7"/>
      <c r="C755" s="7"/>
      <c r="D755" s="7"/>
      <c r="E755" s="7"/>
      <c r="F755" s="7"/>
      <c r="G755" s="7"/>
      <c r="H755" s="7"/>
      <c r="I755" s="7"/>
      <c r="J755" s="8"/>
      <c r="K755" s="9"/>
    </row>
    <row r="756">
      <c r="A756" s="6"/>
      <c r="B756" s="7"/>
      <c r="C756" s="7"/>
      <c r="D756" s="7"/>
      <c r="E756" s="7"/>
      <c r="F756" s="7"/>
      <c r="G756" s="7"/>
      <c r="H756" s="7"/>
      <c r="I756" s="7"/>
      <c r="J756" s="8"/>
      <c r="K756" s="9"/>
    </row>
    <row r="757">
      <c r="A757" s="6"/>
      <c r="B757" s="7"/>
      <c r="C757" s="7"/>
      <c r="D757" s="7"/>
      <c r="E757" s="7"/>
      <c r="F757" s="7"/>
      <c r="G757" s="7"/>
      <c r="H757" s="7"/>
      <c r="I757" s="7"/>
      <c r="J757" s="8"/>
      <c r="K757" s="9"/>
    </row>
    <row r="758">
      <c r="A758" s="6"/>
      <c r="B758" s="7"/>
      <c r="C758" s="7"/>
      <c r="D758" s="7"/>
      <c r="E758" s="7"/>
      <c r="F758" s="7"/>
      <c r="G758" s="7"/>
      <c r="H758" s="7"/>
      <c r="I758" s="7"/>
      <c r="J758" s="8"/>
      <c r="K758" s="9"/>
    </row>
    <row r="759">
      <c r="A759" s="6"/>
      <c r="B759" s="7"/>
      <c r="C759" s="7"/>
      <c r="D759" s="7"/>
      <c r="E759" s="7"/>
      <c r="F759" s="7"/>
      <c r="G759" s="7"/>
      <c r="H759" s="7"/>
      <c r="I759" s="7"/>
      <c r="J759" s="8"/>
      <c r="K759" s="9"/>
    </row>
    <row r="760">
      <c r="A760" s="6"/>
      <c r="B760" s="7"/>
      <c r="C760" s="7"/>
      <c r="D760" s="7"/>
      <c r="E760" s="7"/>
      <c r="F760" s="7"/>
      <c r="G760" s="7"/>
      <c r="H760" s="7"/>
      <c r="I760" s="7"/>
      <c r="J760" s="8"/>
      <c r="K760" s="9"/>
    </row>
    <row r="761">
      <c r="A761" s="6"/>
      <c r="B761" s="7"/>
      <c r="C761" s="7"/>
      <c r="D761" s="7"/>
      <c r="E761" s="7"/>
      <c r="F761" s="7"/>
      <c r="G761" s="7"/>
      <c r="H761" s="7"/>
      <c r="I761" s="7"/>
      <c r="J761" s="8"/>
      <c r="K761" s="9"/>
    </row>
    <row r="762">
      <c r="A762" s="6"/>
      <c r="B762" s="7"/>
      <c r="C762" s="7"/>
      <c r="D762" s="7"/>
      <c r="E762" s="7"/>
      <c r="F762" s="7"/>
      <c r="G762" s="7"/>
      <c r="H762" s="7"/>
      <c r="I762" s="7"/>
      <c r="J762" s="8"/>
      <c r="K762" s="9"/>
    </row>
    <row r="763">
      <c r="A763" s="6"/>
      <c r="B763" s="7"/>
      <c r="C763" s="7"/>
      <c r="D763" s="7"/>
      <c r="E763" s="7"/>
      <c r="F763" s="7"/>
      <c r="G763" s="7"/>
      <c r="H763" s="7"/>
      <c r="I763" s="7"/>
      <c r="J763" s="8"/>
      <c r="K763" s="9"/>
    </row>
    <row r="764">
      <c r="A764" s="6"/>
      <c r="B764" s="7"/>
      <c r="C764" s="7"/>
      <c r="D764" s="7"/>
      <c r="E764" s="7"/>
      <c r="F764" s="7"/>
      <c r="G764" s="7"/>
      <c r="H764" s="7"/>
      <c r="I764" s="7"/>
      <c r="J764" s="8"/>
      <c r="K764" s="9"/>
    </row>
    <row r="765">
      <c r="A765" s="6"/>
      <c r="B765" s="7"/>
      <c r="C765" s="7"/>
      <c r="D765" s="7"/>
      <c r="E765" s="7"/>
      <c r="F765" s="7"/>
      <c r="G765" s="7"/>
      <c r="H765" s="7"/>
      <c r="I765" s="7"/>
      <c r="J765" s="8"/>
      <c r="K765" s="9"/>
    </row>
    <row r="766">
      <c r="A766" s="6"/>
      <c r="B766" s="7"/>
      <c r="C766" s="7"/>
      <c r="D766" s="7"/>
      <c r="E766" s="7"/>
      <c r="F766" s="7"/>
      <c r="G766" s="7"/>
      <c r="H766" s="7"/>
      <c r="I766" s="7"/>
      <c r="J766" s="8"/>
      <c r="K766" s="9"/>
    </row>
    <row r="767">
      <c r="A767" s="6"/>
      <c r="B767" s="7"/>
      <c r="C767" s="7"/>
      <c r="D767" s="7"/>
      <c r="E767" s="7"/>
      <c r="F767" s="7"/>
      <c r="G767" s="7"/>
      <c r="H767" s="7"/>
      <c r="I767" s="7"/>
      <c r="J767" s="8"/>
      <c r="K767" s="9"/>
    </row>
    <row r="768">
      <c r="A768" s="6"/>
      <c r="B768" s="7"/>
      <c r="C768" s="7"/>
      <c r="D768" s="7"/>
      <c r="E768" s="7"/>
      <c r="F768" s="7"/>
      <c r="G768" s="7"/>
      <c r="H768" s="7"/>
      <c r="I768" s="7"/>
      <c r="J768" s="8"/>
      <c r="K768" s="9"/>
    </row>
    <row r="769">
      <c r="A769" s="6"/>
      <c r="B769" s="7"/>
      <c r="C769" s="7"/>
      <c r="D769" s="7"/>
      <c r="E769" s="7"/>
      <c r="F769" s="7"/>
      <c r="G769" s="7"/>
      <c r="H769" s="7"/>
      <c r="I769" s="7"/>
      <c r="J769" s="8"/>
      <c r="K769" s="9"/>
    </row>
    <row r="770">
      <c r="A770" s="6"/>
      <c r="B770" s="7"/>
      <c r="C770" s="7"/>
      <c r="D770" s="7"/>
      <c r="E770" s="7"/>
      <c r="F770" s="7"/>
      <c r="G770" s="7"/>
      <c r="H770" s="7"/>
      <c r="I770" s="7"/>
      <c r="J770" s="8"/>
      <c r="K770" s="9"/>
    </row>
    <row r="771">
      <c r="A771" s="6"/>
      <c r="B771" s="7"/>
      <c r="C771" s="7"/>
      <c r="D771" s="7"/>
      <c r="E771" s="7"/>
      <c r="F771" s="7"/>
      <c r="G771" s="7"/>
      <c r="H771" s="7"/>
      <c r="I771" s="7"/>
      <c r="J771" s="8"/>
      <c r="K771" s="9"/>
    </row>
    <row r="772">
      <c r="A772" s="6"/>
      <c r="B772" s="7"/>
      <c r="C772" s="7"/>
      <c r="D772" s="7"/>
      <c r="E772" s="7"/>
      <c r="F772" s="7"/>
      <c r="G772" s="7"/>
      <c r="H772" s="7"/>
      <c r="I772" s="7"/>
      <c r="J772" s="8"/>
      <c r="K772" s="9"/>
    </row>
    <row r="773">
      <c r="A773" s="6"/>
      <c r="B773" s="7"/>
      <c r="C773" s="7"/>
      <c r="D773" s="7"/>
      <c r="E773" s="7"/>
      <c r="F773" s="7"/>
      <c r="G773" s="7"/>
      <c r="H773" s="7"/>
      <c r="I773" s="7"/>
      <c r="J773" s="8"/>
      <c r="K773" s="9"/>
    </row>
    <row r="774">
      <c r="A774" s="6"/>
      <c r="B774" s="7"/>
      <c r="C774" s="7"/>
      <c r="D774" s="7"/>
      <c r="E774" s="7"/>
      <c r="F774" s="7"/>
      <c r="G774" s="7"/>
      <c r="H774" s="7"/>
      <c r="I774" s="7"/>
      <c r="J774" s="8"/>
      <c r="K774" s="9"/>
    </row>
    <row r="775">
      <c r="A775" s="6"/>
      <c r="B775" s="7"/>
      <c r="C775" s="7"/>
      <c r="D775" s="7"/>
      <c r="E775" s="7"/>
      <c r="F775" s="7"/>
      <c r="G775" s="7"/>
      <c r="H775" s="7"/>
      <c r="I775" s="7"/>
      <c r="J775" s="8"/>
      <c r="K775" s="9"/>
    </row>
    <row r="776">
      <c r="A776" s="6"/>
      <c r="B776" s="7"/>
      <c r="C776" s="7"/>
      <c r="D776" s="7"/>
      <c r="E776" s="7"/>
      <c r="F776" s="7"/>
      <c r="G776" s="7"/>
      <c r="H776" s="7"/>
      <c r="I776" s="7"/>
      <c r="J776" s="8"/>
      <c r="K776" s="9"/>
    </row>
    <row r="777">
      <c r="A777" s="6"/>
      <c r="B777" s="7"/>
      <c r="C777" s="7"/>
      <c r="D777" s="7"/>
      <c r="E777" s="7"/>
      <c r="F777" s="7"/>
      <c r="G777" s="7"/>
      <c r="H777" s="7"/>
      <c r="I777" s="7"/>
      <c r="J777" s="8"/>
      <c r="K777" s="9"/>
    </row>
    <row r="778">
      <c r="A778" s="6"/>
      <c r="B778" s="7"/>
      <c r="C778" s="7"/>
      <c r="D778" s="7"/>
      <c r="E778" s="7"/>
      <c r="F778" s="7"/>
      <c r="G778" s="7"/>
      <c r="H778" s="7"/>
      <c r="I778" s="7"/>
      <c r="J778" s="8"/>
      <c r="K778" s="9"/>
    </row>
    <row r="779">
      <c r="A779" s="6"/>
      <c r="B779" s="7"/>
      <c r="C779" s="7"/>
      <c r="D779" s="7"/>
      <c r="E779" s="7"/>
      <c r="F779" s="7"/>
      <c r="G779" s="7"/>
      <c r="H779" s="7"/>
      <c r="I779" s="7"/>
      <c r="J779" s="8"/>
      <c r="K779" s="9"/>
    </row>
    <row r="780">
      <c r="A780" s="6"/>
      <c r="B780" s="7"/>
      <c r="C780" s="7"/>
      <c r="D780" s="7"/>
      <c r="E780" s="7"/>
      <c r="F780" s="7"/>
      <c r="G780" s="7"/>
      <c r="H780" s="7"/>
      <c r="I780" s="7"/>
      <c r="J780" s="8"/>
      <c r="K780" s="9"/>
    </row>
    <row r="781">
      <c r="A781" s="6"/>
      <c r="B781" s="7"/>
      <c r="C781" s="7"/>
      <c r="D781" s="7"/>
      <c r="E781" s="7"/>
      <c r="F781" s="7"/>
      <c r="G781" s="7"/>
      <c r="H781" s="7"/>
      <c r="I781" s="7"/>
      <c r="J781" s="8"/>
      <c r="K781" s="9"/>
    </row>
    <row r="782">
      <c r="A782" s="6"/>
      <c r="B782" s="7"/>
      <c r="C782" s="7"/>
      <c r="D782" s="7"/>
      <c r="E782" s="7"/>
      <c r="F782" s="7"/>
      <c r="G782" s="7"/>
      <c r="H782" s="7"/>
      <c r="I782" s="7"/>
      <c r="J782" s="8"/>
      <c r="K782" s="9"/>
    </row>
    <row r="783">
      <c r="A783" s="6"/>
      <c r="B783" s="7"/>
      <c r="C783" s="7"/>
      <c r="D783" s="7"/>
      <c r="E783" s="7"/>
      <c r="F783" s="7"/>
      <c r="G783" s="7"/>
      <c r="H783" s="7"/>
      <c r="I783" s="7"/>
      <c r="J783" s="8"/>
      <c r="K783" s="9"/>
    </row>
    <row r="784">
      <c r="A784" s="6"/>
      <c r="B784" s="7"/>
      <c r="C784" s="7"/>
      <c r="D784" s="7"/>
      <c r="E784" s="7"/>
      <c r="F784" s="7"/>
      <c r="G784" s="7"/>
      <c r="H784" s="7"/>
      <c r="I784" s="7"/>
      <c r="J784" s="8"/>
      <c r="K784" s="9"/>
    </row>
    <row r="785">
      <c r="A785" s="6"/>
      <c r="B785" s="7"/>
      <c r="C785" s="7"/>
      <c r="D785" s="7"/>
      <c r="E785" s="7"/>
      <c r="F785" s="7"/>
      <c r="G785" s="7"/>
      <c r="H785" s="7"/>
      <c r="I785" s="7"/>
      <c r="J785" s="8"/>
      <c r="K785" s="9"/>
    </row>
    <row r="786">
      <c r="A786" s="6"/>
      <c r="B786" s="7"/>
      <c r="C786" s="7"/>
      <c r="D786" s="7"/>
      <c r="E786" s="7"/>
      <c r="F786" s="7"/>
      <c r="G786" s="7"/>
      <c r="H786" s="7"/>
      <c r="I786" s="7"/>
      <c r="J786" s="8"/>
      <c r="K786" s="9"/>
    </row>
    <row r="787">
      <c r="A787" s="6"/>
      <c r="B787" s="7"/>
      <c r="C787" s="7"/>
      <c r="D787" s="7"/>
      <c r="E787" s="7"/>
      <c r="F787" s="7"/>
      <c r="G787" s="7"/>
      <c r="H787" s="7"/>
      <c r="I787" s="7"/>
      <c r="J787" s="8"/>
      <c r="K787" s="9"/>
    </row>
    <row r="788">
      <c r="A788" s="6"/>
      <c r="B788" s="7"/>
      <c r="C788" s="7"/>
      <c r="D788" s="7"/>
      <c r="E788" s="7"/>
      <c r="F788" s="7"/>
      <c r="G788" s="7"/>
      <c r="H788" s="7"/>
      <c r="I788" s="7"/>
      <c r="J788" s="8"/>
      <c r="K788" s="9"/>
    </row>
    <row r="789">
      <c r="A789" s="6"/>
      <c r="B789" s="7"/>
      <c r="C789" s="7"/>
      <c r="D789" s="7"/>
      <c r="E789" s="7"/>
      <c r="F789" s="7"/>
      <c r="G789" s="7"/>
      <c r="H789" s="7"/>
      <c r="I789" s="7"/>
      <c r="J789" s="8"/>
      <c r="K789" s="9"/>
    </row>
    <row r="790">
      <c r="A790" s="6"/>
      <c r="B790" s="7"/>
      <c r="C790" s="7"/>
      <c r="D790" s="7"/>
      <c r="E790" s="7"/>
      <c r="F790" s="7"/>
      <c r="G790" s="7"/>
      <c r="H790" s="7"/>
      <c r="I790" s="7"/>
      <c r="J790" s="8"/>
      <c r="K790" s="9"/>
    </row>
    <row r="791">
      <c r="A791" s="6"/>
      <c r="B791" s="7"/>
      <c r="C791" s="7"/>
      <c r="D791" s="7"/>
      <c r="E791" s="7"/>
      <c r="F791" s="7"/>
      <c r="G791" s="7"/>
      <c r="H791" s="7"/>
      <c r="I791" s="7"/>
      <c r="J791" s="8"/>
      <c r="K791" s="9"/>
    </row>
    <row r="792">
      <c r="A792" s="6"/>
      <c r="B792" s="7"/>
      <c r="C792" s="7"/>
      <c r="D792" s="7"/>
      <c r="E792" s="7"/>
      <c r="F792" s="7"/>
      <c r="G792" s="7"/>
      <c r="H792" s="7"/>
      <c r="I792" s="7"/>
      <c r="J792" s="8"/>
      <c r="K792" s="9"/>
    </row>
    <row r="793">
      <c r="A793" s="6"/>
      <c r="B793" s="7"/>
      <c r="C793" s="7"/>
      <c r="D793" s="7"/>
      <c r="E793" s="7"/>
      <c r="F793" s="7"/>
      <c r="G793" s="7"/>
      <c r="H793" s="7"/>
      <c r="I793" s="7"/>
      <c r="J793" s="8"/>
      <c r="K793" s="9"/>
    </row>
    <row r="794">
      <c r="A794" s="6"/>
      <c r="B794" s="7"/>
      <c r="C794" s="7"/>
      <c r="D794" s="7"/>
      <c r="E794" s="7"/>
      <c r="F794" s="7"/>
      <c r="G794" s="7"/>
      <c r="H794" s="7"/>
      <c r="I794" s="7"/>
      <c r="J794" s="8"/>
      <c r="K794" s="9"/>
    </row>
    <row r="795">
      <c r="A795" s="6"/>
      <c r="B795" s="7"/>
      <c r="C795" s="7"/>
      <c r="D795" s="7"/>
      <c r="E795" s="7"/>
      <c r="F795" s="7"/>
      <c r="G795" s="7"/>
      <c r="H795" s="7"/>
      <c r="I795" s="7"/>
      <c r="J795" s="8"/>
      <c r="K795" s="9"/>
    </row>
    <row r="796">
      <c r="A796" s="6"/>
      <c r="B796" s="7"/>
      <c r="C796" s="7"/>
      <c r="D796" s="7"/>
      <c r="E796" s="7"/>
      <c r="F796" s="7"/>
      <c r="G796" s="7"/>
      <c r="H796" s="7"/>
      <c r="I796" s="7"/>
      <c r="J796" s="8"/>
      <c r="K796" s="9"/>
    </row>
    <row r="797">
      <c r="A797" s="6"/>
      <c r="B797" s="7"/>
      <c r="C797" s="7"/>
      <c r="D797" s="7"/>
      <c r="E797" s="7"/>
      <c r="F797" s="7"/>
      <c r="G797" s="7"/>
      <c r="H797" s="7"/>
      <c r="I797" s="7"/>
      <c r="J797" s="8"/>
      <c r="K797" s="9"/>
    </row>
    <row r="798">
      <c r="A798" s="6"/>
      <c r="B798" s="7"/>
      <c r="C798" s="7"/>
      <c r="D798" s="7"/>
      <c r="E798" s="7"/>
      <c r="F798" s="7"/>
      <c r="G798" s="7"/>
      <c r="H798" s="7"/>
      <c r="I798" s="7"/>
      <c r="J798" s="8"/>
      <c r="K798" s="9"/>
    </row>
    <row r="799">
      <c r="A799" s="6"/>
      <c r="B799" s="7"/>
      <c r="C799" s="7"/>
      <c r="D799" s="7"/>
      <c r="E799" s="7"/>
      <c r="F799" s="7"/>
      <c r="G799" s="7"/>
      <c r="H799" s="7"/>
      <c r="I799" s="7"/>
      <c r="J799" s="8"/>
      <c r="K799" s="9"/>
    </row>
    <row r="800">
      <c r="A800" s="6"/>
      <c r="B800" s="7"/>
      <c r="C800" s="7"/>
      <c r="D800" s="7"/>
      <c r="E800" s="7"/>
      <c r="F800" s="7"/>
      <c r="G800" s="7"/>
      <c r="H800" s="7"/>
      <c r="I800" s="7"/>
      <c r="J800" s="8"/>
      <c r="K800" s="9"/>
    </row>
    <row r="801">
      <c r="A801" s="6"/>
      <c r="B801" s="7"/>
      <c r="C801" s="7"/>
      <c r="D801" s="7"/>
      <c r="E801" s="7"/>
      <c r="F801" s="7"/>
      <c r="G801" s="7"/>
      <c r="H801" s="7"/>
      <c r="I801" s="7"/>
      <c r="J801" s="8"/>
      <c r="K801" s="9"/>
    </row>
    <row r="802">
      <c r="A802" s="6"/>
      <c r="B802" s="7"/>
      <c r="C802" s="7"/>
      <c r="D802" s="7"/>
      <c r="E802" s="7"/>
      <c r="F802" s="7"/>
      <c r="G802" s="7"/>
      <c r="H802" s="7"/>
      <c r="I802" s="7"/>
      <c r="J802" s="8"/>
      <c r="K802" s="9"/>
    </row>
    <row r="803">
      <c r="A803" s="6"/>
      <c r="B803" s="7"/>
      <c r="C803" s="7"/>
      <c r="D803" s="7"/>
      <c r="E803" s="7"/>
      <c r="F803" s="7"/>
      <c r="G803" s="7"/>
      <c r="H803" s="7"/>
      <c r="I803" s="7"/>
      <c r="J803" s="8"/>
      <c r="K803" s="9"/>
    </row>
    <row r="804">
      <c r="A804" s="6"/>
      <c r="B804" s="7"/>
      <c r="C804" s="7"/>
      <c r="D804" s="7"/>
      <c r="E804" s="7"/>
      <c r="F804" s="7"/>
      <c r="G804" s="7"/>
      <c r="H804" s="7"/>
      <c r="I804" s="7"/>
      <c r="J804" s="8"/>
      <c r="K804" s="9"/>
    </row>
    <row r="805">
      <c r="A805" s="6"/>
      <c r="B805" s="7"/>
      <c r="C805" s="7"/>
      <c r="D805" s="7"/>
      <c r="E805" s="7"/>
      <c r="F805" s="7"/>
      <c r="G805" s="7"/>
      <c r="H805" s="7"/>
      <c r="I805" s="7"/>
      <c r="J805" s="8"/>
      <c r="K805" s="9"/>
    </row>
    <row r="806">
      <c r="A806" s="6"/>
      <c r="B806" s="7"/>
      <c r="C806" s="7"/>
      <c r="D806" s="7"/>
      <c r="E806" s="7"/>
      <c r="F806" s="7"/>
      <c r="G806" s="7"/>
      <c r="H806" s="7"/>
      <c r="I806" s="7"/>
      <c r="J806" s="8"/>
      <c r="K806" s="9"/>
    </row>
  </sheetData>
  <autoFilter ref="$A$1:$Z$24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7.0"/>
    <col customWidth="1" min="3" max="3" width="12.63"/>
    <col customWidth="1" min="4" max="4" width="29.75"/>
    <col customWidth="1" min="5" max="5" width="19.13"/>
    <col customWidth="1" min="6" max="6" width="23.25"/>
    <col customWidth="1" min="7" max="7" width="9.5"/>
    <col customWidth="1" min="8" max="8" width="29.25"/>
    <col customWidth="1" min="10" max="10" width="19.75"/>
    <col customWidth="1" min="11" max="11" width="20.88"/>
  </cols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1" t="s">
        <v>7</v>
      </c>
      <c r="I1" s="11" t="s">
        <v>8</v>
      </c>
      <c r="J1" s="12" t="s">
        <v>9</v>
      </c>
      <c r="K1" s="1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0"/>
      <c r="B2" s="16"/>
      <c r="C2" s="17" t="s">
        <v>11</v>
      </c>
      <c r="D2" s="13" t="s">
        <v>16</v>
      </c>
      <c r="E2" s="17"/>
      <c r="F2" s="17" t="s">
        <v>445</v>
      </c>
      <c r="G2" s="17" t="s">
        <v>14</v>
      </c>
      <c r="H2" s="17" t="s">
        <v>15</v>
      </c>
      <c r="I2" s="17">
        <v>2.0</v>
      </c>
      <c r="J2" s="16"/>
      <c r="K2" s="16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13"/>
      <c r="B3" s="13"/>
      <c r="C3" s="17" t="s">
        <v>11</v>
      </c>
      <c r="D3" s="17" t="s">
        <v>162</v>
      </c>
      <c r="E3" s="17"/>
      <c r="F3" s="17" t="s">
        <v>446</v>
      </c>
      <c r="G3" s="17" t="s">
        <v>22</v>
      </c>
      <c r="H3" s="17" t="s">
        <v>164</v>
      </c>
      <c r="I3" s="17">
        <v>3.0</v>
      </c>
      <c r="J3" s="13"/>
      <c r="K3" s="13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0"/>
      <c r="B4" s="16"/>
      <c r="C4" s="17" t="s">
        <v>11</v>
      </c>
      <c r="D4" s="17" t="s">
        <v>447</v>
      </c>
      <c r="E4" s="17"/>
      <c r="F4" s="17" t="s">
        <v>448</v>
      </c>
      <c r="G4" s="17" t="s">
        <v>14</v>
      </c>
      <c r="H4" s="17" t="s">
        <v>15</v>
      </c>
      <c r="I4" s="17">
        <v>1.0</v>
      </c>
      <c r="J4" s="16"/>
      <c r="K4" s="16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0"/>
      <c r="B5" s="16"/>
      <c r="C5" s="17" t="s">
        <v>11</v>
      </c>
      <c r="D5" s="17" t="s">
        <v>449</v>
      </c>
      <c r="E5" s="17"/>
      <c r="F5" s="17" t="s">
        <v>450</v>
      </c>
      <c r="G5" s="17" t="s">
        <v>14</v>
      </c>
      <c r="H5" s="17" t="s">
        <v>308</v>
      </c>
      <c r="I5" s="17">
        <v>4.0</v>
      </c>
      <c r="J5" s="16"/>
      <c r="K5" s="16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0"/>
      <c r="B6" s="16"/>
      <c r="C6" s="17" t="s">
        <v>11</v>
      </c>
      <c r="D6" s="17" t="s">
        <v>20</v>
      </c>
      <c r="E6" s="17"/>
      <c r="F6" s="17" t="s">
        <v>451</v>
      </c>
      <c r="G6" s="17" t="s">
        <v>14</v>
      </c>
      <c r="H6" s="17" t="s">
        <v>15</v>
      </c>
      <c r="I6" s="17">
        <v>2.0</v>
      </c>
      <c r="J6" s="16"/>
      <c r="K6" s="16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0"/>
      <c r="B7" s="16"/>
      <c r="C7" s="17" t="s">
        <v>11</v>
      </c>
      <c r="D7" s="17" t="s">
        <v>452</v>
      </c>
      <c r="E7" s="17"/>
      <c r="F7" s="17" t="s">
        <v>358</v>
      </c>
      <c r="G7" s="17" t="s">
        <v>14</v>
      </c>
      <c r="H7" s="17" t="s">
        <v>453</v>
      </c>
      <c r="I7" s="17">
        <v>1.0</v>
      </c>
      <c r="J7" s="16"/>
      <c r="K7" s="16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0"/>
      <c r="B8" s="16"/>
      <c r="C8" s="17" t="s">
        <v>11</v>
      </c>
      <c r="D8" s="17" t="s">
        <v>454</v>
      </c>
      <c r="E8" s="17"/>
      <c r="F8" s="17" t="s">
        <v>455</v>
      </c>
      <c r="G8" s="17" t="s">
        <v>14</v>
      </c>
      <c r="H8" s="17" t="s">
        <v>456</v>
      </c>
      <c r="I8" s="17">
        <v>2.0</v>
      </c>
      <c r="J8" s="16"/>
      <c r="K8" s="16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0"/>
      <c r="B9" s="16"/>
      <c r="C9" s="17" t="s">
        <v>11</v>
      </c>
      <c r="D9" s="17" t="s">
        <v>457</v>
      </c>
      <c r="E9" s="17"/>
      <c r="F9" s="17" t="s">
        <v>458</v>
      </c>
      <c r="G9" s="17" t="s">
        <v>14</v>
      </c>
      <c r="H9" s="17" t="s">
        <v>15</v>
      </c>
      <c r="I9" s="17">
        <v>2.0</v>
      </c>
      <c r="J9" s="16"/>
      <c r="K9" s="16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0"/>
      <c r="B10" s="16"/>
      <c r="C10" s="19" t="s">
        <v>459</v>
      </c>
      <c r="D10" s="19" t="s">
        <v>460</v>
      </c>
      <c r="E10" s="19">
        <v>7.44237102E8</v>
      </c>
      <c r="F10" s="19" t="s">
        <v>108</v>
      </c>
      <c r="G10" s="19" t="s">
        <v>14</v>
      </c>
      <c r="H10" s="19">
        <v>7.44237102E8</v>
      </c>
      <c r="I10" s="19">
        <v>1.0</v>
      </c>
      <c r="J10" s="13" t="s">
        <v>56</v>
      </c>
      <c r="K10" s="13" t="s">
        <v>56</v>
      </c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0"/>
      <c r="B11" s="16"/>
      <c r="C11" s="17" t="s">
        <v>53</v>
      </c>
      <c r="D11" s="17" t="s">
        <v>461</v>
      </c>
      <c r="E11" s="17">
        <v>6.91213510002E11</v>
      </c>
      <c r="F11" s="17" t="s">
        <v>462</v>
      </c>
      <c r="G11" s="17" t="s">
        <v>22</v>
      </c>
      <c r="H11" s="17" t="s">
        <v>463</v>
      </c>
      <c r="I11" s="17">
        <v>2.0</v>
      </c>
      <c r="J11" s="13" t="s">
        <v>464</v>
      </c>
      <c r="K11" s="16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0"/>
      <c r="B12" s="16"/>
      <c r="C12" s="17" t="s">
        <v>53</v>
      </c>
      <c r="D12" s="17" t="s">
        <v>75</v>
      </c>
      <c r="E12" s="24" t="s">
        <v>76</v>
      </c>
      <c r="F12" s="17" t="s">
        <v>465</v>
      </c>
      <c r="G12" s="17" t="s">
        <v>22</v>
      </c>
      <c r="H12" s="17" t="s">
        <v>78</v>
      </c>
      <c r="I12" s="17">
        <v>5.0</v>
      </c>
      <c r="J12" s="13" t="s">
        <v>79</v>
      </c>
      <c r="K12" s="16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0"/>
      <c r="B13" s="16"/>
      <c r="C13" s="17" t="s">
        <v>53</v>
      </c>
      <c r="D13" s="17" t="s">
        <v>80</v>
      </c>
      <c r="E13" s="17" t="s">
        <v>81</v>
      </c>
      <c r="F13" s="17" t="s">
        <v>466</v>
      </c>
      <c r="G13" s="17" t="s">
        <v>22</v>
      </c>
      <c r="H13" s="13" t="s">
        <v>83</v>
      </c>
      <c r="I13" s="17">
        <v>2.0</v>
      </c>
      <c r="J13" s="16"/>
      <c r="K13" s="16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0"/>
      <c r="B14" s="16"/>
      <c r="C14" s="17" t="s">
        <v>98</v>
      </c>
      <c r="D14" s="17" t="s">
        <v>467</v>
      </c>
      <c r="E14" s="17" t="s">
        <v>468</v>
      </c>
      <c r="F14" s="17" t="s">
        <v>469</v>
      </c>
      <c r="G14" s="17" t="s">
        <v>14</v>
      </c>
      <c r="H14" s="17" t="s">
        <v>470</v>
      </c>
      <c r="I14" s="17">
        <v>2.0</v>
      </c>
      <c r="J14" s="13" t="s">
        <v>471</v>
      </c>
      <c r="K14" s="16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0"/>
      <c r="B15" s="16"/>
      <c r="C15" s="17" t="s">
        <v>106</v>
      </c>
      <c r="D15" s="17" t="s">
        <v>472</v>
      </c>
      <c r="E15" s="17">
        <v>7.42792117E8</v>
      </c>
      <c r="F15" s="17" t="s">
        <v>473</v>
      </c>
      <c r="G15" s="17" t="s">
        <v>14</v>
      </c>
      <c r="H15" s="17" t="s">
        <v>474</v>
      </c>
      <c r="I15" s="17">
        <v>1.0</v>
      </c>
      <c r="J15" s="13" t="s">
        <v>56</v>
      </c>
      <c r="K15" s="13" t="s">
        <v>56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0"/>
      <c r="B16" s="16"/>
      <c r="C16" s="17" t="s">
        <v>110</v>
      </c>
      <c r="D16" s="17" t="s">
        <v>475</v>
      </c>
      <c r="E16" s="17" t="s">
        <v>476</v>
      </c>
      <c r="F16" s="17" t="s">
        <v>477</v>
      </c>
      <c r="G16" s="17" t="s">
        <v>14</v>
      </c>
      <c r="H16" s="17" t="s">
        <v>478</v>
      </c>
      <c r="I16" s="17">
        <v>1.0</v>
      </c>
      <c r="J16" s="13" t="s">
        <v>479</v>
      </c>
      <c r="K16" s="16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0"/>
      <c r="B17" s="16"/>
      <c r="C17" s="17" t="s">
        <v>110</v>
      </c>
      <c r="D17" s="17" t="s">
        <v>480</v>
      </c>
      <c r="E17" s="17" t="s">
        <v>481</v>
      </c>
      <c r="F17" s="17" t="s">
        <v>482</v>
      </c>
      <c r="G17" s="17" t="s">
        <v>14</v>
      </c>
      <c r="H17" s="17" t="s">
        <v>483</v>
      </c>
      <c r="I17" s="17">
        <v>2.0</v>
      </c>
      <c r="J17" s="13" t="s">
        <v>484</v>
      </c>
      <c r="K17" s="16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0"/>
      <c r="B18" s="16"/>
      <c r="C18" s="17" t="s">
        <v>150</v>
      </c>
      <c r="D18" s="13" t="s">
        <v>151</v>
      </c>
      <c r="E18" s="17" t="s">
        <v>152</v>
      </c>
      <c r="F18" s="17" t="s">
        <v>485</v>
      </c>
      <c r="G18" s="17" t="s">
        <v>14</v>
      </c>
      <c r="H18" s="17" t="s">
        <v>36</v>
      </c>
      <c r="I18" s="17">
        <v>2.0</v>
      </c>
      <c r="J18" s="13" t="s">
        <v>56</v>
      </c>
      <c r="K18" s="13" t="s">
        <v>56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0"/>
      <c r="B19" s="16"/>
      <c r="C19" s="17" t="s">
        <v>269</v>
      </c>
      <c r="D19" s="17" t="s">
        <v>486</v>
      </c>
      <c r="E19" s="17" t="s">
        <v>487</v>
      </c>
      <c r="F19" s="17" t="s">
        <v>488</v>
      </c>
      <c r="G19" s="17" t="s">
        <v>14</v>
      </c>
      <c r="H19" s="17" t="s">
        <v>487</v>
      </c>
      <c r="I19" s="17">
        <v>1.0</v>
      </c>
      <c r="J19" s="13" t="s">
        <v>489</v>
      </c>
      <c r="K19" s="16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0"/>
      <c r="B20" s="16"/>
      <c r="C20" s="17" t="s">
        <v>409</v>
      </c>
      <c r="D20" s="17" t="s">
        <v>490</v>
      </c>
      <c r="E20" s="17">
        <v>8.25515E7</v>
      </c>
      <c r="F20" s="17" t="s">
        <v>491</v>
      </c>
      <c r="G20" s="17" t="s">
        <v>14</v>
      </c>
      <c r="H20" s="17" t="s">
        <v>308</v>
      </c>
      <c r="I20" s="17">
        <v>3.0</v>
      </c>
      <c r="J20" s="13" t="s">
        <v>56</v>
      </c>
      <c r="K20" s="13" t="s">
        <v>56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0"/>
      <c r="B21" s="16"/>
      <c r="C21" s="17" t="s">
        <v>32</v>
      </c>
      <c r="D21" s="17" t="s">
        <v>33</v>
      </c>
      <c r="E21" s="17" t="s">
        <v>34</v>
      </c>
      <c r="F21" s="17" t="s">
        <v>492</v>
      </c>
      <c r="G21" s="17" t="s">
        <v>14</v>
      </c>
      <c r="H21" s="17" t="s">
        <v>36</v>
      </c>
      <c r="I21" s="17">
        <v>1.0</v>
      </c>
      <c r="J21" s="16"/>
      <c r="K21" s="16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0"/>
      <c r="B22" s="16"/>
      <c r="C22" s="17" t="s">
        <v>32</v>
      </c>
      <c r="D22" s="17" t="s">
        <v>41</v>
      </c>
      <c r="E22" s="17" t="s">
        <v>34</v>
      </c>
      <c r="F22" s="17" t="s">
        <v>493</v>
      </c>
      <c r="G22" s="17" t="s">
        <v>14</v>
      </c>
      <c r="H22" s="17" t="s">
        <v>36</v>
      </c>
      <c r="I22" s="17">
        <v>6.0</v>
      </c>
      <c r="J22" s="16"/>
      <c r="K22" s="16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0"/>
      <c r="B23" s="16"/>
      <c r="C23" s="17" t="s">
        <v>32</v>
      </c>
      <c r="D23" s="17" t="s">
        <v>47</v>
      </c>
      <c r="E23" s="17" t="s">
        <v>34</v>
      </c>
      <c r="F23" s="17" t="s">
        <v>494</v>
      </c>
      <c r="G23" s="17" t="s">
        <v>14</v>
      </c>
      <c r="H23" s="17" t="s">
        <v>36</v>
      </c>
      <c r="I23" s="17">
        <v>2.0</v>
      </c>
      <c r="J23" s="16"/>
      <c r="K23" s="16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0"/>
      <c r="B24" s="16"/>
      <c r="C24" s="17" t="s">
        <v>32</v>
      </c>
      <c r="D24" s="17" t="s">
        <v>428</v>
      </c>
      <c r="E24" s="17" t="s">
        <v>34</v>
      </c>
      <c r="F24" s="17" t="s">
        <v>495</v>
      </c>
      <c r="G24" s="17" t="s">
        <v>14</v>
      </c>
      <c r="H24" s="17" t="s">
        <v>36</v>
      </c>
      <c r="I24" s="17">
        <v>2.0</v>
      </c>
      <c r="J24" s="16"/>
      <c r="K24" s="16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0"/>
      <c r="B25" s="16"/>
      <c r="C25" s="17" t="s">
        <v>32</v>
      </c>
      <c r="D25" s="17" t="s">
        <v>496</v>
      </c>
      <c r="E25" s="17" t="s">
        <v>34</v>
      </c>
      <c r="F25" s="17" t="s">
        <v>497</v>
      </c>
      <c r="G25" s="17" t="s">
        <v>14</v>
      </c>
      <c r="H25" s="17" t="s">
        <v>36</v>
      </c>
      <c r="I25" s="17">
        <v>1.0</v>
      </c>
      <c r="J25" s="16"/>
      <c r="K25" s="16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0"/>
      <c r="B26" s="16"/>
      <c r="C26" s="17" t="s">
        <v>32</v>
      </c>
      <c r="D26" s="17" t="s">
        <v>498</v>
      </c>
      <c r="E26" s="17">
        <v>5.60112116137E11</v>
      </c>
      <c r="F26" s="17" t="s">
        <v>499</v>
      </c>
      <c r="G26" s="17" t="s">
        <v>14</v>
      </c>
      <c r="H26" s="17" t="s">
        <v>36</v>
      </c>
      <c r="I26" s="17">
        <v>2.0</v>
      </c>
      <c r="J26" s="13" t="s">
        <v>56</v>
      </c>
      <c r="K26" s="13" t="s">
        <v>56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6"/>
      <c r="B27" s="7"/>
      <c r="C27" s="7"/>
      <c r="D27" s="7"/>
      <c r="E27" s="7"/>
      <c r="F27" s="7"/>
      <c r="G27" s="7"/>
      <c r="H27" s="7"/>
      <c r="I27" s="7"/>
      <c r="J27" s="8"/>
      <c r="K27" s="9"/>
    </row>
    <row r="28">
      <c r="A28" s="6"/>
      <c r="B28" s="7"/>
      <c r="C28" s="7"/>
      <c r="D28" s="7"/>
      <c r="E28" s="7"/>
      <c r="F28" s="7"/>
      <c r="G28" s="7"/>
      <c r="H28" s="7"/>
      <c r="I28" s="7"/>
      <c r="J28" s="8"/>
      <c r="K28" s="9"/>
    </row>
    <row r="29">
      <c r="A29" s="6"/>
      <c r="B29" s="7"/>
      <c r="C29" s="7"/>
      <c r="D29" s="7"/>
      <c r="E29" s="7"/>
      <c r="F29" s="7"/>
      <c r="G29" s="7"/>
      <c r="H29" s="7"/>
      <c r="I29" s="7"/>
      <c r="J29" s="8"/>
      <c r="K29" s="9"/>
    </row>
    <row r="30">
      <c r="A30" s="6"/>
      <c r="B30" s="7"/>
      <c r="C30" s="7"/>
      <c r="D30" s="7"/>
      <c r="E30" s="7"/>
      <c r="F30" s="7"/>
      <c r="G30" s="7"/>
      <c r="H30" s="7"/>
      <c r="I30" s="7"/>
      <c r="J30" s="8"/>
      <c r="K30" s="9"/>
    </row>
    <row r="31">
      <c r="A31" s="6"/>
      <c r="B31" s="7"/>
      <c r="C31" s="7"/>
      <c r="D31" s="7"/>
      <c r="E31" s="7"/>
      <c r="F31" s="7"/>
      <c r="G31" s="7"/>
      <c r="H31" s="7"/>
      <c r="I31" s="7"/>
      <c r="J31" s="8"/>
      <c r="K31" s="9"/>
    </row>
    <row r="32">
      <c r="A32" s="6"/>
      <c r="B32" s="7"/>
      <c r="C32" s="7"/>
      <c r="D32" s="7"/>
      <c r="E32" s="7"/>
      <c r="F32" s="7"/>
      <c r="G32" s="7"/>
      <c r="H32" s="7"/>
      <c r="I32" s="7"/>
      <c r="J32" s="8"/>
      <c r="K32" s="9"/>
    </row>
    <row r="33">
      <c r="A33" s="6"/>
      <c r="B33" s="7"/>
      <c r="C33" s="7"/>
      <c r="D33" s="7"/>
      <c r="E33" s="7"/>
      <c r="F33" s="7"/>
      <c r="G33" s="7"/>
      <c r="H33" s="7"/>
      <c r="I33" s="7"/>
      <c r="J33" s="8"/>
      <c r="K33" s="9"/>
    </row>
    <row r="34">
      <c r="A34" s="6"/>
      <c r="B34" s="7"/>
      <c r="C34" s="7"/>
      <c r="D34" s="7"/>
      <c r="E34" s="7"/>
      <c r="F34" s="7"/>
      <c r="G34" s="7"/>
      <c r="H34" s="7"/>
      <c r="I34" s="7"/>
      <c r="J34" s="8"/>
      <c r="K34" s="9"/>
    </row>
    <row r="35">
      <c r="A35" s="6"/>
      <c r="B35" s="7"/>
      <c r="C35" s="7"/>
      <c r="D35" s="7"/>
      <c r="E35" s="7"/>
      <c r="F35" s="7"/>
      <c r="G35" s="7"/>
      <c r="H35" s="7"/>
      <c r="I35" s="7"/>
      <c r="J35" s="8"/>
      <c r="K35" s="9"/>
    </row>
    <row r="36">
      <c r="A36" s="6"/>
      <c r="B36" s="7"/>
      <c r="C36" s="7"/>
      <c r="D36" s="7"/>
      <c r="E36" s="7"/>
      <c r="F36" s="7"/>
      <c r="G36" s="7"/>
      <c r="H36" s="7"/>
      <c r="I36" s="7"/>
      <c r="J36" s="8"/>
      <c r="K36" s="9"/>
    </row>
    <row r="37">
      <c r="A37" s="6"/>
      <c r="B37" s="7"/>
      <c r="C37" s="7"/>
      <c r="D37" s="7"/>
      <c r="E37" s="7"/>
      <c r="F37" s="7"/>
      <c r="G37" s="7"/>
      <c r="H37" s="7"/>
      <c r="I37" s="7"/>
      <c r="J37" s="8"/>
      <c r="K37" s="9"/>
    </row>
    <row r="38">
      <c r="A38" s="6"/>
      <c r="B38" s="7"/>
      <c r="C38" s="7"/>
      <c r="D38" s="7"/>
      <c r="E38" s="7"/>
      <c r="F38" s="7"/>
      <c r="G38" s="7"/>
      <c r="H38" s="7"/>
      <c r="I38" s="7"/>
      <c r="J38" s="8"/>
      <c r="K38" s="9"/>
    </row>
    <row r="39">
      <c r="A39" s="6"/>
      <c r="B39" s="7"/>
      <c r="C39" s="7"/>
      <c r="D39" s="7"/>
      <c r="E39" s="7"/>
      <c r="F39" s="7"/>
      <c r="G39" s="7"/>
      <c r="H39" s="7"/>
      <c r="I39" s="7"/>
      <c r="J39" s="8"/>
      <c r="K39" s="9"/>
    </row>
    <row r="40">
      <c r="A40" s="6"/>
      <c r="B40" s="7"/>
      <c r="C40" s="7"/>
      <c r="D40" s="7"/>
      <c r="E40" s="7"/>
      <c r="F40" s="7"/>
      <c r="G40" s="7"/>
      <c r="H40" s="7"/>
      <c r="I40" s="7"/>
      <c r="J40" s="8"/>
      <c r="K40" s="9"/>
    </row>
    <row r="41">
      <c r="A41" s="6"/>
      <c r="B41" s="7"/>
      <c r="C41" s="7"/>
      <c r="D41" s="7"/>
      <c r="E41" s="7"/>
      <c r="F41" s="7"/>
      <c r="G41" s="7"/>
      <c r="H41" s="7"/>
      <c r="I41" s="7"/>
      <c r="J41" s="8"/>
      <c r="K41" s="9"/>
    </row>
    <row r="42">
      <c r="A42" s="6"/>
      <c r="B42" s="7"/>
      <c r="C42" s="7"/>
      <c r="D42" s="7"/>
      <c r="E42" s="7"/>
      <c r="F42" s="7"/>
      <c r="G42" s="7"/>
      <c r="H42" s="7"/>
      <c r="I42" s="7"/>
      <c r="J42" s="8"/>
      <c r="K42" s="9"/>
    </row>
    <row r="43">
      <c r="A43" s="6"/>
      <c r="B43" s="7"/>
      <c r="C43" s="7"/>
      <c r="D43" s="7"/>
      <c r="E43" s="7"/>
      <c r="F43" s="7"/>
      <c r="G43" s="7"/>
      <c r="H43" s="7"/>
      <c r="I43" s="7"/>
      <c r="J43" s="8"/>
      <c r="K43" s="9"/>
    </row>
    <row r="44">
      <c r="A44" s="6"/>
      <c r="B44" s="7"/>
      <c r="C44" s="7"/>
      <c r="D44" s="7"/>
      <c r="E44" s="7"/>
      <c r="F44" s="7"/>
      <c r="G44" s="7"/>
      <c r="H44" s="7"/>
      <c r="I44" s="7"/>
      <c r="J44" s="8"/>
      <c r="K44" s="9"/>
    </row>
    <row r="45">
      <c r="A45" s="6"/>
      <c r="B45" s="7"/>
      <c r="C45" s="7"/>
      <c r="D45" s="7"/>
      <c r="E45" s="7"/>
      <c r="F45" s="7"/>
      <c r="G45" s="7"/>
      <c r="H45" s="7"/>
      <c r="I45" s="7"/>
      <c r="J45" s="8"/>
      <c r="K45" s="9"/>
    </row>
    <row r="46">
      <c r="A46" s="6"/>
      <c r="B46" s="7"/>
      <c r="C46" s="7"/>
      <c r="D46" s="7"/>
      <c r="E46" s="7"/>
      <c r="F46" s="7"/>
      <c r="G46" s="7"/>
      <c r="H46" s="7"/>
      <c r="I46" s="7"/>
      <c r="J46" s="8"/>
      <c r="K46" s="9"/>
    </row>
    <row r="47">
      <c r="A47" s="6"/>
      <c r="B47" s="7"/>
      <c r="C47" s="7"/>
      <c r="D47" s="7"/>
      <c r="E47" s="7"/>
      <c r="F47" s="7"/>
      <c r="G47" s="7"/>
      <c r="H47" s="7"/>
      <c r="I47" s="7"/>
      <c r="J47" s="8"/>
      <c r="K47" s="9"/>
    </row>
    <row r="48">
      <c r="A48" s="6"/>
      <c r="B48" s="7"/>
      <c r="C48" s="7"/>
      <c r="D48" s="7"/>
      <c r="E48" s="7"/>
      <c r="F48" s="7"/>
      <c r="G48" s="7"/>
      <c r="H48" s="7"/>
      <c r="I48" s="7"/>
      <c r="J48" s="8"/>
      <c r="K48" s="9"/>
    </row>
    <row r="49">
      <c r="A49" s="6"/>
      <c r="B49" s="7"/>
      <c r="C49" s="7"/>
      <c r="D49" s="7"/>
      <c r="E49" s="7"/>
      <c r="F49" s="7"/>
      <c r="G49" s="7"/>
      <c r="H49" s="7"/>
      <c r="I49" s="7"/>
      <c r="J49" s="8"/>
      <c r="K49" s="9"/>
    </row>
    <row r="50">
      <c r="A50" s="6"/>
      <c r="B50" s="7"/>
      <c r="C50" s="7"/>
      <c r="D50" s="7"/>
      <c r="E50" s="7"/>
      <c r="F50" s="7"/>
      <c r="G50" s="7"/>
      <c r="H50" s="7"/>
      <c r="I50" s="7"/>
      <c r="J50" s="8"/>
      <c r="K50" s="9"/>
    </row>
    <row r="51">
      <c r="A51" s="6"/>
      <c r="B51" s="7"/>
      <c r="C51" s="7"/>
      <c r="D51" s="7"/>
      <c r="E51" s="7"/>
      <c r="F51" s="7"/>
      <c r="G51" s="7"/>
      <c r="H51" s="7"/>
      <c r="I51" s="7"/>
      <c r="J51" s="8"/>
      <c r="K51" s="9"/>
    </row>
    <row r="52">
      <c r="A52" s="6"/>
      <c r="B52" s="7"/>
      <c r="C52" s="7"/>
      <c r="D52" s="7"/>
      <c r="E52" s="7"/>
      <c r="F52" s="7"/>
      <c r="G52" s="7"/>
      <c r="H52" s="7"/>
      <c r="I52" s="7"/>
      <c r="J52" s="8"/>
      <c r="K52" s="9"/>
    </row>
    <row r="53">
      <c r="A53" s="6"/>
      <c r="B53" s="7"/>
      <c r="C53" s="7"/>
      <c r="D53" s="7"/>
      <c r="E53" s="7"/>
      <c r="F53" s="7"/>
      <c r="G53" s="7"/>
      <c r="H53" s="7"/>
      <c r="I53" s="7"/>
      <c r="J53" s="8"/>
      <c r="K53" s="9"/>
    </row>
    <row r="54">
      <c r="A54" s="6"/>
      <c r="B54" s="7"/>
      <c r="C54" s="7"/>
      <c r="D54" s="7"/>
      <c r="E54" s="7"/>
      <c r="F54" s="7"/>
      <c r="G54" s="7"/>
      <c r="H54" s="7"/>
      <c r="I54" s="7"/>
      <c r="J54" s="8"/>
      <c r="K54" s="9"/>
    </row>
    <row r="55">
      <c r="A55" s="6"/>
      <c r="B55" s="7"/>
      <c r="C55" s="7"/>
      <c r="D55" s="7"/>
      <c r="E55" s="7"/>
      <c r="F55" s="7"/>
      <c r="G55" s="7"/>
      <c r="H55" s="7"/>
      <c r="I55" s="7"/>
      <c r="J55" s="8"/>
      <c r="K55" s="9"/>
    </row>
    <row r="56">
      <c r="A56" s="6"/>
      <c r="B56" s="7"/>
      <c r="C56" s="7"/>
      <c r="D56" s="7"/>
      <c r="E56" s="7"/>
      <c r="F56" s="7"/>
      <c r="G56" s="7"/>
      <c r="H56" s="7"/>
      <c r="I56" s="7"/>
      <c r="J56" s="8"/>
      <c r="K56" s="9"/>
    </row>
    <row r="57">
      <c r="A57" s="6"/>
      <c r="B57" s="7"/>
      <c r="C57" s="7"/>
      <c r="D57" s="7"/>
      <c r="E57" s="7"/>
      <c r="F57" s="7"/>
      <c r="G57" s="7"/>
      <c r="H57" s="7"/>
      <c r="I57" s="7"/>
      <c r="J57" s="8"/>
      <c r="K57" s="9"/>
    </row>
    <row r="58">
      <c r="A58" s="6"/>
      <c r="B58" s="7"/>
      <c r="C58" s="7"/>
      <c r="D58" s="7"/>
      <c r="E58" s="7"/>
      <c r="F58" s="7"/>
      <c r="G58" s="7"/>
      <c r="H58" s="7"/>
      <c r="I58" s="7"/>
      <c r="J58" s="8"/>
      <c r="K58" s="9"/>
    </row>
    <row r="59">
      <c r="A59" s="6"/>
      <c r="B59" s="7"/>
      <c r="C59" s="7"/>
      <c r="D59" s="7"/>
      <c r="E59" s="7"/>
      <c r="F59" s="7"/>
      <c r="G59" s="7"/>
      <c r="H59" s="7"/>
      <c r="I59" s="7"/>
      <c r="J59" s="8"/>
      <c r="K59" s="9"/>
    </row>
    <row r="60">
      <c r="A60" s="6"/>
      <c r="B60" s="7"/>
      <c r="C60" s="7"/>
      <c r="D60" s="7"/>
      <c r="E60" s="7"/>
      <c r="F60" s="7"/>
      <c r="G60" s="7"/>
      <c r="H60" s="7"/>
      <c r="I60" s="7"/>
      <c r="J60" s="8"/>
      <c r="K60" s="9"/>
    </row>
    <row r="61">
      <c r="A61" s="6"/>
      <c r="B61" s="7"/>
      <c r="C61" s="7"/>
      <c r="D61" s="7"/>
      <c r="E61" s="7"/>
      <c r="F61" s="7"/>
      <c r="G61" s="7"/>
      <c r="H61" s="7"/>
      <c r="I61" s="7"/>
      <c r="J61" s="8"/>
      <c r="K61" s="9"/>
    </row>
    <row r="62">
      <c r="A62" s="6"/>
      <c r="B62" s="7"/>
      <c r="C62" s="7"/>
      <c r="D62" s="7"/>
      <c r="E62" s="7"/>
      <c r="F62" s="7"/>
      <c r="G62" s="7"/>
      <c r="H62" s="7"/>
      <c r="I62" s="7"/>
      <c r="J62" s="8"/>
      <c r="K62" s="9"/>
    </row>
    <row r="63">
      <c r="A63" s="6"/>
      <c r="B63" s="7"/>
      <c r="C63" s="7"/>
      <c r="D63" s="7"/>
      <c r="E63" s="7"/>
      <c r="F63" s="7"/>
      <c r="G63" s="7"/>
      <c r="H63" s="7"/>
      <c r="I63" s="7"/>
      <c r="J63" s="8"/>
      <c r="K63" s="9"/>
    </row>
    <row r="64">
      <c r="A64" s="6"/>
      <c r="B64" s="7"/>
      <c r="C64" s="7"/>
      <c r="D64" s="7"/>
      <c r="E64" s="7"/>
      <c r="F64" s="7"/>
      <c r="G64" s="7"/>
      <c r="H64" s="7"/>
      <c r="I64" s="7"/>
      <c r="J64" s="8"/>
      <c r="K64" s="9"/>
    </row>
    <row r="65">
      <c r="A65" s="6"/>
      <c r="B65" s="7"/>
      <c r="C65" s="7"/>
      <c r="D65" s="7"/>
      <c r="E65" s="7"/>
      <c r="F65" s="7"/>
      <c r="G65" s="7"/>
      <c r="H65" s="7"/>
      <c r="I65" s="7"/>
      <c r="J65" s="8"/>
      <c r="K65" s="9"/>
    </row>
    <row r="66">
      <c r="A66" s="6"/>
      <c r="B66" s="7"/>
      <c r="C66" s="7"/>
      <c r="D66" s="7"/>
      <c r="E66" s="7"/>
      <c r="F66" s="7"/>
      <c r="G66" s="7"/>
      <c r="H66" s="7"/>
      <c r="I66" s="7"/>
      <c r="J66" s="8"/>
      <c r="K66" s="9"/>
    </row>
    <row r="67">
      <c r="A67" s="6"/>
      <c r="B67" s="7"/>
      <c r="C67" s="7"/>
      <c r="D67" s="7"/>
      <c r="E67" s="7"/>
      <c r="F67" s="7"/>
      <c r="G67" s="7"/>
      <c r="H67" s="7"/>
      <c r="I67" s="7"/>
      <c r="J67" s="8"/>
      <c r="K67" s="9"/>
    </row>
    <row r="68">
      <c r="A68" s="6"/>
      <c r="B68" s="7"/>
      <c r="C68" s="7"/>
      <c r="D68" s="7"/>
      <c r="E68" s="7"/>
      <c r="F68" s="7"/>
      <c r="G68" s="7"/>
      <c r="H68" s="7"/>
      <c r="I68" s="7"/>
      <c r="J68" s="8"/>
      <c r="K68" s="9"/>
    </row>
    <row r="69">
      <c r="A69" s="6"/>
      <c r="B69" s="7"/>
      <c r="C69" s="7"/>
      <c r="D69" s="7"/>
      <c r="E69" s="7"/>
      <c r="F69" s="7"/>
      <c r="G69" s="7"/>
      <c r="H69" s="7"/>
      <c r="I69" s="7"/>
      <c r="J69" s="8"/>
      <c r="K69" s="9"/>
    </row>
    <row r="70">
      <c r="A70" s="6"/>
      <c r="B70" s="7"/>
      <c r="C70" s="7"/>
      <c r="D70" s="7"/>
      <c r="E70" s="7"/>
      <c r="F70" s="7"/>
      <c r="G70" s="7"/>
      <c r="H70" s="7"/>
      <c r="I70" s="7"/>
      <c r="J70" s="8"/>
      <c r="K70" s="9"/>
    </row>
    <row r="71">
      <c r="A71" s="6"/>
      <c r="B71" s="7"/>
      <c r="C71" s="7"/>
      <c r="D71" s="7"/>
      <c r="E71" s="7"/>
      <c r="F71" s="7"/>
      <c r="G71" s="7"/>
      <c r="H71" s="7"/>
      <c r="I71" s="7"/>
      <c r="J71" s="8"/>
      <c r="K71" s="9"/>
    </row>
    <row r="72">
      <c r="A72" s="6"/>
      <c r="B72" s="7"/>
      <c r="C72" s="7"/>
      <c r="D72" s="7"/>
      <c r="E72" s="7"/>
      <c r="F72" s="7"/>
      <c r="G72" s="7"/>
      <c r="H72" s="7"/>
      <c r="I72" s="7"/>
      <c r="J72" s="8"/>
      <c r="K72" s="9"/>
    </row>
    <row r="73">
      <c r="A73" s="6"/>
      <c r="B73" s="7"/>
      <c r="C73" s="7"/>
      <c r="D73" s="7"/>
      <c r="E73" s="7"/>
      <c r="F73" s="7"/>
      <c r="G73" s="7"/>
      <c r="H73" s="7"/>
      <c r="I73" s="7"/>
      <c r="J73" s="8"/>
      <c r="K73" s="9"/>
    </row>
    <row r="74">
      <c r="A74" s="6"/>
      <c r="B74" s="7"/>
      <c r="C74" s="7"/>
      <c r="D74" s="7"/>
      <c r="E74" s="7"/>
      <c r="F74" s="7"/>
      <c r="G74" s="7"/>
      <c r="H74" s="7"/>
      <c r="I74" s="7"/>
      <c r="J74" s="8"/>
      <c r="K74" s="9"/>
    </row>
    <row r="75">
      <c r="A75" s="6"/>
      <c r="B75" s="7"/>
      <c r="C75" s="7"/>
      <c r="D75" s="7"/>
      <c r="E75" s="7"/>
      <c r="F75" s="7"/>
      <c r="G75" s="7"/>
      <c r="H75" s="7"/>
      <c r="I75" s="7"/>
      <c r="J75" s="8"/>
      <c r="K75" s="9"/>
    </row>
    <row r="76">
      <c r="A76" s="6"/>
      <c r="B76" s="7"/>
      <c r="C76" s="7"/>
      <c r="D76" s="7"/>
      <c r="E76" s="7"/>
      <c r="F76" s="7"/>
      <c r="G76" s="7"/>
      <c r="H76" s="7"/>
      <c r="I76" s="7"/>
      <c r="J76" s="8"/>
      <c r="K76" s="9"/>
    </row>
    <row r="77">
      <c r="A77" s="6"/>
      <c r="B77" s="7"/>
      <c r="C77" s="7"/>
      <c r="D77" s="7"/>
      <c r="E77" s="7"/>
      <c r="F77" s="7"/>
      <c r="G77" s="7"/>
      <c r="H77" s="7"/>
      <c r="I77" s="7"/>
      <c r="J77" s="8"/>
      <c r="K77" s="9"/>
    </row>
    <row r="78">
      <c r="A78" s="6"/>
      <c r="B78" s="7"/>
      <c r="C78" s="7"/>
      <c r="D78" s="7"/>
      <c r="E78" s="7"/>
      <c r="F78" s="7"/>
      <c r="G78" s="7"/>
      <c r="H78" s="7"/>
      <c r="I78" s="7"/>
      <c r="J78" s="8"/>
      <c r="K78" s="9"/>
    </row>
    <row r="79">
      <c r="A79" s="6"/>
      <c r="B79" s="7"/>
      <c r="C79" s="7"/>
      <c r="D79" s="7"/>
      <c r="E79" s="7"/>
      <c r="F79" s="7"/>
      <c r="G79" s="7"/>
      <c r="H79" s="7"/>
      <c r="I79" s="7"/>
      <c r="J79" s="8"/>
      <c r="K79" s="9"/>
    </row>
    <row r="80">
      <c r="A80" s="6"/>
      <c r="B80" s="7"/>
      <c r="C80" s="7"/>
      <c r="D80" s="7"/>
      <c r="E80" s="7"/>
      <c r="F80" s="7"/>
      <c r="G80" s="7"/>
      <c r="H80" s="7"/>
      <c r="I80" s="7"/>
      <c r="J80" s="8"/>
      <c r="K80" s="9"/>
    </row>
    <row r="81">
      <c r="A81" s="6"/>
      <c r="B81" s="7"/>
      <c r="C81" s="7"/>
      <c r="D81" s="7"/>
      <c r="E81" s="7"/>
      <c r="F81" s="7"/>
      <c r="G81" s="7"/>
      <c r="H81" s="7"/>
      <c r="I81" s="7"/>
      <c r="J81" s="8"/>
      <c r="K81" s="9"/>
    </row>
    <row r="82">
      <c r="A82" s="6"/>
      <c r="B82" s="7"/>
      <c r="C82" s="7"/>
      <c r="D82" s="7"/>
      <c r="E82" s="7"/>
      <c r="F82" s="7"/>
      <c r="G82" s="7"/>
      <c r="H82" s="7"/>
      <c r="I82" s="7"/>
      <c r="J82" s="8"/>
      <c r="K82" s="9"/>
    </row>
    <row r="83">
      <c r="A83" s="6"/>
      <c r="B83" s="7"/>
      <c r="C83" s="7"/>
      <c r="D83" s="7"/>
      <c r="E83" s="7"/>
      <c r="F83" s="7"/>
      <c r="G83" s="7"/>
      <c r="H83" s="7"/>
      <c r="I83" s="7"/>
      <c r="J83" s="8"/>
      <c r="K83" s="9"/>
    </row>
    <row r="84">
      <c r="A84" s="6"/>
      <c r="B84" s="7"/>
      <c r="C84" s="7"/>
      <c r="D84" s="7"/>
      <c r="E84" s="7"/>
      <c r="F84" s="7"/>
      <c r="G84" s="7"/>
      <c r="H84" s="7"/>
      <c r="I84" s="7"/>
      <c r="J84" s="8"/>
      <c r="K84" s="9"/>
    </row>
    <row r="85">
      <c r="A85" s="6"/>
      <c r="B85" s="7"/>
      <c r="C85" s="7"/>
      <c r="D85" s="7"/>
      <c r="E85" s="7"/>
      <c r="F85" s="7"/>
      <c r="G85" s="7"/>
      <c r="H85" s="7"/>
      <c r="I85" s="7"/>
      <c r="J85" s="8"/>
      <c r="K85" s="9"/>
    </row>
    <row r="86">
      <c r="A86" s="6"/>
      <c r="B86" s="7"/>
      <c r="C86" s="7"/>
      <c r="D86" s="7"/>
      <c r="E86" s="7"/>
      <c r="F86" s="7"/>
      <c r="G86" s="7"/>
      <c r="H86" s="7"/>
      <c r="I86" s="7"/>
      <c r="J86" s="8"/>
      <c r="K86" s="9"/>
    </row>
    <row r="87">
      <c r="A87" s="6"/>
      <c r="B87" s="7"/>
      <c r="C87" s="7"/>
      <c r="D87" s="7"/>
      <c r="E87" s="7"/>
      <c r="F87" s="7"/>
      <c r="G87" s="7"/>
      <c r="H87" s="7"/>
      <c r="I87" s="7"/>
      <c r="J87" s="8"/>
      <c r="K87" s="9"/>
    </row>
    <row r="88">
      <c r="A88" s="6"/>
      <c r="B88" s="7"/>
      <c r="C88" s="7"/>
      <c r="D88" s="7"/>
      <c r="E88" s="7"/>
      <c r="F88" s="7"/>
      <c r="G88" s="7"/>
      <c r="H88" s="7"/>
      <c r="I88" s="7"/>
      <c r="J88" s="8"/>
      <c r="K88" s="9"/>
    </row>
    <row r="89">
      <c r="A89" s="6"/>
      <c r="B89" s="7"/>
      <c r="C89" s="7"/>
      <c r="D89" s="7"/>
      <c r="E89" s="7"/>
      <c r="F89" s="7"/>
      <c r="G89" s="7"/>
      <c r="H89" s="7"/>
      <c r="I89" s="7"/>
      <c r="J89" s="8"/>
      <c r="K89" s="9"/>
    </row>
    <row r="90">
      <c r="A90" s="6"/>
      <c r="B90" s="7"/>
      <c r="C90" s="7"/>
      <c r="D90" s="7"/>
      <c r="E90" s="7"/>
      <c r="F90" s="7"/>
      <c r="G90" s="7"/>
      <c r="H90" s="7"/>
      <c r="I90" s="7"/>
      <c r="J90" s="8"/>
      <c r="K90" s="9"/>
    </row>
    <row r="91">
      <c r="A91" s="6"/>
      <c r="B91" s="7"/>
      <c r="C91" s="7"/>
      <c r="D91" s="7"/>
      <c r="E91" s="7"/>
      <c r="F91" s="7"/>
      <c r="G91" s="7"/>
      <c r="H91" s="7"/>
      <c r="I91" s="7"/>
      <c r="J91" s="8"/>
      <c r="K91" s="9"/>
    </row>
    <row r="92">
      <c r="A92" s="6"/>
      <c r="B92" s="7"/>
      <c r="C92" s="7"/>
      <c r="D92" s="7"/>
      <c r="E92" s="7"/>
      <c r="F92" s="7"/>
      <c r="G92" s="7"/>
      <c r="H92" s="7"/>
      <c r="I92" s="7"/>
      <c r="J92" s="8"/>
      <c r="K92" s="9"/>
    </row>
    <row r="93">
      <c r="A93" s="6"/>
      <c r="B93" s="7"/>
      <c r="C93" s="7"/>
      <c r="D93" s="7"/>
      <c r="E93" s="7"/>
      <c r="F93" s="7"/>
      <c r="G93" s="7"/>
      <c r="H93" s="7"/>
      <c r="I93" s="7"/>
      <c r="J93" s="8"/>
      <c r="K93" s="9"/>
    </row>
    <row r="94">
      <c r="A94" s="6"/>
      <c r="B94" s="7"/>
      <c r="C94" s="7"/>
      <c r="D94" s="7"/>
      <c r="E94" s="7"/>
      <c r="F94" s="7"/>
      <c r="G94" s="7"/>
      <c r="H94" s="7"/>
      <c r="I94" s="7"/>
      <c r="J94" s="8"/>
      <c r="K94" s="9"/>
    </row>
    <row r="95">
      <c r="A95" s="6"/>
      <c r="B95" s="7"/>
      <c r="C95" s="7"/>
      <c r="D95" s="7"/>
      <c r="E95" s="7"/>
      <c r="F95" s="7"/>
      <c r="G95" s="7"/>
      <c r="H95" s="7"/>
      <c r="I95" s="7"/>
      <c r="J95" s="8"/>
      <c r="K95" s="9"/>
    </row>
    <row r="96">
      <c r="A96" s="6"/>
      <c r="B96" s="7"/>
      <c r="C96" s="7"/>
      <c r="D96" s="7"/>
      <c r="E96" s="7"/>
      <c r="F96" s="7"/>
      <c r="G96" s="7"/>
      <c r="H96" s="7"/>
      <c r="I96" s="7"/>
      <c r="J96" s="8"/>
      <c r="K96" s="9"/>
    </row>
    <row r="97">
      <c r="A97" s="6"/>
      <c r="B97" s="7"/>
      <c r="C97" s="7"/>
      <c r="D97" s="7"/>
      <c r="E97" s="7"/>
      <c r="F97" s="7"/>
      <c r="G97" s="7"/>
      <c r="H97" s="7"/>
      <c r="I97" s="7"/>
      <c r="J97" s="8"/>
      <c r="K97" s="9"/>
    </row>
    <row r="98">
      <c r="A98" s="6"/>
      <c r="B98" s="7"/>
      <c r="C98" s="7"/>
      <c r="D98" s="7"/>
      <c r="E98" s="7"/>
      <c r="F98" s="7"/>
      <c r="G98" s="7"/>
      <c r="H98" s="7"/>
      <c r="I98" s="7"/>
      <c r="J98" s="8"/>
      <c r="K98" s="9"/>
    </row>
    <row r="99">
      <c r="A99" s="6"/>
      <c r="B99" s="7"/>
      <c r="C99" s="7"/>
      <c r="D99" s="7"/>
      <c r="E99" s="7"/>
      <c r="F99" s="7"/>
      <c r="G99" s="7"/>
      <c r="H99" s="7"/>
      <c r="I99" s="7"/>
      <c r="J99" s="8"/>
      <c r="K99" s="9"/>
    </row>
    <row r="100">
      <c r="A100" s="6"/>
      <c r="B100" s="7"/>
      <c r="C100" s="7"/>
      <c r="D100" s="7"/>
      <c r="E100" s="7"/>
      <c r="F100" s="7"/>
      <c r="G100" s="7"/>
      <c r="H100" s="7"/>
      <c r="I100" s="7"/>
      <c r="J100" s="8"/>
      <c r="K100" s="9"/>
    </row>
    <row r="101">
      <c r="A101" s="6"/>
      <c r="B101" s="7"/>
      <c r="C101" s="7"/>
      <c r="D101" s="7"/>
      <c r="E101" s="7"/>
      <c r="F101" s="7"/>
      <c r="G101" s="7"/>
      <c r="H101" s="7"/>
      <c r="I101" s="7"/>
      <c r="J101" s="8"/>
      <c r="K101" s="9"/>
    </row>
    <row r="102">
      <c r="A102" s="6"/>
      <c r="B102" s="7"/>
      <c r="C102" s="7"/>
      <c r="D102" s="7"/>
      <c r="E102" s="7"/>
      <c r="F102" s="7"/>
      <c r="G102" s="7"/>
      <c r="H102" s="7"/>
      <c r="I102" s="7"/>
      <c r="J102" s="8"/>
      <c r="K102" s="9"/>
    </row>
    <row r="103">
      <c r="A103" s="6"/>
      <c r="B103" s="7"/>
      <c r="C103" s="7"/>
      <c r="D103" s="7"/>
      <c r="E103" s="7"/>
      <c r="F103" s="7"/>
      <c r="G103" s="7"/>
      <c r="H103" s="7"/>
      <c r="I103" s="7"/>
      <c r="J103" s="8"/>
      <c r="K103" s="9"/>
    </row>
    <row r="104">
      <c r="A104" s="6"/>
      <c r="B104" s="7"/>
      <c r="C104" s="7"/>
      <c r="D104" s="7"/>
      <c r="E104" s="7"/>
      <c r="F104" s="7"/>
      <c r="G104" s="7"/>
      <c r="H104" s="7"/>
      <c r="I104" s="7"/>
      <c r="J104" s="8"/>
      <c r="K104" s="9"/>
    </row>
    <row r="105">
      <c r="A105" s="6"/>
      <c r="B105" s="7"/>
      <c r="C105" s="7"/>
      <c r="D105" s="7"/>
      <c r="E105" s="7"/>
      <c r="F105" s="7"/>
      <c r="G105" s="7"/>
      <c r="H105" s="7"/>
      <c r="I105" s="7"/>
      <c r="J105" s="8"/>
      <c r="K105" s="9"/>
    </row>
    <row r="106">
      <c r="A106" s="6"/>
      <c r="B106" s="7"/>
      <c r="C106" s="7"/>
      <c r="D106" s="7"/>
      <c r="E106" s="7"/>
      <c r="F106" s="7"/>
      <c r="G106" s="7"/>
      <c r="H106" s="7"/>
      <c r="I106" s="7"/>
      <c r="J106" s="8"/>
      <c r="K106" s="9"/>
    </row>
    <row r="107">
      <c r="A107" s="6"/>
      <c r="B107" s="7"/>
      <c r="C107" s="7"/>
      <c r="D107" s="7"/>
      <c r="E107" s="7"/>
      <c r="F107" s="7"/>
      <c r="G107" s="7"/>
      <c r="H107" s="7"/>
      <c r="I107" s="7"/>
      <c r="J107" s="8"/>
      <c r="K107" s="9"/>
    </row>
    <row r="108">
      <c r="A108" s="6"/>
      <c r="B108" s="7"/>
      <c r="C108" s="7"/>
      <c r="D108" s="7"/>
      <c r="E108" s="7"/>
      <c r="F108" s="7"/>
      <c r="G108" s="7"/>
      <c r="H108" s="7"/>
      <c r="I108" s="7"/>
      <c r="J108" s="8"/>
      <c r="K108" s="9"/>
    </row>
    <row r="109">
      <c r="A109" s="6"/>
      <c r="B109" s="7"/>
      <c r="C109" s="7"/>
      <c r="D109" s="7"/>
      <c r="E109" s="7"/>
      <c r="F109" s="7"/>
      <c r="G109" s="7"/>
      <c r="H109" s="7"/>
      <c r="I109" s="7"/>
      <c r="J109" s="8"/>
      <c r="K109" s="9"/>
    </row>
    <row r="110">
      <c r="A110" s="6"/>
      <c r="B110" s="7"/>
      <c r="C110" s="7"/>
      <c r="D110" s="7"/>
      <c r="E110" s="7"/>
      <c r="F110" s="7"/>
      <c r="G110" s="7"/>
      <c r="H110" s="7"/>
      <c r="I110" s="7"/>
      <c r="J110" s="8"/>
      <c r="K110" s="9"/>
    </row>
    <row r="111">
      <c r="A111" s="6"/>
      <c r="B111" s="7"/>
      <c r="C111" s="7"/>
      <c r="D111" s="7"/>
      <c r="E111" s="7"/>
      <c r="F111" s="7"/>
      <c r="G111" s="7"/>
      <c r="H111" s="7"/>
      <c r="I111" s="7"/>
      <c r="J111" s="8"/>
      <c r="K111" s="9"/>
    </row>
    <row r="112">
      <c r="A112" s="6"/>
      <c r="B112" s="7"/>
      <c r="C112" s="7"/>
      <c r="D112" s="7"/>
      <c r="E112" s="7"/>
      <c r="F112" s="7"/>
      <c r="G112" s="7"/>
      <c r="H112" s="7"/>
      <c r="I112" s="7"/>
      <c r="J112" s="8"/>
      <c r="K112" s="9"/>
    </row>
    <row r="113">
      <c r="A113" s="6"/>
      <c r="B113" s="7"/>
      <c r="C113" s="7"/>
      <c r="D113" s="7"/>
      <c r="E113" s="7"/>
      <c r="F113" s="7"/>
      <c r="G113" s="7"/>
      <c r="H113" s="7"/>
      <c r="I113" s="7"/>
      <c r="J113" s="8"/>
      <c r="K113" s="9"/>
    </row>
    <row r="114">
      <c r="A114" s="6"/>
      <c r="B114" s="7"/>
      <c r="C114" s="7"/>
      <c r="D114" s="7"/>
      <c r="E114" s="7"/>
      <c r="F114" s="7"/>
      <c r="G114" s="7"/>
      <c r="H114" s="7"/>
      <c r="I114" s="7"/>
      <c r="J114" s="8"/>
      <c r="K114" s="9"/>
    </row>
    <row r="115">
      <c r="A115" s="6"/>
      <c r="B115" s="7"/>
      <c r="C115" s="7"/>
      <c r="D115" s="7"/>
      <c r="E115" s="7"/>
      <c r="F115" s="7"/>
      <c r="G115" s="7"/>
      <c r="H115" s="7"/>
      <c r="I115" s="7"/>
      <c r="J115" s="8"/>
      <c r="K115" s="9"/>
    </row>
    <row r="116">
      <c r="A116" s="6"/>
      <c r="B116" s="7"/>
      <c r="C116" s="7"/>
      <c r="D116" s="7"/>
      <c r="E116" s="7"/>
      <c r="F116" s="7"/>
      <c r="G116" s="7"/>
      <c r="H116" s="7"/>
      <c r="I116" s="7"/>
      <c r="J116" s="8"/>
      <c r="K116" s="9"/>
    </row>
    <row r="117">
      <c r="A117" s="6"/>
      <c r="B117" s="7"/>
      <c r="C117" s="7"/>
      <c r="D117" s="7"/>
      <c r="E117" s="7"/>
      <c r="F117" s="7"/>
      <c r="G117" s="7"/>
      <c r="H117" s="7"/>
      <c r="I117" s="7"/>
      <c r="J117" s="8"/>
      <c r="K117" s="9"/>
    </row>
    <row r="118">
      <c r="A118" s="6"/>
      <c r="B118" s="7"/>
      <c r="C118" s="7"/>
      <c r="D118" s="7"/>
      <c r="E118" s="7"/>
      <c r="F118" s="7"/>
      <c r="G118" s="7"/>
      <c r="H118" s="7"/>
      <c r="I118" s="7"/>
      <c r="J118" s="8"/>
      <c r="K118" s="9"/>
    </row>
    <row r="119">
      <c r="A119" s="6"/>
      <c r="B119" s="7"/>
      <c r="C119" s="7"/>
      <c r="D119" s="7"/>
      <c r="E119" s="7"/>
      <c r="F119" s="7"/>
      <c r="G119" s="7"/>
      <c r="H119" s="7"/>
      <c r="I119" s="7"/>
      <c r="J119" s="8"/>
      <c r="K119" s="9"/>
    </row>
    <row r="120">
      <c r="A120" s="6"/>
      <c r="B120" s="7"/>
      <c r="C120" s="7"/>
      <c r="D120" s="7"/>
      <c r="E120" s="7"/>
      <c r="F120" s="7"/>
      <c r="G120" s="7"/>
      <c r="H120" s="7"/>
      <c r="I120" s="7"/>
      <c r="J120" s="8"/>
      <c r="K120" s="9"/>
    </row>
    <row r="121">
      <c r="A121" s="6"/>
      <c r="B121" s="7"/>
      <c r="C121" s="7"/>
      <c r="D121" s="7"/>
      <c r="E121" s="7"/>
      <c r="F121" s="7"/>
      <c r="G121" s="7"/>
      <c r="H121" s="7"/>
      <c r="I121" s="7"/>
      <c r="J121" s="8"/>
      <c r="K121" s="9"/>
    </row>
    <row r="122">
      <c r="A122" s="6"/>
      <c r="B122" s="7"/>
      <c r="C122" s="7"/>
      <c r="D122" s="7"/>
      <c r="E122" s="7"/>
      <c r="F122" s="7"/>
      <c r="G122" s="7"/>
      <c r="H122" s="7"/>
      <c r="I122" s="7"/>
      <c r="J122" s="8"/>
      <c r="K122" s="9"/>
    </row>
    <row r="123">
      <c r="A123" s="6"/>
      <c r="B123" s="7"/>
      <c r="C123" s="7"/>
      <c r="D123" s="7"/>
      <c r="E123" s="7"/>
      <c r="F123" s="7"/>
      <c r="G123" s="7"/>
      <c r="H123" s="7"/>
      <c r="I123" s="7"/>
      <c r="J123" s="8"/>
      <c r="K123" s="9"/>
    </row>
    <row r="124">
      <c r="A124" s="6"/>
      <c r="B124" s="7"/>
      <c r="C124" s="7"/>
      <c r="D124" s="7"/>
      <c r="E124" s="7"/>
      <c r="F124" s="7"/>
      <c r="G124" s="7"/>
      <c r="H124" s="7"/>
      <c r="I124" s="7"/>
      <c r="J124" s="8"/>
      <c r="K124" s="9"/>
    </row>
    <row r="125">
      <c r="A125" s="6"/>
      <c r="B125" s="7"/>
      <c r="C125" s="7"/>
      <c r="D125" s="7"/>
      <c r="E125" s="7"/>
      <c r="F125" s="7"/>
      <c r="G125" s="7"/>
      <c r="H125" s="7"/>
      <c r="I125" s="7"/>
      <c r="J125" s="8"/>
      <c r="K125" s="9"/>
    </row>
    <row r="126">
      <c r="A126" s="6"/>
      <c r="B126" s="7"/>
      <c r="C126" s="7"/>
      <c r="D126" s="7"/>
      <c r="E126" s="7"/>
      <c r="F126" s="7"/>
      <c r="G126" s="7"/>
      <c r="H126" s="7"/>
      <c r="I126" s="7"/>
      <c r="J126" s="8"/>
      <c r="K126" s="9"/>
    </row>
    <row r="127">
      <c r="A127" s="6"/>
      <c r="B127" s="7"/>
      <c r="C127" s="7"/>
      <c r="D127" s="7"/>
      <c r="E127" s="7"/>
      <c r="F127" s="7"/>
      <c r="G127" s="7"/>
      <c r="H127" s="7"/>
      <c r="I127" s="7"/>
      <c r="J127" s="8"/>
      <c r="K127" s="9"/>
    </row>
    <row r="128">
      <c r="A128" s="6"/>
      <c r="B128" s="7"/>
      <c r="C128" s="7"/>
      <c r="D128" s="7"/>
      <c r="E128" s="7"/>
      <c r="F128" s="7"/>
      <c r="G128" s="7"/>
      <c r="H128" s="7"/>
      <c r="I128" s="7"/>
      <c r="J128" s="8"/>
      <c r="K128" s="9"/>
    </row>
    <row r="129">
      <c r="A129" s="6"/>
      <c r="B129" s="7"/>
      <c r="C129" s="7"/>
      <c r="D129" s="7"/>
      <c r="E129" s="7"/>
      <c r="F129" s="7"/>
      <c r="G129" s="7"/>
      <c r="H129" s="7"/>
      <c r="I129" s="7"/>
      <c r="J129" s="8"/>
      <c r="K129" s="9"/>
    </row>
    <row r="130">
      <c r="A130" s="6"/>
      <c r="B130" s="7"/>
      <c r="C130" s="7"/>
      <c r="D130" s="7"/>
      <c r="E130" s="7"/>
      <c r="F130" s="7"/>
      <c r="G130" s="7"/>
      <c r="H130" s="7"/>
      <c r="I130" s="7"/>
      <c r="J130" s="8"/>
      <c r="K130" s="9"/>
    </row>
    <row r="131">
      <c r="A131" s="6"/>
      <c r="B131" s="7"/>
      <c r="C131" s="7"/>
      <c r="D131" s="7"/>
      <c r="E131" s="7"/>
      <c r="F131" s="7"/>
      <c r="G131" s="7"/>
      <c r="H131" s="7"/>
      <c r="I131" s="7"/>
      <c r="J131" s="8"/>
      <c r="K131" s="9"/>
    </row>
    <row r="132">
      <c r="A132" s="6"/>
      <c r="B132" s="7"/>
      <c r="C132" s="7"/>
      <c r="D132" s="7"/>
      <c r="E132" s="7"/>
      <c r="F132" s="7"/>
      <c r="G132" s="7"/>
      <c r="H132" s="7"/>
      <c r="I132" s="7"/>
      <c r="J132" s="8"/>
      <c r="K132" s="9"/>
    </row>
    <row r="133">
      <c r="A133" s="6"/>
      <c r="B133" s="7"/>
      <c r="C133" s="7"/>
      <c r="D133" s="7"/>
      <c r="E133" s="7"/>
      <c r="F133" s="7"/>
      <c r="G133" s="7"/>
      <c r="H133" s="7"/>
      <c r="I133" s="7"/>
      <c r="J133" s="8"/>
      <c r="K133" s="9"/>
    </row>
    <row r="134">
      <c r="A134" s="6"/>
      <c r="B134" s="7"/>
      <c r="C134" s="7"/>
      <c r="D134" s="7"/>
      <c r="E134" s="7"/>
      <c r="F134" s="7"/>
      <c r="G134" s="7"/>
      <c r="H134" s="7"/>
      <c r="I134" s="7"/>
      <c r="J134" s="8"/>
      <c r="K134" s="9"/>
    </row>
    <row r="135">
      <c r="A135" s="6"/>
      <c r="B135" s="7"/>
      <c r="C135" s="7"/>
      <c r="D135" s="7"/>
      <c r="E135" s="7"/>
      <c r="F135" s="7"/>
      <c r="G135" s="7"/>
      <c r="H135" s="7"/>
      <c r="I135" s="7"/>
      <c r="J135" s="8"/>
      <c r="K135" s="9"/>
    </row>
    <row r="136">
      <c r="A136" s="6"/>
      <c r="B136" s="7"/>
      <c r="C136" s="7"/>
      <c r="D136" s="7"/>
      <c r="E136" s="7"/>
      <c r="F136" s="7"/>
      <c r="G136" s="7"/>
      <c r="H136" s="7"/>
      <c r="I136" s="7"/>
      <c r="J136" s="8"/>
      <c r="K136" s="9"/>
    </row>
    <row r="137">
      <c r="A137" s="6"/>
      <c r="B137" s="7"/>
      <c r="C137" s="7"/>
      <c r="D137" s="7"/>
      <c r="E137" s="7"/>
      <c r="F137" s="7"/>
      <c r="G137" s="7"/>
      <c r="H137" s="7"/>
      <c r="I137" s="7"/>
      <c r="J137" s="8"/>
      <c r="K137" s="9"/>
    </row>
    <row r="138">
      <c r="A138" s="6"/>
      <c r="B138" s="7"/>
      <c r="C138" s="7"/>
      <c r="D138" s="7"/>
      <c r="E138" s="7"/>
      <c r="F138" s="7"/>
      <c r="G138" s="7"/>
      <c r="H138" s="7"/>
      <c r="I138" s="7"/>
      <c r="J138" s="8"/>
      <c r="K138" s="9"/>
    </row>
    <row r="139">
      <c r="A139" s="6"/>
      <c r="B139" s="7"/>
      <c r="C139" s="7"/>
      <c r="D139" s="7"/>
      <c r="E139" s="7"/>
      <c r="F139" s="7"/>
      <c r="G139" s="7"/>
      <c r="H139" s="7"/>
      <c r="I139" s="7"/>
      <c r="J139" s="8"/>
      <c r="K139" s="9"/>
    </row>
    <row r="140">
      <c r="A140" s="6"/>
      <c r="B140" s="7"/>
      <c r="C140" s="7"/>
      <c r="D140" s="7"/>
      <c r="E140" s="7"/>
      <c r="F140" s="7"/>
      <c r="G140" s="7"/>
      <c r="H140" s="7"/>
      <c r="I140" s="7"/>
      <c r="J140" s="8"/>
      <c r="K140" s="9"/>
    </row>
    <row r="141">
      <c r="A141" s="6"/>
      <c r="B141" s="7"/>
      <c r="C141" s="7"/>
      <c r="D141" s="7"/>
      <c r="E141" s="7"/>
      <c r="F141" s="7"/>
      <c r="G141" s="7"/>
      <c r="H141" s="7"/>
      <c r="I141" s="7"/>
      <c r="J141" s="8"/>
      <c r="K141" s="9"/>
    </row>
    <row r="142">
      <c r="A142" s="6"/>
      <c r="B142" s="7"/>
      <c r="C142" s="7"/>
      <c r="D142" s="7"/>
      <c r="E142" s="7"/>
      <c r="F142" s="7"/>
      <c r="G142" s="7"/>
      <c r="H142" s="7"/>
      <c r="I142" s="7"/>
      <c r="J142" s="8"/>
      <c r="K142" s="9"/>
    </row>
    <row r="143">
      <c r="A143" s="6"/>
      <c r="B143" s="7"/>
      <c r="C143" s="7"/>
      <c r="D143" s="7"/>
      <c r="E143" s="7"/>
      <c r="F143" s="7"/>
      <c r="G143" s="7"/>
      <c r="H143" s="7"/>
      <c r="I143" s="7"/>
      <c r="J143" s="8"/>
      <c r="K143" s="9"/>
    </row>
    <row r="144">
      <c r="A144" s="6"/>
      <c r="B144" s="7"/>
      <c r="C144" s="7"/>
      <c r="D144" s="7"/>
      <c r="E144" s="7"/>
      <c r="F144" s="7"/>
      <c r="G144" s="7"/>
      <c r="H144" s="7"/>
      <c r="I144" s="7"/>
      <c r="J144" s="8"/>
      <c r="K144" s="9"/>
    </row>
    <row r="145">
      <c r="A145" s="6"/>
      <c r="B145" s="7"/>
      <c r="C145" s="7"/>
      <c r="D145" s="7"/>
      <c r="E145" s="7"/>
      <c r="F145" s="7"/>
      <c r="G145" s="7"/>
      <c r="H145" s="7"/>
      <c r="I145" s="7"/>
      <c r="J145" s="8"/>
      <c r="K145" s="9"/>
    </row>
    <row r="146">
      <c r="A146" s="6"/>
      <c r="B146" s="7"/>
      <c r="C146" s="7"/>
      <c r="D146" s="7"/>
      <c r="E146" s="7"/>
      <c r="F146" s="7"/>
      <c r="G146" s="7"/>
      <c r="H146" s="7"/>
      <c r="I146" s="7"/>
      <c r="J146" s="8"/>
      <c r="K146" s="9"/>
    </row>
    <row r="147">
      <c r="A147" s="6"/>
      <c r="B147" s="7"/>
      <c r="C147" s="7"/>
      <c r="D147" s="7"/>
      <c r="E147" s="7"/>
      <c r="F147" s="7"/>
      <c r="G147" s="7"/>
      <c r="H147" s="7"/>
      <c r="I147" s="7"/>
      <c r="J147" s="8"/>
      <c r="K147" s="9"/>
    </row>
    <row r="148">
      <c r="A148" s="6"/>
      <c r="B148" s="7"/>
      <c r="C148" s="7"/>
      <c r="D148" s="7"/>
      <c r="E148" s="7"/>
      <c r="F148" s="7"/>
      <c r="G148" s="7"/>
      <c r="H148" s="7"/>
      <c r="I148" s="7"/>
      <c r="J148" s="8"/>
      <c r="K148" s="9"/>
    </row>
    <row r="149">
      <c r="A149" s="6"/>
      <c r="B149" s="7"/>
      <c r="C149" s="7"/>
      <c r="D149" s="7"/>
      <c r="E149" s="7"/>
      <c r="F149" s="7"/>
      <c r="G149" s="7"/>
      <c r="H149" s="7"/>
      <c r="I149" s="7"/>
      <c r="J149" s="8"/>
      <c r="K149" s="9"/>
    </row>
    <row r="150">
      <c r="A150" s="6"/>
      <c r="B150" s="7"/>
      <c r="C150" s="7"/>
      <c r="D150" s="7"/>
      <c r="E150" s="7"/>
      <c r="F150" s="7"/>
      <c r="G150" s="7"/>
      <c r="H150" s="7"/>
      <c r="I150" s="7"/>
      <c r="J150" s="8"/>
      <c r="K150" s="9"/>
    </row>
    <row r="151">
      <c r="A151" s="6"/>
      <c r="B151" s="7"/>
      <c r="C151" s="7"/>
      <c r="D151" s="7"/>
      <c r="E151" s="7"/>
      <c r="F151" s="7"/>
      <c r="G151" s="7"/>
      <c r="H151" s="7"/>
      <c r="I151" s="7"/>
      <c r="J151" s="8"/>
      <c r="K151" s="9"/>
    </row>
    <row r="152">
      <c r="A152" s="6"/>
      <c r="B152" s="7"/>
      <c r="C152" s="7"/>
      <c r="D152" s="7"/>
      <c r="E152" s="7"/>
      <c r="F152" s="7"/>
      <c r="G152" s="7"/>
      <c r="H152" s="7"/>
      <c r="I152" s="7"/>
      <c r="J152" s="8"/>
      <c r="K152" s="9"/>
    </row>
    <row r="153">
      <c r="A153" s="6"/>
      <c r="B153" s="7"/>
      <c r="C153" s="7"/>
      <c r="D153" s="7"/>
      <c r="E153" s="7"/>
      <c r="F153" s="7"/>
      <c r="G153" s="7"/>
      <c r="H153" s="7"/>
      <c r="I153" s="7"/>
      <c r="J153" s="8"/>
      <c r="K153" s="9"/>
    </row>
    <row r="154">
      <c r="A154" s="6"/>
      <c r="B154" s="7"/>
      <c r="C154" s="7"/>
      <c r="D154" s="7"/>
      <c r="E154" s="7"/>
      <c r="F154" s="7"/>
      <c r="G154" s="7"/>
      <c r="H154" s="7"/>
      <c r="I154" s="7"/>
      <c r="J154" s="8"/>
      <c r="K154" s="9"/>
    </row>
    <row r="155">
      <c r="A155" s="6"/>
      <c r="B155" s="7"/>
      <c r="C155" s="7"/>
      <c r="D155" s="7"/>
      <c r="E155" s="7"/>
      <c r="F155" s="7"/>
      <c r="G155" s="7"/>
      <c r="H155" s="7"/>
      <c r="I155" s="7"/>
      <c r="J155" s="8"/>
      <c r="K155" s="9"/>
    </row>
    <row r="156">
      <c r="A156" s="6"/>
      <c r="B156" s="7"/>
      <c r="C156" s="7"/>
      <c r="D156" s="7"/>
      <c r="E156" s="7"/>
      <c r="F156" s="7"/>
      <c r="G156" s="7"/>
      <c r="H156" s="7"/>
      <c r="I156" s="7"/>
      <c r="J156" s="8"/>
      <c r="K156" s="9"/>
    </row>
    <row r="157">
      <c r="A157" s="6"/>
      <c r="B157" s="7"/>
      <c r="C157" s="7"/>
      <c r="D157" s="7"/>
      <c r="E157" s="7"/>
      <c r="F157" s="7"/>
      <c r="G157" s="7"/>
      <c r="H157" s="7"/>
      <c r="I157" s="7"/>
      <c r="J157" s="8"/>
      <c r="K157" s="9"/>
    </row>
    <row r="158">
      <c r="A158" s="6"/>
      <c r="B158" s="7"/>
      <c r="C158" s="7"/>
      <c r="D158" s="7"/>
      <c r="E158" s="7"/>
      <c r="F158" s="7"/>
      <c r="G158" s="7"/>
      <c r="H158" s="7"/>
      <c r="I158" s="7"/>
      <c r="J158" s="8"/>
      <c r="K158" s="9"/>
    </row>
    <row r="159">
      <c r="A159" s="6"/>
      <c r="B159" s="7"/>
      <c r="C159" s="7"/>
      <c r="D159" s="7"/>
      <c r="E159" s="7"/>
      <c r="F159" s="7"/>
      <c r="G159" s="7"/>
      <c r="H159" s="7"/>
      <c r="I159" s="7"/>
      <c r="J159" s="8"/>
      <c r="K159" s="9"/>
    </row>
    <row r="160">
      <c r="A160" s="6"/>
      <c r="B160" s="7"/>
      <c r="C160" s="7"/>
      <c r="D160" s="7"/>
      <c r="E160" s="7"/>
      <c r="F160" s="7"/>
      <c r="G160" s="7"/>
      <c r="H160" s="7"/>
      <c r="I160" s="7"/>
      <c r="J160" s="8"/>
      <c r="K160" s="9"/>
    </row>
    <row r="161">
      <c r="A161" s="6"/>
      <c r="B161" s="7"/>
      <c r="C161" s="7"/>
      <c r="D161" s="7"/>
      <c r="E161" s="7"/>
      <c r="F161" s="7"/>
      <c r="G161" s="7"/>
      <c r="H161" s="7"/>
      <c r="I161" s="7"/>
      <c r="J161" s="8"/>
      <c r="K161" s="9"/>
    </row>
    <row r="162">
      <c r="A162" s="6"/>
      <c r="B162" s="7"/>
      <c r="C162" s="7"/>
      <c r="D162" s="7"/>
      <c r="E162" s="7"/>
      <c r="F162" s="7"/>
      <c r="G162" s="7"/>
      <c r="H162" s="7"/>
      <c r="I162" s="7"/>
      <c r="J162" s="8"/>
      <c r="K162" s="9"/>
    </row>
    <row r="163">
      <c r="A163" s="6"/>
      <c r="B163" s="7"/>
      <c r="C163" s="7"/>
      <c r="D163" s="7"/>
      <c r="E163" s="7"/>
      <c r="F163" s="7"/>
      <c r="G163" s="7"/>
      <c r="H163" s="7"/>
      <c r="I163" s="7"/>
      <c r="J163" s="8"/>
      <c r="K163" s="9"/>
    </row>
    <row r="164">
      <c r="A164" s="6"/>
      <c r="B164" s="7"/>
      <c r="C164" s="7"/>
      <c r="D164" s="7"/>
      <c r="E164" s="7"/>
      <c r="F164" s="7"/>
      <c r="G164" s="7"/>
      <c r="H164" s="7"/>
      <c r="I164" s="7"/>
      <c r="J164" s="8"/>
      <c r="K164" s="9"/>
    </row>
    <row r="165">
      <c r="A165" s="6"/>
      <c r="B165" s="7"/>
      <c r="C165" s="7"/>
      <c r="D165" s="7"/>
      <c r="E165" s="7"/>
      <c r="F165" s="7"/>
      <c r="G165" s="7"/>
      <c r="H165" s="7"/>
      <c r="I165" s="7"/>
      <c r="J165" s="8"/>
      <c r="K165" s="9"/>
    </row>
    <row r="166">
      <c r="A166" s="6"/>
      <c r="B166" s="7"/>
      <c r="C166" s="7"/>
      <c r="D166" s="7"/>
      <c r="E166" s="7"/>
      <c r="F166" s="7"/>
      <c r="G166" s="7"/>
      <c r="H166" s="7"/>
      <c r="I166" s="7"/>
      <c r="J166" s="8"/>
      <c r="K166" s="9"/>
    </row>
    <row r="167">
      <c r="A167" s="6"/>
      <c r="B167" s="7"/>
      <c r="C167" s="7"/>
      <c r="D167" s="7"/>
      <c r="E167" s="7"/>
      <c r="F167" s="7"/>
      <c r="G167" s="7"/>
      <c r="H167" s="7"/>
      <c r="I167" s="7"/>
      <c r="J167" s="8"/>
      <c r="K167" s="9"/>
    </row>
    <row r="168">
      <c r="A168" s="6"/>
      <c r="B168" s="7"/>
      <c r="C168" s="7"/>
      <c r="D168" s="7"/>
      <c r="E168" s="7"/>
      <c r="F168" s="7"/>
      <c r="G168" s="7"/>
      <c r="H168" s="7"/>
      <c r="I168" s="7"/>
      <c r="J168" s="8"/>
      <c r="K168" s="9"/>
    </row>
    <row r="169">
      <c r="A169" s="6"/>
      <c r="B169" s="7"/>
      <c r="C169" s="7"/>
      <c r="D169" s="7"/>
      <c r="E169" s="7"/>
      <c r="F169" s="7"/>
      <c r="G169" s="7"/>
      <c r="H169" s="7"/>
      <c r="I169" s="7"/>
      <c r="J169" s="8"/>
      <c r="K169" s="9"/>
    </row>
    <row r="170">
      <c r="A170" s="6"/>
      <c r="B170" s="7"/>
      <c r="C170" s="7"/>
      <c r="D170" s="7"/>
      <c r="E170" s="7"/>
      <c r="F170" s="7"/>
      <c r="G170" s="7"/>
      <c r="H170" s="7"/>
      <c r="I170" s="7"/>
      <c r="J170" s="8"/>
      <c r="K170" s="9"/>
    </row>
    <row r="171">
      <c r="A171" s="6"/>
      <c r="B171" s="7"/>
      <c r="C171" s="7"/>
      <c r="D171" s="7"/>
      <c r="E171" s="7"/>
      <c r="F171" s="7"/>
      <c r="G171" s="7"/>
      <c r="H171" s="7"/>
      <c r="I171" s="7"/>
      <c r="J171" s="8"/>
      <c r="K171" s="9"/>
    </row>
    <row r="172">
      <c r="A172" s="6"/>
      <c r="B172" s="7"/>
      <c r="C172" s="7"/>
      <c r="D172" s="7"/>
      <c r="E172" s="7"/>
      <c r="F172" s="7"/>
      <c r="G172" s="7"/>
      <c r="H172" s="7"/>
      <c r="I172" s="7"/>
      <c r="J172" s="8"/>
      <c r="K172" s="9"/>
    </row>
    <row r="173">
      <c r="A173" s="6"/>
      <c r="B173" s="7"/>
      <c r="C173" s="7"/>
      <c r="D173" s="7"/>
      <c r="E173" s="7"/>
      <c r="F173" s="7"/>
      <c r="G173" s="7"/>
      <c r="H173" s="7"/>
      <c r="I173" s="7"/>
      <c r="J173" s="8"/>
      <c r="K173" s="9"/>
    </row>
    <row r="174">
      <c r="A174" s="6"/>
      <c r="B174" s="7"/>
      <c r="C174" s="7"/>
      <c r="D174" s="7"/>
      <c r="E174" s="7"/>
      <c r="F174" s="7"/>
      <c r="G174" s="7"/>
      <c r="H174" s="7"/>
      <c r="I174" s="7"/>
      <c r="J174" s="8"/>
      <c r="K174" s="9"/>
    </row>
    <row r="175">
      <c r="A175" s="6"/>
      <c r="B175" s="7"/>
      <c r="C175" s="7"/>
      <c r="D175" s="7"/>
      <c r="E175" s="7"/>
      <c r="F175" s="7"/>
      <c r="G175" s="7"/>
      <c r="H175" s="7"/>
      <c r="I175" s="7"/>
      <c r="J175" s="8"/>
      <c r="K175" s="9"/>
    </row>
    <row r="176">
      <c r="A176" s="6"/>
      <c r="B176" s="7"/>
      <c r="C176" s="7"/>
      <c r="D176" s="7"/>
      <c r="E176" s="7"/>
      <c r="F176" s="7"/>
      <c r="G176" s="7"/>
      <c r="H176" s="7"/>
      <c r="I176" s="7"/>
      <c r="J176" s="8"/>
      <c r="K176" s="9"/>
    </row>
    <row r="177">
      <c r="A177" s="6"/>
      <c r="B177" s="7"/>
      <c r="C177" s="7"/>
      <c r="D177" s="7"/>
      <c r="E177" s="7"/>
      <c r="F177" s="7"/>
      <c r="G177" s="7"/>
      <c r="H177" s="7"/>
      <c r="I177" s="7"/>
      <c r="J177" s="8"/>
      <c r="K177" s="9"/>
    </row>
    <row r="178">
      <c r="A178" s="6"/>
      <c r="B178" s="7"/>
      <c r="C178" s="7"/>
      <c r="D178" s="7"/>
      <c r="E178" s="7"/>
      <c r="F178" s="7"/>
      <c r="G178" s="7"/>
      <c r="H178" s="7"/>
      <c r="I178" s="7"/>
      <c r="J178" s="8"/>
      <c r="K178" s="9"/>
    </row>
    <row r="179">
      <c r="A179" s="6"/>
      <c r="B179" s="7"/>
      <c r="C179" s="7"/>
      <c r="D179" s="7"/>
      <c r="E179" s="7"/>
      <c r="F179" s="7"/>
      <c r="G179" s="7"/>
      <c r="H179" s="7"/>
      <c r="I179" s="7"/>
      <c r="J179" s="8"/>
      <c r="K179" s="9"/>
    </row>
    <row r="180">
      <c r="A180" s="6"/>
      <c r="B180" s="7"/>
      <c r="C180" s="7"/>
      <c r="D180" s="7"/>
      <c r="E180" s="7"/>
      <c r="F180" s="7"/>
      <c r="G180" s="7"/>
      <c r="H180" s="7"/>
      <c r="I180" s="7"/>
      <c r="J180" s="8"/>
      <c r="K180" s="9"/>
    </row>
    <row r="181">
      <c r="A181" s="6"/>
      <c r="B181" s="7"/>
      <c r="C181" s="7"/>
      <c r="D181" s="7"/>
      <c r="E181" s="7"/>
      <c r="F181" s="7"/>
      <c r="G181" s="7"/>
      <c r="H181" s="7"/>
      <c r="I181" s="7"/>
      <c r="J181" s="8"/>
      <c r="K181" s="9"/>
    </row>
    <row r="182">
      <c r="A182" s="6"/>
      <c r="B182" s="7"/>
      <c r="C182" s="7"/>
      <c r="D182" s="7"/>
      <c r="E182" s="7"/>
      <c r="F182" s="7"/>
      <c r="G182" s="7"/>
      <c r="H182" s="7"/>
      <c r="I182" s="7"/>
      <c r="J182" s="8"/>
      <c r="K182" s="9"/>
    </row>
    <row r="183">
      <c r="A183" s="6"/>
      <c r="B183" s="7"/>
      <c r="C183" s="7"/>
      <c r="D183" s="7"/>
      <c r="E183" s="7"/>
      <c r="F183" s="7"/>
      <c r="G183" s="7"/>
      <c r="H183" s="7"/>
      <c r="I183" s="7"/>
      <c r="J183" s="8"/>
      <c r="K183" s="9"/>
    </row>
    <row r="184">
      <c r="A184" s="6"/>
      <c r="B184" s="7"/>
      <c r="C184" s="7"/>
      <c r="D184" s="7"/>
      <c r="E184" s="7"/>
      <c r="F184" s="7"/>
      <c r="G184" s="7"/>
      <c r="H184" s="7"/>
      <c r="I184" s="7"/>
      <c r="J184" s="8"/>
      <c r="K184" s="9"/>
    </row>
    <row r="185">
      <c r="A185" s="6"/>
      <c r="B185" s="7"/>
      <c r="C185" s="7"/>
      <c r="D185" s="7"/>
      <c r="E185" s="7"/>
      <c r="F185" s="7"/>
      <c r="G185" s="7"/>
      <c r="H185" s="7"/>
      <c r="I185" s="7"/>
      <c r="J185" s="8"/>
      <c r="K185" s="9"/>
    </row>
    <row r="186">
      <c r="A186" s="6"/>
      <c r="B186" s="7"/>
      <c r="C186" s="7"/>
      <c r="D186" s="7"/>
      <c r="E186" s="7"/>
      <c r="F186" s="7"/>
      <c r="G186" s="7"/>
      <c r="H186" s="7"/>
      <c r="I186" s="7"/>
      <c r="J186" s="8"/>
      <c r="K186" s="9"/>
    </row>
    <row r="187">
      <c r="A187" s="6"/>
      <c r="B187" s="7"/>
      <c r="C187" s="7"/>
      <c r="D187" s="7"/>
      <c r="E187" s="7"/>
      <c r="F187" s="7"/>
      <c r="G187" s="7"/>
      <c r="H187" s="7"/>
      <c r="I187" s="7"/>
      <c r="J187" s="8"/>
      <c r="K187" s="9"/>
    </row>
    <row r="188">
      <c r="A188" s="6"/>
      <c r="B188" s="7"/>
      <c r="C188" s="7"/>
      <c r="D188" s="7"/>
      <c r="E188" s="7"/>
      <c r="F188" s="7"/>
      <c r="G188" s="7"/>
      <c r="H188" s="7"/>
      <c r="I188" s="7"/>
      <c r="J188" s="8"/>
      <c r="K188" s="9"/>
    </row>
    <row r="189">
      <c r="A189" s="6"/>
      <c r="B189" s="7"/>
      <c r="C189" s="7"/>
      <c r="D189" s="7"/>
      <c r="E189" s="7"/>
      <c r="F189" s="7"/>
      <c r="G189" s="7"/>
      <c r="H189" s="7"/>
      <c r="I189" s="7"/>
      <c r="J189" s="8"/>
      <c r="K189" s="9"/>
    </row>
    <row r="190">
      <c r="A190" s="6"/>
      <c r="B190" s="7"/>
      <c r="C190" s="7"/>
      <c r="D190" s="7"/>
      <c r="E190" s="7"/>
      <c r="F190" s="7"/>
      <c r="G190" s="7"/>
      <c r="H190" s="7"/>
      <c r="I190" s="7"/>
      <c r="J190" s="8"/>
      <c r="K190" s="9"/>
    </row>
    <row r="191">
      <c r="A191" s="6"/>
      <c r="B191" s="7"/>
      <c r="C191" s="7"/>
      <c r="D191" s="7"/>
      <c r="E191" s="7"/>
      <c r="F191" s="7"/>
      <c r="G191" s="7"/>
      <c r="H191" s="7"/>
      <c r="I191" s="7"/>
      <c r="J191" s="8"/>
      <c r="K191" s="9"/>
    </row>
    <row r="192">
      <c r="A192" s="6"/>
      <c r="B192" s="7"/>
      <c r="C192" s="7"/>
      <c r="D192" s="7"/>
      <c r="E192" s="7"/>
      <c r="F192" s="7"/>
      <c r="G192" s="7"/>
      <c r="H192" s="7"/>
      <c r="I192" s="7"/>
      <c r="J192" s="8"/>
      <c r="K192" s="9"/>
    </row>
    <row r="193">
      <c r="A193" s="6"/>
      <c r="B193" s="7"/>
      <c r="C193" s="7"/>
      <c r="D193" s="7"/>
      <c r="E193" s="7"/>
      <c r="F193" s="7"/>
      <c r="G193" s="7"/>
      <c r="H193" s="7"/>
      <c r="I193" s="7"/>
      <c r="J193" s="8"/>
      <c r="K193" s="9"/>
    </row>
    <row r="194">
      <c r="A194" s="6"/>
      <c r="B194" s="7"/>
      <c r="C194" s="7"/>
      <c r="D194" s="7"/>
      <c r="E194" s="7"/>
      <c r="F194" s="7"/>
      <c r="G194" s="7"/>
      <c r="H194" s="7"/>
      <c r="I194" s="7"/>
      <c r="J194" s="8"/>
      <c r="K194" s="9"/>
    </row>
    <row r="195">
      <c r="A195" s="6"/>
      <c r="B195" s="7"/>
      <c r="C195" s="7"/>
      <c r="D195" s="7"/>
      <c r="E195" s="7"/>
      <c r="F195" s="7"/>
      <c r="G195" s="7"/>
      <c r="H195" s="7"/>
      <c r="I195" s="7"/>
      <c r="J195" s="8"/>
      <c r="K195" s="9"/>
    </row>
    <row r="196">
      <c r="A196" s="6"/>
      <c r="B196" s="7"/>
      <c r="C196" s="7"/>
      <c r="D196" s="7"/>
      <c r="E196" s="7"/>
      <c r="F196" s="7"/>
      <c r="G196" s="7"/>
      <c r="H196" s="7"/>
      <c r="I196" s="7"/>
      <c r="J196" s="8"/>
      <c r="K196" s="9"/>
    </row>
    <row r="197">
      <c r="A197" s="6"/>
      <c r="B197" s="7"/>
      <c r="C197" s="7"/>
      <c r="D197" s="7"/>
      <c r="E197" s="7"/>
      <c r="F197" s="7"/>
      <c r="G197" s="7"/>
      <c r="H197" s="7"/>
      <c r="I197" s="7"/>
      <c r="J197" s="8"/>
      <c r="K197" s="9"/>
    </row>
    <row r="198">
      <c r="A198" s="6"/>
      <c r="B198" s="7"/>
      <c r="C198" s="7"/>
      <c r="D198" s="7"/>
      <c r="E198" s="7"/>
      <c r="F198" s="7"/>
      <c r="G198" s="7"/>
      <c r="H198" s="7"/>
      <c r="I198" s="7"/>
      <c r="J198" s="8"/>
      <c r="K198" s="9"/>
    </row>
    <row r="199">
      <c r="A199" s="6"/>
      <c r="B199" s="7"/>
      <c r="C199" s="7"/>
      <c r="D199" s="7"/>
      <c r="E199" s="7"/>
      <c r="F199" s="7"/>
      <c r="G199" s="7"/>
      <c r="H199" s="7"/>
      <c r="I199" s="7"/>
      <c r="J199" s="8"/>
      <c r="K199" s="9"/>
    </row>
    <row r="200">
      <c r="A200" s="6"/>
      <c r="B200" s="7"/>
      <c r="C200" s="7"/>
      <c r="D200" s="7"/>
      <c r="E200" s="7"/>
      <c r="F200" s="7"/>
      <c r="G200" s="7"/>
      <c r="H200" s="7"/>
      <c r="I200" s="7"/>
      <c r="J200" s="8"/>
      <c r="K200" s="9"/>
    </row>
    <row r="201">
      <c r="A201" s="6"/>
      <c r="B201" s="7"/>
      <c r="C201" s="7"/>
      <c r="D201" s="7"/>
      <c r="E201" s="7"/>
      <c r="F201" s="7"/>
      <c r="G201" s="7"/>
      <c r="H201" s="7"/>
      <c r="I201" s="7"/>
      <c r="J201" s="8"/>
      <c r="K201" s="9"/>
    </row>
    <row r="202">
      <c r="A202" s="6"/>
      <c r="B202" s="7"/>
      <c r="C202" s="7"/>
      <c r="D202" s="7"/>
      <c r="E202" s="7"/>
      <c r="F202" s="7"/>
      <c r="G202" s="7"/>
      <c r="H202" s="7"/>
      <c r="I202" s="7"/>
      <c r="J202" s="8"/>
      <c r="K202" s="9"/>
    </row>
    <row r="203">
      <c r="A203" s="6"/>
      <c r="B203" s="7"/>
      <c r="C203" s="7"/>
      <c r="D203" s="7"/>
      <c r="E203" s="7"/>
      <c r="F203" s="7"/>
      <c r="G203" s="7"/>
      <c r="H203" s="7"/>
      <c r="I203" s="7"/>
      <c r="J203" s="8"/>
      <c r="K203" s="9"/>
    </row>
    <row r="204">
      <c r="A204" s="6"/>
      <c r="B204" s="7"/>
      <c r="C204" s="7"/>
      <c r="D204" s="7"/>
      <c r="E204" s="7"/>
      <c r="F204" s="7"/>
      <c r="G204" s="7"/>
      <c r="H204" s="7"/>
      <c r="I204" s="7"/>
      <c r="J204" s="8"/>
      <c r="K204" s="9"/>
    </row>
    <row r="205">
      <c r="A205" s="6"/>
      <c r="B205" s="7"/>
      <c r="C205" s="7"/>
      <c r="D205" s="7"/>
      <c r="E205" s="7"/>
      <c r="F205" s="7"/>
      <c r="G205" s="7"/>
      <c r="H205" s="7"/>
      <c r="I205" s="7"/>
      <c r="J205" s="8"/>
      <c r="K205" s="9"/>
    </row>
    <row r="206">
      <c r="A206" s="6"/>
      <c r="B206" s="7"/>
      <c r="C206" s="7"/>
      <c r="D206" s="7"/>
      <c r="E206" s="7"/>
      <c r="F206" s="7"/>
      <c r="G206" s="7"/>
      <c r="H206" s="7"/>
      <c r="I206" s="7"/>
      <c r="J206" s="8"/>
      <c r="K206" s="9"/>
    </row>
    <row r="207">
      <c r="A207" s="6"/>
      <c r="B207" s="7"/>
      <c r="C207" s="7"/>
      <c r="D207" s="7"/>
      <c r="E207" s="7"/>
      <c r="F207" s="7"/>
      <c r="G207" s="7"/>
      <c r="H207" s="7"/>
      <c r="I207" s="7"/>
      <c r="J207" s="8"/>
      <c r="K207" s="9"/>
    </row>
    <row r="208">
      <c r="A208" s="6"/>
      <c r="B208" s="7"/>
      <c r="C208" s="7"/>
      <c r="D208" s="7"/>
      <c r="E208" s="7"/>
      <c r="F208" s="7"/>
      <c r="G208" s="7"/>
      <c r="H208" s="7"/>
      <c r="I208" s="7"/>
      <c r="J208" s="8"/>
      <c r="K208" s="9"/>
    </row>
    <row r="209">
      <c r="A209" s="6"/>
      <c r="B209" s="7"/>
      <c r="C209" s="7"/>
      <c r="D209" s="7"/>
      <c r="E209" s="7"/>
      <c r="F209" s="7"/>
      <c r="G209" s="7"/>
      <c r="H209" s="7"/>
      <c r="I209" s="7"/>
      <c r="J209" s="8"/>
      <c r="K209" s="9"/>
    </row>
    <row r="210">
      <c r="A210" s="6"/>
      <c r="B210" s="7"/>
      <c r="C210" s="7"/>
      <c r="D210" s="7"/>
      <c r="E210" s="7"/>
      <c r="F210" s="7"/>
      <c r="G210" s="7"/>
      <c r="H210" s="7"/>
      <c r="I210" s="7"/>
      <c r="J210" s="8"/>
      <c r="K210" s="9"/>
    </row>
    <row r="211">
      <c r="A211" s="6"/>
      <c r="B211" s="7"/>
      <c r="C211" s="7"/>
      <c r="D211" s="7"/>
      <c r="E211" s="7"/>
      <c r="F211" s="7"/>
      <c r="G211" s="7"/>
      <c r="H211" s="7"/>
      <c r="I211" s="7"/>
      <c r="J211" s="8"/>
      <c r="K211" s="9"/>
    </row>
    <row r="212">
      <c r="A212" s="6"/>
      <c r="B212" s="7"/>
      <c r="C212" s="7"/>
      <c r="D212" s="7"/>
      <c r="E212" s="7"/>
      <c r="F212" s="7"/>
      <c r="G212" s="7"/>
      <c r="H212" s="7"/>
      <c r="I212" s="7"/>
      <c r="J212" s="8"/>
      <c r="K212" s="9"/>
    </row>
    <row r="213">
      <c r="A213" s="6"/>
      <c r="B213" s="7"/>
      <c r="C213" s="7"/>
      <c r="D213" s="7"/>
      <c r="E213" s="7"/>
      <c r="F213" s="7"/>
      <c r="G213" s="7"/>
      <c r="H213" s="7"/>
      <c r="I213" s="7"/>
      <c r="J213" s="8"/>
      <c r="K213" s="9"/>
    </row>
    <row r="214">
      <c r="A214" s="6"/>
      <c r="B214" s="7"/>
      <c r="C214" s="7"/>
      <c r="D214" s="7"/>
      <c r="E214" s="7"/>
      <c r="F214" s="7"/>
      <c r="G214" s="7"/>
      <c r="H214" s="7"/>
      <c r="I214" s="7"/>
      <c r="J214" s="8"/>
      <c r="K214" s="9"/>
    </row>
    <row r="215">
      <c r="A215" s="6"/>
      <c r="B215" s="7"/>
      <c r="C215" s="7"/>
      <c r="D215" s="7"/>
      <c r="E215" s="7"/>
      <c r="F215" s="7"/>
      <c r="G215" s="7"/>
      <c r="H215" s="7"/>
      <c r="I215" s="7"/>
      <c r="J215" s="8"/>
      <c r="K215" s="9"/>
    </row>
    <row r="216">
      <c r="A216" s="6"/>
      <c r="B216" s="7"/>
      <c r="C216" s="7"/>
      <c r="D216" s="7"/>
      <c r="E216" s="7"/>
      <c r="F216" s="7"/>
      <c r="G216" s="7"/>
      <c r="H216" s="7"/>
      <c r="I216" s="7"/>
      <c r="J216" s="8"/>
      <c r="K216" s="9"/>
    </row>
    <row r="217">
      <c r="A217" s="6"/>
      <c r="B217" s="7"/>
      <c r="C217" s="7"/>
      <c r="D217" s="7"/>
      <c r="E217" s="7"/>
      <c r="F217" s="7"/>
      <c r="G217" s="7"/>
      <c r="H217" s="7"/>
      <c r="I217" s="7"/>
      <c r="J217" s="8"/>
      <c r="K217" s="9"/>
    </row>
    <row r="218">
      <c r="A218" s="6"/>
      <c r="B218" s="7"/>
      <c r="C218" s="7"/>
      <c r="D218" s="7"/>
      <c r="E218" s="7"/>
      <c r="F218" s="7"/>
      <c r="G218" s="7"/>
      <c r="H218" s="7"/>
      <c r="I218" s="7"/>
      <c r="J218" s="8"/>
      <c r="K218" s="9"/>
    </row>
    <row r="219">
      <c r="A219" s="6"/>
      <c r="B219" s="7"/>
      <c r="C219" s="7"/>
      <c r="D219" s="7"/>
      <c r="E219" s="7"/>
      <c r="F219" s="7"/>
      <c r="G219" s="7"/>
      <c r="H219" s="7"/>
      <c r="I219" s="7"/>
      <c r="J219" s="8"/>
      <c r="K219" s="9"/>
    </row>
    <row r="220">
      <c r="A220" s="6"/>
      <c r="B220" s="7"/>
      <c r="C220" s="7"/>
      <c r="D220" s="7"/>
      <c r="E220" s="7"/>
      <c r="F220" s="7"/>
      <c r="G220" s="7"/>
      <c r="H220" s="7"/>
      <c r="I220" s="7"/>
      <c r="J220" s="8"/>
      <c r="K220" s="9"/>
    </row>
    <row r="221">
      <c r="A221" s="6"/>
      <c r="B221" s="7"/>
      <c r="C221" s="7"/>
      <c r="D221" s="7"/>
      <c r="E221" s="7"/>
      <c r="F221" s="7"/>
      <c r="G221" s="7"/>
      <c r="H221" s="7"/>
      <c r="I221" s="7"/>
      <c r="J221" s="8"/>
      <c r="K221" s="9"/>
    </row>
    <row r="222">
      <c r="A222" s="6"/>
      <c r="B222" s="7"/>
      <c r="C222" s="7"/>
      <c r="D222" s="7"/>
      <c r="E222" s="7"/>
      <c r="F222" s="7"/>
      <c r="G222" s="7"/>
      <c r="H222" s="7"/>
      <c r="I222" s="7"/>
      <c r="J222" s="8"/>
      <c r="K222" s="9"/>
    </row>
    <row r="223">
      <c r="A223" s="6"/>
      <c r="B223" s="7"/>
      <c r="C223" s="7"/>
      <c r="D223" s="7"/>
      <c r="E223" s="7"/>
      <c r="F223" s="7"/>
      <c r="G223" s="7"/>
      <c r="H223" s="7"/>
      <c r="I223" s="7"/>
      <c r="J223" s="8"/>
      <c r="K223" s="9"/>
    </row>
    <row r="224">
      <c r="A224" s="6"/>
      <c r="B224" s="7"/>
      <c r="C224" s="7"/>
      <c r="D224" s="7"/>
      <c r="E224" s="7"/>
      <c r="F224" s="7"/>
      <c r="G224" s="7"/>
      <c r="H224" s="7"/>
      <c r="I224" s="7"/>
      <c r="J224" s="8"/>
      <c r="K224" s="9"/>
    </row>
    <row r="225">
      <c r="A225" s="6"/>
      <c r="B225" s="7"/>
      <c r="C225" s="7"/>
      <c r="D225" s="7"/>
      <c r="E225" s="7"/>
      <c r="F225" s="7"/>
      <c r="G225" s="7"/>
      <c r="H225" s="7"/>
      <c r="I225" s="7"/>
      <c r="J225" s="8"/>
      <c r="K225" s="9"/>
    </row>
    <row r="226">
      <c r="A226" s="6"/>
      <c r="B226" s="7"/>
      <c r="C226" s="7"/>
      <c r="D226" s="7"/>
      <c r="E226" s="7"/>
      <c r="F226" s="7"/>
      <c r="G226" s="7"/>
      <c r="H226" s="7"/>
      <c r="I226" s="7"/>
      <c r="J226" s="8"/>
      <c r="K226" s="9"/>
    </row>
    <row r="227">
      <c r="A227" s="6"/>
      <c r="B227" s="7"/>
      <c r="C227" s="7"/>
      <c r="D227" s="7"/>
      <c r="E227" s="7"/>
      <c r="F227" s="7"/>
      <c r="G227" s="7"/>
      <c r="H227" s="7"/>
      <c r="I227" s="7"/>
      <c r="J227" s="8"/>
      <c r="K227" s="9"/>
    </row>
    <row r="228">
      <c r="A228" s="6"/>
      <c r="B228" s="7"/>
      <c r="C228" s="7"/>
      <c r="D228" s="7"/>
      <c r="E228" s="7"/>
      <c r="F228" s="7"/>
      <c r="G228" s="7"/>
      <c r="H228" s="7"/>
      <c r="I228" s="7"/>
      <c r="J228" s="8"/>
      <c r="K228" s="9"/>
    </row>
    <row r="229">
      <c r="A229" s="6"/>
      <c r="B229" s="7"/>
      <c r="C229" s="7"/>
      <c r="D229" s="7"/>
      <c r="E229" s="7"/>
      <c r="F229" s="7"/>
      <c r="G229" s="7"/>
      <c r="H229" s="7"/>
      <c r="I229" s="7"/>
      <c r="J229" s="8"/>
      <c r="K229" s="9"/>
    </row>
    <row r="230">
      <c r="A230" s="6"/>
      <c r="B230" s="7"/>
      <c r="C230" s="7"/>
      <c r="D230" s="7"/>
      <c r="E230" s="7"/>
      <c r="F230" s="7"/>
      <c r="G230" s="7"/>
      <c r="H230" s="7"/>
      <c r="I230" s="7"/>
      <c r="J230" s="8"/>
      <c r="K230" s="9"/>
    </row>
    <row r="231">
      <c r="A231" s="6"/>
      <c r="B231" s="7"/>
      <c r="C231" s="7"/>
      <c r="D231" s="7"/>
      <c r="E231" s="7"/>
      <c r="F231" s="7"/>
      <c r="G231" s="7"/>
      <c r="H231" s="7"/>
      <c r="I231" s="7"/>
      <c r="J231" s="8"/>
      <c r="K231" s="9"/>
    </row>
    <row r="232">
      <c r="A232" s="6"/>
      <c r="B232" s="7"/>
      <c r="C232" s="7"/>
      <c r="D232" s="7"/>
      <c r="E232" s="7"/>
      <c r="F232" s="7"/>
      <c r="G232" s="7"/>
      <c r="H232" s="7"/>
      <c r="I232" s="7"/>
      <c r="J232" s="8"/>
      <c r="K232" s="9"/>
    </row>
    <row r="233">
      <c r="A233" s="6"/>
      <c r="B233" s="7"/>
      <c r="C233" s="7"/>
      <c r="D233" s="7"/>
      <c r="E233" s="7"/>
      <c r="F233" s="7"/>
      <c r="G233" s="7"/>
      <c r="H233" s="7"/>
      <c r="I233" s="7"/>
      <c r="J233" s="8"/>
      <c r="K233" s="9"/>
    </row>
    <row r="234">
      <c r="A234" s="6"/>
      <c r="B234" s="7"/>
      <c r="C234" s="7"/>
      <c r="D234" s="7"/>
      <c r="E234" s="7"/>
      <c r="F234" s="7"/>
      <c r="G234" s="7"/>
      <c r="H234" s="7"/>
      <c r="I234" s="7"/>
      <c r="J234" s="8"/>
      <c r="K234" s="9"/>
    </row>
    <row r="235">
      <c r="A235" s="6"/>
      <c r="B235" s="7"/>
      <c r="C235" s="7"/>
      <c r="D235" s="7"/>
      <c r="E235" s="7"/>
      <c r="F235" s="7"/>
      <c r="G235" s="7"/>
      <c r="H235" s="7"/>
      <c r="I235" s="7"/>
      <c r="J235" s="8"/>
      <c r="K235" s="9"/>
    </row>
    <row r="236">
      <c r="A236" s="6"/>
      <c r="B236" s="7"/>
      <c r="C236" s="7"/>
      <c r="D236" s="7"/>
      <c r="E236" s="7"/>
      <c r="F236" s="7"/>
      <c r="G236" s="7"/>
      <c r="H236" s="7"/>
      <c r="I236" s="7"/>
      <c r="J236" s="8"/>
      <c r="K236" s="9"/>
    </row>
    <row r="237">
      <c r="A237" s="6"/>
      <c r="B237" s="7"/>
      <c r="C237" s="7"/>
      <c r="D237" s="7"/>
      <c r="E237" s="7"/>
      <c r="F237" s="7"/>
      <c r="G237" s="7"/>
      <c r="H237" s="7"/>
      <c r="I237" s="7"/>
      <c r="J237" s="8"/>
      <c r="K237" s="9"/>
    </row>
    <row r="238">
      <c r="A238" s="6"/>
      <c r="B238" s="7"/>
      <c r="C238" s="7"/>
      <c r="D238" s="7"/>
      <c r="E238" s="7"/>
      <c r="F238" s="7"/>
      <c r="G238" s="7"/>
      <c r="H238" s="7"/>
      <c r="I238" s="7"/>
      <c r="J238" s="8"/>
      <c r="K238" s="9"/>
    </row>
    <row r="239">
      <c r="A239" s="6"/>
      <c r="B239" s="7"/>
      <c r="C239" s="7"/>
      <c r="D239" s="7"/>
      <c r="E239" s="7"/>
      <c r="F239" s="7"/>
      <c r="G239" s="7"/>
      <c r="H239" s="7"/>
      <c r="I239" s="7"/>
      <c r="J239" s="8"/>
      <c r="K239" s="9"/>
    </row>
    <row r="240">
      <c r="A240" s="6"/>
      <c r="B240" s="7"/>
      <c r="C240" s="7"/>
      <c r="D240" s="7"/>
      <c r="E240" s="7"/>
      <c r="F240" s="7"/>
      <c r="G240" s="7"/>
      <c r="H240" s="7"/>
      <c r="I240" s="7"/>
      <c r="J240" s="8"/>
      <c r="K240" s="9"/>
    </row>
    <row r="241">
      <c r="A241" s="6"/>
      <c r="B241" s="7"/>
      <c r="C241" s="7"/>
      <c r="D241" s="7"/>
      <c r="E241" s="7"/>
      <c r="F241" s="7"/>
      <c r="G241" s="7"/>
      <c r="H241" s="7"/>
      <c r="I241" s="7"/>
      <c r="J241" s="8"/>
      <c r="K241" s="9"/>
    </row>
    <row r="242">
      <c r="A242" s="6"/>
      <c r="B242" s="7"/>
      <c r="C242" s="7"/>
      <c r="D242" s="7"/>
      <c r="E242" s="7"/>
      <c r="F242" s="7"/>
      <c r="G242" s="7"/>
      <c r="H242" s="7"/>
      <c r="I242" s="7"/>
      <c r="J242" s="8"/>
      <c r="K242" s="9"/>
    </row>
    <row r="243">
      <c r="A243" s="6"/>
      <c r="B243" s="7"/>
      <c r="C243" s="7"/>
      <c r="D243" s="7"/>
      <c r="E243" s="7"/>
      <c r="F243" s="7"/>
      <c r="G243" s="7"/>
      <c r="H243" s="7"/>
      <c r="I243" s="7"/>
      <c r="J243" s="8"/>
      <c r="K243" s="9"/>
    </row>
    <row r="244">
      <c r="A244" s="6"/>
      <c r="B244" s="7"/>
      <c r="C244" s="7"/>
      <c r="D244" s="7"/>
      <c r="E244" s="7"/>
      <c r="F244" s="7"/>
      <c r="G244" s="7"/>
      <c r="H244" s="7"/>
      <c r="I244" s="7"/>
      <c r="J244" s="8"/>
      <c r="K244" s="9"/>
    </row>
    <row r="245">
      <c r="A245" s="6"/>
      <c r="B245" s="7"/>
      <c r="C245" s="7"/>
      <c r="D245" s="7"/>
      <c r="E245" s="7"/>
      <c r="F245" s="7"/>
      <c r="G245" s="7"/>
      <c r="H245" s="7"/>
      <c r="I245" s="7"/>
      <c r="J245" s="8"/>
      <c r="K245" s="9"/>
    </row>
    <row r="246">
      <c r="A246" s="6"/>
      <c r="B246" s="7"/>
      <c r="C246" s="7"/>
      <c r="D246" s="7"/>
      <c r="E246" s="7"/>
      <c r="F246" s="7"/>
      <c r="G246" s="7"/>
      <c r="H246" s="7"/>
      <c r="I246" s="7"/>
      <c r="J246" s="8"/>
      <c r="K246" s="9"/>
    </row>
    <row r="247">
      <c r="A247" s="6"/>
      <c r="B247" s="7"/>
      <c r="C247" s="7"/>
      <c r="D247" s="7"/>
      <c r="E247" s="7"/>
      <c r="F247" s="7"/>
      <c r="G247" s="7"/>
      <c r="H247" s="7"/>
      <c r="I247" s="7"/>
      <c r="J247" s="8"/>
      <c r="K247" s="9"/>
    </row>
    <row r="248">
      <c r="A248" s="6"/>
      <c r="B248" s="7"/>
      <c r="C248" s="7"/>
      <c r="D248" s="7"/>
      <c r="E248" s="7"/>
      <c r="F248" s="7"/>
      <c r="G248" s="7"/>
      <c r="H248" s="7"/>
      <c r="I248" s="7"/>
      <c r="J248" s="8"/>
      <c r="K248" s="9"/>
    </row>
    <row r="249">
      <c r="A249" s="6"/>
      <c r="B249" s="7"/>
      <c r="C249" s="7"/>
      <c r="D249" s="7"/>
      <c r="E249" s="7"/>
      <c r="F249" s="7"/>
      <c r="G249" s="7"/>
      <c r="H249" s="7"/>
      <c r="I249" s="7"/>
      <c r="J249" s="8"/>
      <c r="K249" s="9"/>
    </row>
    <row r="250">
      <c r="A250" s="6"/>
      <c r="B250" s="7"/>
      <c r="C250" s="7"/>
      <c r="D250" s="7"/>
      <c r="E250" s="7"/>
      <c r="F250" s="7"/>
      <c r="G250" s="7"/>
      <c r="H250" s="7"/>
      <c r="I250" s="7"/>
      <c r="J250" s="8"/>
      <c r="K250" s="9"/>
    </row>
    <row r="251">
      <c r="A251" s="6"/>
      <c r="B251" s="7"/>
      <c r="C251" s="7"/>
      <c r="D251" s="7"/>
      <c r="E251" s="7"/>
      <c r="F251" s="7"/>
      <c r="G251" s="7"/>
      <c r="H251" s="7"/>
      <c r="I251" s="7"/>
      <c r="J251" s="8"/>
      <c r="K251" s="9"/>
    </row>
    <row r="252">
      <c r="A252" s="6"/>
      <c r="B252" s="7"/>
      <c r="C252" s="7"/>
      <c r="D252" s="7"/>
      <c r="E252" s="7"/>
      <c r="F252" s="7"/>
      <c r="G252" s="7"/>
      <c r="H252" s="7"/>
      <c r="I252" s="7"/>
      <c r="J252" s="8"/>
      <c r="K252" s="9"/>
    </row>
    <row r="253">
      <c r="A253" s="6"/>
      <c r="B253" s="7"/>
      <c r="C253" s="7"/>
      <c r="D253" s="7"/>
      <c r="E253" s="7"/>
      <c r="F253" s="7"/>
      <c r="G253" s="7"/>
      <c r="H253" s="7"/>
      <c r="I253" s="7"/>
      <c r="J253" s="8"/>
      <c r="K253" s="9"/>
    </row>
    <row r="254">
      <c r="A254" s="6"/>
      <c r="B254" s="7"/>
      <c r="C254" s="7"/>
      <c r="D254" s="7"/>
      <c r="E254" s="7"/>
      <c r="F254" s="7"/>
      <c r="G254" s="7"/>
      <c r="H254" s="7"/>
      <c r="I254" s="7"/>
      <c r="J254" s="8"/>
      <c r="K254" s="9"/>
    </row>
    <row r="255">
      <c r="A255" s="6"/>
      <c r="B255" s="7"/>
      <c r="C255" s="7"/>
      <c r="D255" s="7"/>
      <c r="E255" s="7"/>
      <c r="F255" s="7"/>
      <c r="G255" s="7"/>
      <c r="H255" s="7"/>
      <c r="I255" s="7"/>
      <c r="J255" s="8"/>
      <c r="K255" s="9"/>
    </row>
    <row r="256">
      <c r="A256" s="6"/>
      <c r="B256" s="7"/>
      <c r="C256" s="7"/>
      <c r="D256" s="7"/>
      <c r="E256" s="7"/>
      <c r="F256" s="7"/>
      <c r="G256" s="7"/>
      <c r="H256" s="7"/>
      <c r="I256" s="7"/>
      <c r="J256" s="8"/>
      <c r="K256" s="9"/>
    </row>
    <row r="257">
      <c r="A257" s="6"/>
      <c r="B257" s="7"/>
      <c r="C257" s="7"/>
      <c r="D257" s="7"/>
      <c r="E257" s="7"/>
      <c r="F257" s="7"/>
      <c r="G257" s="7"/>
      <c r="H257" s="7"/>
      <c r="I257" s="7"/>
      <c r="J257" s="8"/>
      <c r="K257" s="9"/>
    </row>
    <row r="258">
      <c r="A258" s="6"/>
      <c r="B258" s="7"/>
      <c r="C258" s="7"/>
      <c r="D258" s="7"/>
      <c r="E258" s="7"/>
      <c r="F258" s="7"/>
      <c r="G258" s="7"/>
      <c r="H258" s="7"/>
      <c r="I258" s="7"/>
      <c r="J258" s="8"/>
      <c r="K258" s="9"/>
    </row>
    <row r="259">
      <c r="A259" s="6"/>
      <c r="B259" s="7"/>
      <c r="C259" s="7"/>
      <c r="D259" s="7"/>
      <c r="E259" s="7"/>
      <c r="F259" s="7"/>
      <c r="G259" s="7"/>
      <c r="H259" s="7"/>
      <c r="I259" s="7"/>
      <c r="J259" s="8"/>
      <c r="K259" s="9"/>
    </row>
    <row r="260">
      <c r="A260" s="6"/>
      <c r="B260" s="7"/>
      <c r="C260" s="7"/>
      <c r="D260" s="7"/>
      <c r="E260" s="7"/>
      <c r="F260" s="7"/>
      <c r="G260" s="7"/>
      <c r="H260" s="7"/>
      <c r="I260" s="7"/>
      <c r="J260" s="8"/>
      <c r="K260" s="9"/>
    </row>
    <row r="261">
      <c r="A261" s="6"/>
      <c r="B261" s="7"/>
      <c r="C261" s="7"/>
      <c r="D261" s="7"/>
      <c r="E261" s="7"/>
      <c r="F261" s="7"/>
      <c r="G261" s="7"/>
      <c r="H261" s="7"/>
      <c r="I261" s="7"/>
      <c r="J261" s="8"/>
      <c r="K261" s="9"/>
    </row>
    <row r="262">
      <c r="A262" s="6"/>
      <c r="B262" s="7"/>
      <c r="C262" s="7"/>
      <c r="D262" s="7"/>
      <c r="E262" s="7"/>
      <c r="F262" s="7"/>
      <c r="G262" s="7"/>
      <c r="H262" s="7"/>
      <c r="I262" s="7"/>
      <c r="J262" s="8"/>
      <c r="K262" s="9"/>
    </row>
    <row r="263">
      <c r="A263" s="6"/>
      <c r="B263" s="7"/>
      <c r="C263" s="7"/>
      <c r="D263" s="7"/>
      <c r="E263" s="7"/>
      <c r="F263" s="7"/>
      <c r="G263" s="7"/>
      <c r="H263" s="7"/>
      <c r="I263" s="7"/>
      <c r="J263" s="8"/>
      <c r="K263" s="9"/>
    </row>
    <row r="264">
      <c r="A264" s="6"/>
      <c r="B264" s="7"/>
      <c r="C264" s="7"/>
      <c r="D264" s="7"/>
      <c r="E264" s="7"/>
      <c r="F264" s="7"/>
      <c r="G264" s="7"/>
      <c r="H264" s="7"/>
      <c r="I264" s="7"/>
      <c r="J264" s="8"/>
      <c r="K264" s="9"/>
    </row>
    <row r="265">
      <c r="A265" s="6"/>
      <c r="B265" s="7"/>
      <c r="C265" s="7"/>
      <c r="D265" s="7"/>
      <c r="E265" s="7"/>
      <c r="F265" s="7"/>
      <c r="G265" s="7"/>
      <c r="H265" s="7"/>
      <c r="I265" s="7"/>
      <c r="J265" s="8"/>
      <c r="K265" s="9"/>
    </row>
    <row r="266">
      <c r="A266" s="6"/>
      <c r="B266" s="7"/>
      <c r="C266" s="7"/>
      <c r="D266" s="7"/>
      <c r="E266" s="7"/>
      <c r="F266" s="7"/>
      <c r="G266" s="7"/>
      <c r="H266" s="7"/>
      <c r="I266" s="7"/>
      <c r="J266" s="8"/>
      <c r="K266" s="9"/>
    </row>
    <row r="267">
      <c r="A267" s="6"/>
      <c r="B267" s="7"/>
      <c r="C267" s="7"/>
      <c r="D267" s="7"/>
      <c r="E267" s="7"/>
      <c r="F267" s="7"/>
      <c r="G267" s="7"/>
      <c r="H267" s="7"/>
      <c r="I267" s="7"/>
      <c r="J267" s="8"/>
      <c r="K267" s="9"/>
    </row>
    <row r="268">
      <c r="A268" s="6"/>
      <c r="B268" s="7"/>
      <c r="C268" s="7"/>
      <c r="D268" s="7"/>
      <c r="E268" s="7"/>
      <c r="F268" s="7"/>
      <c r="G268" s="7"/>
      <c r="H268" s="7"/>
      <c r="I268" s="7"/>
      <c r="J268" s="8"/>
      <c r="K268" s="9"/>
    </row>
    <row r="269">
      <c r="A269" s="6"/>
      <c r="B269" s="7"/>
      <c r="C269" s="7"/>
      <c r="D269" s="7"/>
      <c r="E269" s="7"/>
      <c r="F269" s="7"/>
      <c r="G269" s="7"/>
      <c r="H269" s="7"/>
      <c r="I269" s="7"/>
      <c r="J269" s="8"/>
      <c r="K269" s="9"/>
    </row>
    <row r="270">
      <c r="A270" s="6"/>
      <c r="B270" s="7"/>
      <c r="C270" s="7"/>
      <c r="D270" s="7"/>
      <c r="E270" s="7"/>
      <c r="F270" s="7"/>
      <c r="G270" s="7"/>
      <c r="H270" s="7"/>
      <c r="I270" s="7"/>
      <c r="J270" s="8"/>
      <c r="K270" s="9"/>
    </row>
    <row r="271">
      <c r="A271" s="6"/>
      <c r="B271" s="7"/>
      <c r="C271" s="7"/>
      <c r="D271" s="7"/>
      <c r="E271" s="7"/>
      <c r="F271" s="7"/>
      <c r="G271" s="7"/>
      <c r="H271" s="7"/>
      <c r="I271" s="7"/>
      <c r="J271" s="8"/>
      <c r="K271" s="9"/>
    </row>
    <row r="272">
      <c r="A272" s="6"/>
      <c r="B272" s="7"/>
      <c r="C272" s="7"/>
      <c r="D272" s="7"/>
      <c r="E272" s="7"/>
      <c r="F272" s="7"/>
      <c r="G272" s="7"/>
      <c r="H272" s="7"/>
      <c r="I272" s="7"/>
      <c r="J272" s="8"/>
      <c r="K272" s="9"/>
    </row>
    <row r="273">
      <c r="A273" s="6"/>
      <c r="B273" s="7"/>
      <c r="C273" s="7"/>
      <c r="D273" s="7"/>
      <c r="E273" s="7"/>
      <c r="F273" s="7"/>
      <c r="G273" s="7"/>
      <c r="H273" s="7"/>
      <c r="I273" s="7"/>
      <c r="J273" s="8"/>
      <c r="K273" s="9"/>
    </row>
    <row r="274">
      <c r="A274" s="6"/>
      <c r="B274" s="7"/>
      <c r="C274" s="7"/>
      <c r="D274" s="7"/>
      <c r="E274" s="7"/>
      <c r="F274" s="7"/>
      <c r="G274" s="7"/>
      <c r="H274" s="7"/>
      <c r="I274" s="7"/>
      <c r="J274" s="8"/>
      <c r="K274" s="9"/>
    </row>
    <row r="275">
      <c r="A275" s="6"/>
      <c r="B275" s="7"/>
      <c r="C275" s="7"/>
      <c r="D275" s="7"/>
      <c r="E275" s="7"/>
      <c r="F275" s="7"/>
      <c r="G275" s="7"/>
      <c r="H275" s="7"/>
      <c r="I275" s="7"/>
      <c r="J275" s="8"/>
      <c r="K275" s="9"/>
    </row>
    <row r="276">
      <c r="A276" s="6"/>
      <c r="B276" s="7"/>
      <c r="C276" s="7"/>
      <c r="D276" s="7"/>
      <c r="E276" s="7"/>
      <c r="F276" s="7"/>
      <c r="G276" s="7"/>
      <c r="H276" s="7"/>
      <c r="I276" s="7"/>
      <c r="J276" s="8"/>
      <c r="K276" s="9"/>
    </row>
    <row r="277">
      <c r="A277" s="6"/>
      <c r="B277" s="7"/>
      <c r="C277" s="7"/>
      <c r="D277" s="7"/>
      <c r="E277" s="7"/>
      <c r="F277" s="7"/>
      <c r="G277" s="7"/>
      <c r="H277" s="7"/>
      <c r="I277" s="7"/>
      <c r="J277" s="8"/>
      <c r="K277" s="9"/>
    </row>
    <row r="278">
      <c r="A278" s="6"/>
      <c r="B278" s="7"/>
      <c r="C278" s="7"/>
      <c r="D278" s="7"/>
      <c r="E278" s="7"/>
      <c r="F278" s="7"/>
      <c r="G278" s="7"/>
      <c r="H278" s="7"/>
      <c r="I278" s="7"/>
      <c r="J278" s="8"/>
      <c r="K278" s="9"/>
    </row>
    <row r="279">
      <c r="A279" s="6"/>
      <c r="B279" s="7"/>
      <c r="C279" s="7"/>
      <c r="D279" s="7"/>
      <c r="E279" s="7"/>
      <c r="F279" s="7"/>
      <c r="G279" s="7"/>
      <c r="H279" s="7"/>
      <c r="I279" s="7"/>
      <c r="J279" s="8"/>
      <c r="K279" s="9"/>
    </row>
    <row r="280">
      <c r="A280" s="6"/>
      <c r="B280" s="7"/>
      <c r="C280" s="7"/>
      <c r="D280" s="7"/>
      <c r="E280" s="7"/>
      <c r="F280" s="7"/>
      <c r="G280" s="7"/>
      <c r="H280" s="7"/>
      <c r="I280" s="7"/>
      <c r="J280" s="8"/>
      <c r="K280" s="9"/>
    </row>
    <row r="281">
      <c r="A281" s="6"/>
      <c r="B281" s="7"/>
      <c r="C281" s="7"/>
      <c r="D281" s="7"/>
      <c r="E281" s="7"/>
      <c r="F281" s="7"/>
      <c r="G281" s="7"/>
      <c r="H281" s="7"/>
      <c r="I281" s="7"/>
      <c r="J281" s="8"/>
      <c r="K281" s="9"/>
    </row>
    <row r="282">
      <c r="A282" s="6"/>
      <c r="B282" s="7"/>
      <c r="C282" s="7"/>
      <c r="D282" s="7"/>
      <c r="E282" s="7"/>
      <c r="F282" s="7"/>
      <c r="G282" s="7"/>
      <c r="H282" s="7"/>
      <c r="I282" s="7"/>
      <c r="J282" s="8"/>
      <c r="K282" s="9"/>
    </row>
    <row r="283">
      <c r="A283" s="6"/>
      <c r="B283" s="7"/>
      <c r="C283" s="7"/>
      <c r="D283" s="7"/>
      <c r="E283" s="7"/>
      <c r="F283" s="7"/>
      <c r="G283" s="7"/>
      <c r="H283" s="7"/>
      <c r="I283" s="7"/>
      <c r="J283" s="8"/>
      <c r="K283" s="9"/>
    </row>
    <row r="284">
      <c r="A284" s="6"/>
      <c r="B284" s="7"/>
      <c r="C284" s="7"/>
      <c r="D284" s="7"/>
      <c r="E284" s="7"/>
      <c r="F284" s="7"/>
      <c r="G284" s="7"/>
      <c r="H284" s="7"/>
      <c r="I284" s="7"/>
      <c r="J284" s="8"/>
      <c r="K284" s="9"/>
    </row>
    <row r="285">
      <c r="A285" s="6"/>
      <c r="B285" s="7"/>
      <c r="C285" s="7"/>
      <c r="D285" s="7"/>
      <c r="E285" s="7"/>
      <c r="F285" s="7"/>
      <c r="G285" s="7"/>
      <c r="H285" s="7"/>
      <c r="I285" s="7"/>
      <c r="J285" s="8"/>
      <c r="K285" s="9"/>
    </row>
    <row r="286">
      <c r="A286" s="6"/>
      <c r="B286" s="7"/>
      <c r="C286" s="7"/>
      <c r="D286" s="7"/>
      <c r="E286" s="7"/>
      <c r="F286" s="7"/>
      <c r="G286" s="7"/>
      <c r="H286" s="7"/>
      <c r="I286" s="7"/>
      <c r="J286" s="8"/>
      <c r="K286" s="9"/>
    </row>
    <row r="287">
      <c r="A287" s="6"/>
      <c r="B287" s="7"/>
      <c r="C287" s="7"/>
      <c r="D287" s="7"/>
      <c r="E287" s="7"/>
      <c r="F287" s="7"/>
      <c r="G287" s="7"/>
      <c r="H287" s="7"/>
      <c r="I287" s="7"/>
      <c r="J287" s="8"/>
      <c r="K287" s="9"/>
    </row>
    <row r="288">
      <c r="A288" s="6"/>
      <c r="B288" s="7"/>
      <c r="C288" s="7"/>
      <c r="D288" s="7"/>
      <c r="E288" s="7"/>
      <c r="F288" s="7"/>
      <c r="G288" s="7"/>
      <c r="H288" s="7"/>
      <c r="I288" s="7"/>
      <c r="J288" s="8"/>
      <c r="K288" s="9"/>
    </row>
    <row r="289">
      <c r="A289" s="6"/>
      <c r="B289" s="7"/>
      <c r="C289" s="7"/>
      <c r="D289" s="7"/>
      <c r="E289" s="7"/>
      <c r="F289" s="7"/>
      <c r="G289" s="7"/>
      <c r="H289" s="7"/>
      <c r="I289" s="7"/>
      <c r="J289" s="8"/>
      <c r="K289" s="9"/>
    </row>
    <row r="290">
      <c r="A290" s="6"/>
      <c r="B290" s="7"/>
      <c r="C290" s="7"/>
      <c r="D290" s="7"/>
      <c r="E290" s="7"/>
      <c r="F290" s="7"/>
      <c r="G290" s="7"/>
      <c r="H290" s="7"/>
      <c r="I290" s="7"/>
      <c r="J290" s="8"/>
      <c r="K290" s="9"/>
    </row>
    <row r="291">
      <c r="A291" s="6"/>
      <c r="B291" s="7"/>
      <c r="C291" s="7"/>
      <c r="D291" s="7"/>
      <c r="E291" s="7"/>
      <c r="F291" s="7"/>
      <c r="G291" s="7"/>
      <c r="H291" s="7"/>
      <c r="I291" s="7"/>
      <c r="J291" s="8"/>
      <c r="K291" s="9"/>
    </row>
    <row r="292">
      <c r="A292" s="6"/>
      <c r="B292" s="7"/>
      <c r="C292" s="7"/>
      <c r="D292" s="7"/>
      <c r="E292" s="7"/>
      <c r="F292" s="7"/>
      <c r="G292" s="7"/>
      <c r="H292" s="7"/>
      <c r="I292" s="7"/>
      <c r="J292" s="8"/>
      <c r="K292" s="9"/>
    </row>
    <row r="293">
      <c r="A293" s="6"/>
      <c r="B293" s="7"/>
      <c r="C293" s="7"/>
      <c r="D293" s="7"/>
      <c r="E293" s="7"/>
      <c r="F293" s="7"/>
      <c r="G293" s="7"/>
      <c r="H293" s="7"/>
      <c r="I293" s="7"/>
      <c r="J293" s="8"/>
      <c r="K293" s="9"/>
    </row>
    <row r="294">
      <c r="A294" s="6"/>
      <c r="B294" s="7"/>
      <c r="C294" s="7"/>
      <c r="D294" s="7"/>
      <c r="E294" s="7"/>
      <c r="F294" s="7"/>
      <c r="G294" s="7"/>
      <c r="H294" s="7"/>
      <c r="I294" s="7"/>
      <c r="J294" s="8"/>
      <c r="K294" s="9"/>
    </row>
    <row r="295">
      <c r="A295" s="6"/>
      <c r="B295" s="7"/>
      <c r="C295" s="7"/>
      <c r="D295" s="7"/>
      <c r="E295" s="7"/>
      <c r="F295" s="7"/>
      <c r="G295" s="7"/>
      <c r="H295" s="7"/>
      <c r="I295" s="7"/>
      <c r="J295" s="8"/>
      <c r="K295" s="9"/>
    </row>
    <row r="296">
      <c r="A296" s="6"/>
      <c r="B296" s="7"/>
      <c r="C296" s="7"/>
      <c r="D296" s="7"/>
      <c r="E296" s="7"/>
      <c r="F296" s="7"/>
      <c r="G296" s="7"/>
      <c r="H296" s="7"/>
      <c r="I296" s="7"/>
      <c r="J296" s="8"/>
      <c r="K296" s="9"/>
    </row>
    <row r="297">
      <c r="A297" s="6"/>
      <c r="B297" s="7"/>
      <c r="C297" s="7"/>
      <c r="D297" s="7"/>
      <c r="E297" s="7"/>
      <c r="F297" s="7"/>
      <c r="G297" s="7"/>
      <c r="H297" s="7"/>
      <c r="I297" s="7"/>
      <c r="J297" s="8"/>
      <c r="K297" s="9"/>
    </row>
    <row r="298">
      <c r="A298" s="6"/>
      <c r="B298" s="7"/>
      <c r="C298" s="7"/>
      <c r="D298" s="7"/>
      <c r="E298" s="7"/>
      <c r="F298" s="7"/>
      <c r="G298" s="7"/>
      <c r="H298" s="7"/>
      <c r="I298" s="7"/>
      <c r="J298" s="8"/>
      <c r="K298" s="9"/>
    </row>
    <row r="299">
      <c r="A299" s="6"/>
      <c r="B299" s="7"/>
      <c r="C299" s="7"/>
      <c r="D299" s="7"/>
      <c r="E299" s="7"/>
      <c r="F299" s="7"/>
      <c r="G299" s="7"/>
      <c r="H299" s="7"/>
      <c r="I299" s="7"/>
      <c r="J299" s="8"/>
      <c r="K299" s="9"/>
    </row>
    <row r="300">
      <c r="A300" s="6"/>
      <c r="B300" s="7"/>
      <c r="C300" s="7"/>
      <c r="D300" s="7"/>
      <c r="E300" s="7"/>
      <c r="F300" s="7"/>
      <c r="G300" s="7"/>
      <c r="H300" s="7"/>
      <c r="I300" s="7"/>
      <c r="J300" s="8"/>
      <c r="K300" s="9"/>
    </row>
    <row r="301">
      <c r="A301" s="6"/>
      <c r="B301" s="7"/>
      <c r="C301" s="7"/>
      <c r="D301" s="7"/>
      <c r="E301" s="7"/>
      <c r="F301" s="7"/>
      <c r="G301" s="7"/>
      <c r="H301" s="7"/>
      <c r="I301" s="7"/>
      <c r="J301" s="8"/>
      <c r="K301" s="9"/>
    </row>
    <row r="302">
      <c r="A302" s="6"/>
      <c r="B302" s="7"/>
      <c r="C302" s="7"/>
      <c r="D302" s="7"/>
      <c r="E302" s="7"/>
      <c r="F302" s="7"/>
      <c r="G302" s="7"/>
      <c r="H302" s="7"/>
      <c r="I302" s="7"/>
      <c r="J302" s="8"/>
      <c r="K302" s="9"/>
    </row>
    <row r="303">
      <c r="A303" s="6"/>
      <c r="B303" s="7"/>
      <c r="C303" s="7"/>
      <c r="D303" s="7"/>
      <c r="E303" s="7"/>
      <c r="F303" s="7"/>
      <c r="G303" s="7"/>
      <c r="H303" s="7"/>
      <c r="I303" s="7"/>
      <c r="J303" s="8"/>
      <c r="K303" s="9"/>
    </row>
    <row r="304">
      <c r="A304" s="6"/>
      <c r="B304" s="7"/>
      <c r="C304" s="7"/>
      <c r="D304" s="7"/>
      <c r="E304" s="7"/>
      <c r="F304" s="7"/>
      <c r="G304" s="7"/>
      <c r="H304" s="7"/>
      <c r="I304" s="7"/>
      <c r="J304" s="8"/>
      <c r="K304" s="9"/>
    </row>
    <row r="305">
      <c r="A305" s="6"/>
      <c r="B305" s="7"/>
      <c r="C305" s="7"/>
      <c r="D305" s="7"/>
      <c r="E305" s="7"/>
      <c r="F305" s="7"/>
      <c r="G305" s="7"/>
      <c r="H305" s="7"/>
      <c r="I305" s="7"/>
      <c r="J305" s="8"/>
      <c r="K305" s="9"/>
    </row>
    <row r="306">
      <c r="A306" s="6"/>
      <c r="B306" s="7"/>
      <c r="C306" s="7"/>
      <c r="D306" s="7"/>
      <c r="E306" s="7"/>
      <c r="F306" s="7"/>
      <c r="G306" s="7"/>
      <c r="H306" s="7"/>
      <c r="I306" s="7"/>
      <c r="J306" s="8"/>
      <c r="K306" s="9"/>
    </row>
    <row r="307">
      <c r="A307" s="6"/>
      <c r="B307" s="7"/>
      <c r="C307" s="7"/>
      <c r="D307" s="7"/>
      <c r="E307" s="7"/>
      <c r="F307" s="7"/>
      <c r="G307" s="7"/>
      <c r="H307" s="7"/>
      <c r="I307" s="7"/>
      <c r="J307" s="8"/>
      <c r="K307" s="9"/>
    </row>
    <row r="308">
      <c r="A308" s="6"/>
      <c r="B308" s="7"/>
      <c r="C308" s="7"/>
      <c r="D308" s="7"/>
      <c r="E308" s="7"/>
      <c r="F308" s="7"/>
      <c r="G308" s="7"/>
      <c r="H308" s="7"/>
      <c r="I308" s="7"/>
      <c r="J308" s="8"/>
      <c r="K308" s="9"/>
    </row>
    <row r="309">
      <c r="A309" s="6"/>
      <c r="B309" s="7"/>
      <c r="C309" s="7"/>
      <c r="D309" s="7"/>
      <c r="E309" s="7"/>
      <c r="F309" s="7"/>
      <c r="G309" s="7"/>
      <c r="H309" s="7"/>
      <c r="I309" s="7"/>
      <c r="J309" s="8"/>
      <c r="K309" s="9"/>
    </row>
    <row r="310">
      <c r="A310" s="6"/>
      <c r="B310" s="7"/>
      <c r="C310" s="7"/>
      <c r="D310" s="7"/>
      <c r="E310" s="7"/>
      <c r="F310" s="7"/>
      <c r="G310" s="7"/>
      <c r="H310" s="7"/>
      <c r="I310" s="7"/>
      <c r="J310" s="8"/>
      <c r="K310" s="9"/>
    </row>
    <row r="311">
      <c r="A311" s="6"/>
      <c r="B311" s="7"/>
      <c r="C311" s="7"/>
      <c r="D311" s="7"/>
      <c r="E311" s="7"/>
      <c r="F311" s="7"/>
      <c r="G311" s="7"/>
      <c r="H311" s="7"/>
      <c r="I311" s="7"/>
      <c r="J311" s="8"/>
      <c r="K311" s="9"/>
    </row>
    <row r="312">
      <c r="A312" s="6"/>
      <c r="B312" s="7"/>
      <c r="C312" s="7"/>
      <c r="D312" s="7"/>
      <c r="E312" s="7"/>
      <c r="F312" s="7"/>
      <c r="G312" s="7"/>
      <c r="H312" s="7"/>
      <c r="I312" s="7"/>
      <c r="J312" s="8"/>
      <c r="K312" s="9"/>
    </row>
    <row r="313">
      <c r="A313" s="6"/>
      <c r="B313" s="7"/>
      <c r="C313" s="7"/>
      <c r="D313" s="7"/>
      <c r="E313" s="7"/>
      <c r="F313" s="7"/>
      <c r="G313" s="7"/>
      <c r="H313" s="7"/>
      <c r="I313" s="7"/>
      <c r="J313" s="8"/>
      <c r="K313" s="9"/>
    </row>
    <row r="314">
      <c r="A314" s="6"/>
      <c r="B314" s="7"/>
      <c r="C314" s="7"/>
      <c r="D314" s="7"/>
      <c r="E314" s="7"/>
      <c r="F314" s="7"/>
      <c r="G314" s="7"/>
      <c r="H314" s="7"/>
      <c r="I314" s="7"/>
      <c r="J314" s="8"/>
      <c r="K314" s="9"/>
    </row>
    <row r="315">
      <c r="A315" s="6"/>
      <c r="B315" s="7"/>
      <c r="C315" s="7"/>
      <c r="D315" s="7"/>
      <c r="E315" s="7"/>
      <c r="F315" s="7"/>
      <c r="G315" s="7"/>
      <c r="H315" s="7"/>
      <c r="I315" s="7"/>
      <c r="J315" s="8"/>
      <c r="K315" s="9"/>
    </row>
    <row r="316">
      <c r="A316" s="6"/>
      <c r="B316" s="7"/>
      <c r="C316" s="7"/>
      <c r="D316" s="7"/>
      <c r="E316" s="7"/>
      <c r="F316" s="7"/>
      <c r="G316" s="7"/>
      <c r="H316" s="7"/>
      <c r="I316" s="7"/>
      <c r="J316" s="8"/>
      <c r="K316" s="9"/>
    </row>
    <row r="317">
      <c r="A317" s="6"/>
      <c r="B317" s="7"/>
      <c r="C317" s="7"/>
      <c r="D317" s="7"/>
      <c r="E317" s="7"/>
      <c r="F317" s="7"/>
      <c r="G317" s="7"/>
      <c r="H317" s="7"/>
      <c r="I317" s="7"/>
      <c r="J317" s="8"/>
      <c r="K317" s="9"/>
    </row>
    <row r="318">
      <c r="A318" s="6"/>
      <c r="B318" s="7"/>
      <c r="C318" s="7"/>
      <c r="D318" s="7"/>
      <c r="E318" s="7"/>
      <c r="F318" s="7"/>
      <c r="G318" s="7"/>
      <c r="H318" s="7"/>
      <c r="I318" s="7"/>
      <c r="J318" s="8"/>
      <c r="K318" s="9"/>
    </row>
    <row r="319">
      <c r="A319" s="6"/>
      <c r="B319" s="7"/>
      <c r="C319" s="7"/>
      <c r="D319" s="7"/>
      <c r="E319" s="7"/>
      <c r="F319" s="7"/>
      <c r="G319" s="7"/>
      <c r="H319" s="7"/>
      <c r="I319" s="7"/>
      <c r="J319" s="8"/>
      <c r="K319" s="9"/>
    </row>
    <row r="320">
      <c r="A320" s="6"/>
      <c r="B320" s="7"/>
      <c r="C320" s="7"/>
      <c r="D320" s="7"/>
      <c r="E320" s="7"/>
      <c r="F320" s="7"/>
      <c r="G320" s="7"/>
      <c r="H320" s="7"/>
      <c r="I320" s="7"/>
      <c r="J320" s="8"/>
      <c r="K320" s="9"/>
    </row>
    <row r="321">
      <c r="A321" s="6"/>
      <c r="B321" s="7"/>
      <c r="C321" s="7"/>
      <c r="D321" s="7"/>
      <c r="E321" s="7"/>
      <c r="F321" s="7"/>
      <c r="G321" s="7"/>
      <c r="H321" s="7"/>
      <c r="I321" s="7"/>
      <c r="J321" s="8"/>
      <c r="K321" s="9"/>
    </row>
    <row r="322">
      <c r="A322" s="6"/>
      <c r="B322" s="7"/>
      <c r="C322" s="7"/>
      <c r="D322" s="7"/>
      <c r="E322" s="7"/>
      <c r="F322" s="7"/>
      <c r="G322" s="7"/>
      <c r="H322" s="7"/>
      <c r="I322" s="7"/>
      <c r="J322" s="8"/>
      <c r="K322" s="9"/>
    </row>
    <row r="323">
      <c r="A323" s="6"/>
      <c r="B323" s="7"/>
      <c r="C323" s="7"/>
      <c r="D323" s="7"/>
      <c r="E323" s="7"/>
      <c r="F323" s="7"/>
      <c r="G323" s="7"/>
      <c r="H323" s="7"/>
      <c r="I323" s="7"/>
      <c r="J323" s="8"/>
      <c r="K323" s="9"/>
    </row>
    <row r="324">
      <c r="A324" s="6"/>
      <c r="B324" s="7"/>
      <c r="C324" s="7"/>
      <c r="D324" s="7"/>
      <c r="E324" s="7"/>
      <c r="F324" s="7"/>
      <c r="G324" s="7"/>
      <c r="H324" s="7"/>
      <c r="I324" s="7"/>
      <c r="J324" s="8"/>
      <c r="K324" s="9"/>
    </row>
    <row r="325">
      <c r="A325" s="6"/>
      <c r="B325" s="7"/>
      <c r="C325" s="7"/>
      <c r="D325" s="7"/>
      <c r="E325" s="7"/>
      <c r="F325" s="7"/>
      <c r="G325" s="7"/>
      <c r="H325" s="7"/>
      <c r="I325" s="7"/>
      <c r="J325" s="8"/>
      <c r="K325" s="9"/>
    </row>
    <row r="326">
      <c r="A326" s="6"/>
      <c r="B326" s="7"/>
      <c r="C326" s="7"/>
      <c r="D326" s="7"/>
      <c r="E326" s="7"/>
      <c r="F326" s="7"/>
      <c r="G326" s="7"/>
      <c r="H326" s="7"/>
      <c r="I326" s="7"/>
      <c r="J326" s="8"/>
      <c r="K326" s="9"/>
    </row>
    <row r="327">
      <c r="A327" s="6"/>
      <c r="B327" s="7"/>
      <c r="C327" s="7"/>
      <c r="D327" s="7"/>
      <c r="E327" s="7"/>
      <c r="F327" s="7"/>
      <c r="G327" s="7"/>
      <c r="H327" s="7"/>
      <c r="I327" s="7"/>
      <c r="J327" s="8"/>
      <c r="K327" s="9"/>
    </row>
    <row r="328">
      <c r="A328" s="6"/>
      <c r="B328" s="7"/>
      <c r="C328" s="7"/>
      <c r="D328" s="7"/>
      <c r="E328" s="7"/>
      <c r="F328" s="7"/>
      <c r="G328" s="7"/>
      <c r="H328" s="7"/>
      <c r="I328" s="7"/>
      <c r="J328" s="8"/>
      <c r="K328" s="9"/>
    </row>
    <row r="329">
      <c r="A329" s="6"/>
      <c r="B329" s="7"/>
      <c r="C329" s="7"/>
      <c r="D329" s="7"/>
      <c r="E329" s="7"/>
      <c r="F329" s="7"/>
      <c r="G329" s="7"/>
      <c r="H329" s="7"/>
      <c r="I329" s="7"/>
      <c r="J329" s="8"/>
      <c r="K329" s="9"/>
    </row>
    <row r="330">
      <c r="A330" s="6"/>
      <c r="B330" s="7"/>
      <c r="C330" s="7"/>
      <c r="D330" s="7"/>
      <c r="E330" s="7"/>
      <c r="F330" s="7"/>
      <c r="G330" s="7"/>
      <c r="H330" s="7"/>
      <c r="I330" s="7"/>
      <c r="J330" s="8"/>
      <c r="K330" s="9"/>
    </row>
    <row r="331">
      <c r="A331" s="6"/>
      <c r="B331" s="7"/>
      <c r="C331" s="7"/>
      <c r="D331" s="7"/>
      <c r="E331" s="7"/>
      <c r="F331" s="7"/>
      <c r="G331" s="7"/>
      <c r="H331" s="7"/>
      <c r="I331" s="7"/>
      <c r="J331" s="8"/>
      <c r="K331" s="9"/>
    </row>
    <row r="332">
      <c r="A332" s="6"/>
      <c r="B332" s="7"/>
      <c r="C332" s="7"/>
      <c r="D332" s="7"/>
      <c r="E332" s="7"/>
      <c r="F332" s="7"/>
      <c r="G332" s="7"/>
      <c r="H332" s="7"/>
      <c r="I332" s="7"/>
      <c r="J332" s="8"/>
      <c r="K332" s="9"/>
    </row>
    <row r="333">
      <c r="A333" s="6"/>
      <c r="B333" s="7"/>
      <c r="C333" s="7"/>
      <c r="D333" s="7"/>
      <c r="E333" s="7"/>
      <c r="F333" s="7"/>
      <c r="G333" s="7"/>
      <c r="H333" s="7"/>
      <c r="I333" s="7"/>
      <c r="J333" s="8"/>
      <c r="K333" s="9"/>
    </row>
    <row r="334">
      <c r="A334" s="6"/>
      <c r="B334" s="7"/>
      <c r="C334" s="7"/>
      <c r="D334" s="7"/>
      <c r="E334" s="7"/>
      <c r="F334" s="7"/>
      <c r="G334" s="7"/>
      <c r="H334" s="7"/>
      <c r="I334" s="7"/>
      <c r="J334" s="8"/>
      <c r="K334" s="9"/>
    </row>
    <row r="335">
      <c r="A335" s="6"/>
      <c r="B335" s="7"/>
      <c r="C335" s="7"/>
      <c r="D335" s="7"/>
      <c r="E335" s="7"/>
      <c r="F335" s="7"/>
      <c r="G335" s="7"/>
      <c r="H335" s="7"/>
      <c r="I335" s="7"/>
      <c r="J335" s="8"/>
      <c r="K335" s="9"/>
    </row>
    <row r="336">
      <c r="A336" s="6"/>
      <c r="B336" s="7"/>
      <c r="C336" s="7"/>
      <c r="D336" s="7"/>
      <c r="E336" s="7"/>
      <c r="F336" s="7"/>
      <c r="G336" s="7"/>
      <c r="H336" s="7"/>
      <c r="I336" s="7"/>
      <c r="J336" s="8"/>
      <c r="K336" s="9"/>
    </row>
    <row r="337">
      <c r="A337" s="6"/>
      <c r="B337" s="7"/>
      <c r="C337" s="7"/>
      <c r="D337" s="7"/>
      <c r="E337" s="7"/>
      <c r="F337" s="7"/>
      <c r="G337" s="7"/>
      <c r="H337" s="7"/>
      <c r="I337" s="7"/>
      <c r="J337" s="8"/>
      <c r="K337" s="9"/>
    </row>
    <row r="338">
      <c r="A338" s="6"/>
      <c r="B338" s="7"/>
      <c r="C338" s="7"/>
      <c r="D338" s="7"/>
      <c r="E338" s="7"/>
      <c r="F338" s="7"/>
      <c r="G338" s="7"/>
      <c r="H338" s="7"/>
      <c r="I338" s="7"/>
      <c r="J338" s="8"/>
      <c r="K338" s="9"/>
    </row>
    <row r="339">
      <c r="A339" s="6"/>
      <c r="B339" s="7"/>
      <c r="C339" s="7"/>
      <c r="D339" s="7"/>
      <c r="E339" s="7"/>
      <c r="F339" s="7"/>
      <c r="G339" s="7"/>
      <c r="H339" s="7"/>
      <c r="I339" s="7"/>
      <c r="J339" s="8"/>
      <c r="K339" s="9"/>
    </row>
    <row r="340">
      <c r="A340" s="6"/>
      <c r="B340" s="7"/>
      <c r="C340" s="7"/>
      <c r="D340" s="7"/>
      <c r="E340" s="7"/>
      <c r="F340" s="7"/>
      <c r="G340" s="7"/>
      <c r="H340" s="7"/>
      <c r="I340" s="7"/>
      <c r="J340" s="8"/>
      <c r="K340" s="9"/>
    </row>
    <row r="341">
      <c r="A341" s="6"/>
      <c r="B341" s="7"/>
      <c r="C341" s="7"/>
      <c r="D341" s="7"/>
      <c r="E341" s="7"/>
      <c r="F341" s="7"/>
      <c r="G341" s="7"/>
      <c r="H341" s="7"/>
      <c r="I341" s="7"/>
      <c r="J341" s="8"/>
      <c r="K341" s="9"/>
    </row>
    <row r="342">
      <c r="A342" s="6"/>
      <c r="B342" s="7"/>
      <c r="C342" s="7"/>
      <c r="D342" s="7"/>
      <c r="E342" s="7"/>
      <c r="F342" s="7"/>
      <c r="G342" s="7"/>
      <c r="H342" s="7"/>
      <c r="I342" s="7"/>
      <c r="J342" s="8"/>
      <c r="K342" s="9"/>
    </row>
    <row r="343">
      <c r="A343" s="6"/>
      <c r="B343" s="7"/>
      <c r="C343" s="7"/>
      <c r="D343" s="7"/>
      <c r="E343" s="7"/>
      <c r="F343" s="7"/>
      <c r="G343" s="7"/>
      <c r="H343" s="7"/>
      <c r="I343" s="7"/>
      <c r="J343" s="8"/>
      <c r="K343" s="9"/>
    </row>
    <row r="344">
      <c r="A344" s="6"/>
      <c r="B344" s="7"/>
      <c r="C344" s="7"/>
      <c r="D344" s="7"/>
      <c r="E344" s="7"/>
      <c r="F344" s="7"/>
      <c r="G344" s="7"/>
      <c r="H344" s="7"/>
      <c r="I344" s="7"/>
      <c r="J344" s="8"/>
      <c r="K344" s="9"/>
    </row>
    <row r="345">
      <c r="A345" s="6"/>
      <c r="B345" s="7"/>
      <c r="C345" s="7"/>
      <c r="D345" s="7"/>
      <c r="E345" s="7"/>
      <c r="F345" s="7"/>
      <c r="G345" s="7"/>
      <c r="H345" s="7"/>
      <c r="I345" s="7"/>
      <c r="J345" s="8"/>
      <c r="K345" s="9"/>
    </row>
    <row r="346">
      <c r="A346" s="6"/>
      <c r="B346" s="7"/>
      <c r="C346" s="7"/>
      <c r="D346" s="7"/>
      <c r="E346" s="7"/>
      <c r="F346" s="7"/>
      <c r="G346" s="7"/>
      <c r="H346" s="7"/>
      <c r="I346" s="7"/>
      <c r="J346" s="8"/>
      <c r="K346" s="9"/>
    </row>
    <row r="347">
      <c r="A347" s="6"/>
      <c r="B347" s="7"/>
      <c r="C347" s="7"/>
      <c r="D347" s="7"/>
      <c r="E347" s="7"/>
      <c r="F347" s="7"/>
      <c r="G347" s="7"/>
      <c r="H347" s="7"/>
      <c r="I347" s="7"/>
      <c r="J347" s="8"/>
      <c r="K347" s="9"/>
    </row>
    <row r="348">
      <c r="A348" s="6"/>
      <c r="B348" s="7"/>
      <c r="C348" s="7"/>
      <c r="D348" s="7"/>
      <c r="E348" s="7"/>
      <c r="F348" s="7"/>
      <c r="G348" s="7"/>
      <c r="H348" s="7"/>
      <c r="I348" s="7"/>
      <c r="J348" s="8"/>
      <c r="K348" s="9"/>
    </row>
    <row r="349">
      <c r="A349" s="6"/>
      <c r="B349" s="7"/>
      <c r="C349" s="7"/>
      <c r="D349" s="7"/>
      <c r="E349" s="7"/>
      <c r="F349" s="7"/>
      <c r="G349" s="7"/>
      <c r="H349" s="7"/>
      <c r="I349" s="7"/>
      <c r="J349" s="8"/>
      <c r="K349" s="9"/>
    </row>
    <row r="350">
      <c r="A350" s="6"/>
      <c r="B350" s="7"/>
      <c r="C350" s="7"/>
      <c r="D350" s="7"/>
      <c r="E350" s="7"/>
      <c r="F350" s="7"/>
      <c r="G350" s="7"/>
      <c r="H350" s="7"/>
      <c r="I350" s="7"/>
      <c r="J350" s="8"/>
      <c r="K350" s="9"/>
    </row>
    <row r="351">
      <c r="A351" s="6"/>
      <c r="B351" s="7"/>
      <c r="C351" s="7"/>
      <c r="D351" s="7"/>
      <c r="E351" s="7"/>
      <c r="F351" s="7"/>
      <c r="G351" s="7"/>
      <c r="H351" s="7"/>
      <c r="I351" s="7"/>
      <c r="J351" s="8"/>
      <c r="K351" s="9"/>
    </row>
    <row r="352">
      <c r="A352" s="6"/>
      <c r="B352" s="7"/>
      <c r="C352" s="7"/>
      <c r="D352" s="7"/>
      <c r="E352" s="7"/>
      <c r="F352" s="7"/>
      <c r="G352" s="7"/>
      <c r="H352" s="7"/>
      <c r="I352" s="7"/>
      <c r="J352" s="8"/>
      <c r="K352" s="9"/>
    </row>
    <row r="353">
      <c r="A353" s="6"/>
      <c r="B353" s="7"/>
      <c r="C353" s="7"/>
      <c r="D353" s="7"/>
      <c r="E353" s="7"/>
      <c r="F353" s="7"/>
      <c r="G353" s="7"/>
      <c r="H353" s="7"/>
      <c r="I353" s="7"/>
      <c r="J353" s="8"/>
      <c r="K353" s="9"/>
    </row>
    <row r="354">
      <c r="A354" s="6"/>
      <c r="B354" s="7"/>
      <c r="C354" s="7"/>
      <c r="D354" s="7"/>
      <c r="E354" s="7"/>
      <c r="F354" s="7"/>
      <c r="G354" s="7"/>
      <c r="H354" s="7"/>
      <c r="I354" s="7"/>
      <c r="J354" s="8"/>
      <c r="K354" s="9"/>
    </row>
    <row r="355">
      <c r="A355" s="6"/>
      <c r="B355" s="7"/>
      <c r="C355" s="7"/>
      <c r="D355" s="7"/>
      <c r="E355" s="7"/>
      <c r="F355" s="7"/>
      <c r="G355" s="7"/>
      <c r="H355" s="7"/>
      <c r="I355" s="7"/>
      <c r="J355" s="8"/>
      <c r="K355" s="9"/>
    </row>
    <row r="356">
      <c r="A356" s="6"/>
      <c r="B356" s="7"/>
      <c r="C356" s="7"/>
      <c r="D356" s="7"/>
      <c r="E356" s="7"/>
      <c r="F356" s="7"/>
      <c r="G356" s="7"/>
      <c r="H356" s="7"/>
      <c r="I356" s="7"/>
      <c r="J356" s="8"/>
      <c r="K356" s="9"/>
    </row>
    <row r="357">
      <c r="A357" s="6"/>
      <c r="B357" s="7"/>
      <c r="C357" s="7"/>
      <c r="D357" s="7"/>
      <c r="E357" s="7"/>
      <c r="F357" s="7"/>
      <c r="G357" s="7"/>
      <c r="H357" s="7"/>
      <c r="I357" s="7"/>
      <c r="J357" s="8"/>
      <c r="K357" s="9"/>
    </row>
    <row r="358">
      <c r="A358" s="6"/>
      <c r="B358" s="7"/>
      <c r="C358" s="7"/>
      <c r="D358" s="7"/>
      <c r="E358" s="7"/>
      <c r="F358" s="7"/>
      <c r="G358" s="7"/>
      <c r="H358" s="7"/>
      <c r="I358" s="7"/>
      <c r="J358" s="8"/>
      <c r="K358" s="9"/>
    </row>
    <row r="359">
      <c r="A359" s="6"/>
      <c r="B359" s="7"/>
      <c r="C359" s="7"/>
      <c r="D359" s="7"/>
      <c r="E359" s="7"/>
      <c r="F359" s="7"/>
      <c r="G359" s="7"/>
      <c r="H359" s="7"/>
      <c r="I359" s="7"/>
      <c r="J359" s="8"/>
      <c r="K359" s="9"/>
    </row>
    <row r="360">
      <c r="A360" s="6"/>
      <c r="B360" s="7"/>
      <c r="C360" s="7"/>
      <c r="D360" s="7"/>
      <c r="E360" s="7"/>
      <c r="F360" s="7"/>
      <c r="G360" s="7"/>
      <c r="H360" s="7"/>
      <c r="I360" s="7"/>
      <c r="J360" s="8"/>
      <c r="K360" s="9"/>
    </row>
    <row r="361">
      <c r="A361" s="6"/>
      <c r="B361" s="7"/>
      <c r="C361" s="7"/>
      <c r="D361" s="7"/>
      <c r="E361" s="7"/>
      <c r="F361" s="7"/>
      <c r="G361" s="7"/>
      <c r="H361" s="7"/>
      <c r="I361" s="7"/>
      <c r="J361" s="8"/>
      <c r="K361" s="9"/>
    </row>
    <row r="362">
      <c r="A362" s="6"/>
      <c r="B362" s="7"/>
      <c r="C362" s="7"/>
      <c r="D362" s="7"/>
      <c r="E362" s="7"/>
      <c r="F362" s="7"/>
      <c r="G362" s="7"/>
      <c r="H362" s="7"/>
      <c r="I362" s="7"/>
      <c r="J362" s="8"/>
      <c r="K362" s="9"/>
    </row>
    <row r="363">
      <c r="A363" s="6"/>
      <c r="B363" s="7"/>
      <c r="C363" s="7"/>
      <c r="D363" s="7"/>
      <c r="E363" s="7"/>
      <c r="F363" s="7"/>
      <c r="G363" s="7"/>
      <c r="H363" s="7"/>
      <c r="I363" s="7"/>
      <c r="J363" s="8"/>
      <c r="K363" s="9"/>
    </row>
    <row r="364">
      <c r="A364" s="6"/>
      <c r="B364" s="7"/>
      <c r="C364" s="7"/>
      <c r="D364" s="7"/>
      <c r="E364" s="7"/>
      <c r="F364" s="7"/>
      <c r="G364" s="7"/>
      <c r="H364" s="7"/>
      <c r="I364" s="7"/>
      <c r="J364" s="8"/>
      <c r="K364" s="9"/>
    </row>
    <row r="365">
      <c r="A365" s="6"/>
      <c r="B365" s="7"/>
      <c r="C365" s="7"/>
      <c r="D365" s="7"/>
      <c r="E365" s="7"/>
      <c r="F365" s="7"/>
      <c r="G365" s="7"/>
      <c r="H365" s="7"/>
      <c r="I365" s="7"/>
      <c r="J365" s="8"/>
      <c r="K365" s="9"/>
    </row>
    <row r="366">
      <c r="A366" s="6"/>
      <c r="B366" s="7"/>
      <c r="C366" s="7"/>
      <c r="D366" s="7"/>
      <c r="E366" s="7"/>
      <c r="F366" s="7"/>
      <c r="G366" s="7"/>
      <c r="H366" s="7"/>
      <c r="I366" s="7"/>
      <c r="J366" s="8"/>
      <c r="K366" s="9"/>
    </row>
    <row r="367">
      <c r="A367" s="6"/>
      <c r="B367" s="7"/>
      <c r="C367" s="7"/>
      <c r="D367" s="7"/>
      <c r="E367" s="7"/>
      <c r="F367" s="7"/>
      <c r="G367" s="7"/>
      <c r="H367" s="7"/>
      <c r="I367" s="7"/>
      <c r="J367" s="8"/>
      <c r="K367" s="9"/>
    </row>
    <row r="368">
      <c r="A368" s="6"/>
      <c r="B368" s="7"/>
      <c r="C368" s="7"/>
      <c r="D368" s="7"/>
      <c r="E368" s="7"/>
      <c r="F368" s="7"/>
      <c r="G368" s="7"/>
      <c r="H368" s="7"/>
      <c r="I368" s="7"/>
      <c r="J368" s="8"/>
      <c r="K368" s="9"/>
    </row>
    <row r="369">
      <c r="A369" s="6"/>
      <c r="B369" s="7"/>
      <c r="C369" s="7"/>
      <c r="D369" s="7"/>
      <c r="E369" s="7"/>
      <c r="F369" s="7"/>
      <c r="G369" s="7"/>
      <c r="H369" s="7"/>
      <c r="I369" s="7"/>
      <c r="J369" s="8"/>
      <c r="K369" s="9"/>
    </row>
    <row r="370">
      <c r="A370" s="6"/>
      <c r="B370" s="7"/>
      <c r="C370" s="7"/>
      <c r="D370" s="7"/>
      <c r="E370" s="7"/>
      <c r="F370" s="7"/>
      <c r="G370" s="7"/>
      <c r="H370" s="7"/>
      <c r="I370" s="7"/>
      <c r="J370" s="8"/>
      <c r="K370" s="9"/>
    </row>
    <row r="371">
      <c r="A371" s="6"/>
      <c r="B371" s="7"/>
      <c r="C371" s="7"/>
      <c r="D371" s="7"/>
      <c r="E371" s="7"/>
      <c r="F371" s="7"/>
      <c r="G371" s="7"/>
      <c r="H371" s="7"/>
      <c r="I371" s="7"/>
      <c r="J371" s="8"/>
      <c r="K371" s="9"/>
    </row>
    <row r="372">
      <c r="A372" s="6"/>
      <c r="B372" s="7"/>
      <c r="C372" s="7"/>
      <c r="D372" s="7"/>
      <c r="E372" s="7"/>
      <c r="F372" s="7"/>
      <c r="G372" s="7"/>
      <c r="H372" s="7"/>
      <c r="I372" s="7"/>
      <c r="J372" s="8"/>
      <c r="K372" s="9"/>
    </row>
    <row r="373">
      <c r="A373" s="6"/>
      <c r="B373" s="7"/>
      <c r="C373" s="7"/>
      <c r="D373" s="7"/>
      <c r="E373" s="7"/>
      <c r="F373" s="7"/>
      <c r="G373" s="7"/>
      <c r="H373" s="7"/>
      <c r="I373" s="7"/>
      <c r="J373" s="8"/>
      <c r="K373" s="9"/>
    </row>
    <row r="374">
      <c r="A374" s="6"/>
      <c r="B374" s="7"/>
      <c r="C374" s="7"/>
      <c r="D374" s="7"/>
      <c r="E374" s="7"/>
      <c r="F374" s="7"/>
      <c r="G374" s="7"/>
      <c r="H374" s="7"/>
      <c r="I374" s="7"/>
      <c r="J374" s="8"/>
      <c r="K374" s="9"/>
    </row>
    <row r="375">
      <c r="A375" s="6"/>
      <c r="B375" s="7"/>
      <c r="C375" s="7"/>
      <c r="D375" s="7"/>
      <c r="E375" s="7"/>
      <c r="F375" s="7"/>
      <c r="G375" s="7"/>
      <c r="H375" s="7"/>
      <c r="I375" s="7"/>
      <c r="J375" s="8"/>
      <c r="K375" s="9"/>
    </row>
    <row r="376">
      <c r="A376" s="6"/>
      <c r="B376" s="7"/>
      <c r="C376" s="7"/>
      <c r="D376" s="7"/>
      <c r="E376" s="7"/>
      <c r="F376" s="7"/>
      <c r="G376" s="7"/>
      <c r="H376" s="7"/>
      <c r="I376" s="7"/>
      <c r="J376" s="8"/>
      <c r="K376" s="9"/>
    </row>
    <row r="377">
      <c r="A377" s="6"/>
      <c r="B377" s="7"/>
      <c r="C377" s="7"/>
      <c r="D377" s="7"/>
      <c r="E377" s="7"/>
      <c r="F377" s="7"/>
      <c r="G377" s="7"/>
      <c r="H377" s="7"/>
      <c r="I377" s="7"/>
      <c r="J377" s="8"/>
      <c r="K377" s="9"/>
    </row>
    <row r="378">
      <c r="A378" s="6"/>
      <c r="B378" s="7"/>
      <c r="C378" s="7"/>
      <c r="D378" s="7"/>
      <c r="E378" s="7"/>
      <c r="F378" s="7"/>
      <c r="G378" s="7"/>
      <c r="H378" s="7"/>
      <c r="I378" s="7"/>
      <c r="J378" s="8"/>
      <c r="K378" s="9"/>
    </row>
    <row r="379">
      <c r="A379" s="6"/>
      <c r="B379" s="7"/>
      <c r="C379" s="7"/>
      <c r="D379" s="7"/>
      <c r="E379" s="7"/>
      <c r="F379" s="7"/>
      <c r="G379" s="7"/>
      <c r="H379" s="7"/>
      <c r="I379" s="7"/>
      <c r="J379" s="8"/>
      <c r="K379" s="9"/>
    </row>
    <row r="380">
      <c r="A380" s="6"/>
      <c r="B380" s="7"/>
      <c r="C380" s="7"/>
      <c r="D380" s="7"/>
      <c r="E380" s="7"/>
      <c r="F380" s="7"/>
      <c r="G380" s="7"/>
      <c r="H380" s="7"/>
      <c r="I380" s="7"/>
      <c r="J380" s="8"/>
      <c r="K380" s="9"/>
    </row>
    <row r="381">
      <c r="A381" s="6"/>
      <c r="B381" s="7"/>
      <c r="C381" s="7"/>
      <c r="D381" s="7"/>
      <c r="E381" s="7"/>
      <c r="F381" s="7"/>
      <c r="G381" s="7"/>
      <c r="H381" s="7"/>
      <c r="I381" s="7"/>
      <c r="J381" s="8"/>
      <c r="K381" s="9"/>
    </row>
    <row r="382">
      <c r="A382" s="6"/>
      <c r="B382" s="7"/>
      <c r="C382" s="7"/>
      <c r="D382" s="7"/>
      <c r="E382" s="7"/>
      <c r="F382" s="7"/>
      <c r="G382" s="7"/>
      <c r="H382" s="7"/>
      <c r="I382" s="7"/>
      <c r="J382" s="8"/>
      <c r="K382" s="9"/>
    </row>
    <row r="383">
      <c r="A383" s="6"/>
      <c r="B383" s="7"/>
      <c r="C383" s="7"/>
      <c r="D383" s="7"/>
      <c r="E383" s="7"/>
      <c r="F383" s="7"/>
      <c r="G383" s="7"/>
      <c r="H383" s="7"/>
      <c r="I383" s="7"/>
      <c r="J383" s="8"/>
      <c r="K383" s="9"/>
    </row>
    <row r="384">
      <c r="A384" s="6"/>
      <c r="B384" s="7"/>
      <c r="C384" s="7"/>
      <c r="D384" s="7"/>
      <c r="E384" s="7"/>
      <c r="F384" s="7"/>
      <c r="G384" s="7"/>
      <c r="H384" s="7"/>
      <c r="I384" s="7"/>
      <c r="J384" s="8"/>
      <c r="K384" s="9"/>
    </row>
    <row r="385">
      <c r="A385" s="6"/>
      <c r="B385" s="7"/>
      <c r="C385" s="7"/>
      <c r="D385" s="7"/>
      <c r="E385" s="7"/>
      <c r="F385" s="7"/>
      <c r="G385" s="7"/>
      <c r="H385" s="7"/>
      <c r="I385" s="7"/>
      <c r="J385" s="8"/>
      <c r="K385" s="9"/>
    </row>
    <row r="386">
      <c r="A386" s="6"/>
      <c r="B386" s="7"/>
      <c r="C386" s="7"/>
      <c r="D386" s="7"/>
      <c r="E386" s="7"/>
      <c r="F386" s="7"/>
      <c r="G386" s="7"/>
      <c r="H386" s="7"/>
      <c r="I386" s="7"/>
      <c r="J386" s="8"/>
      <c r="K386" s="9"/>
    </row>
    <row r="387">
      <c r="A387" s="6"/>
      <c r="B387" s="7"/>
      <c r="C387" s="7"/>
      <c r="D387" s="7"/>
      <c r="E387" s="7"/>
      <c r="F387" s="7"/>
      <c r="G387" s="7"/>
      <c r="H387" s="7"/>
      <c r="I387" s="7"/>
      <c r="J387" s="8"/>
      <c r="K387" s="9"/>
    </row>
    <row r="388">
      <c r="A388" s="6"/>
      <c r="B388" s="7"/>
      <c r="C388" s="7"/>
      <c r="D388" s="7"/>
      <c r="E388" s="7"/>
      <c r="F388" s="7"/>
      <c r="G388" s="7"/>
      <c r="H388" s="7"/>
      <c r="I388" s="7"/>
      <c r="J388" s="8"/>
      <c r="K388" s="9"/>
    </row>
    <row r="389">
      <c r="A389" s="6"/>
      <c r="B389" s="7"/>
      <c r="C389" s="7"/>
      <c r="D389" s="7"/>
      <c r="E389" s="7"/>
      <c r="F389" s="7"/>
      <c r="G389" s="7"/>
      <c r="H389" s="7"/>
      <c r="I389" s="7"/>
      <c r="J389" s="8"/>
      <c r="K389" s="9"/>
    </row>
    <row r="390">
      <c r="A390" s="6"/>
      <c r="B390" s="7"/>
      <c r="C390" s="7"/>
      <c r="D390" s="7"/>
      <c r="E390" s="7"/>
      <c r="F390" s="7"/>
      <c r="G390" s="7"/>
      <c r="H390" s="7"/>
      <c r="I390" s="7"/>
      <c r="J390" s="8"/>
      <c r="K390" s="9"/>
    </row>
    <row r="391">
      <c r="A391" s="6"/>
      <c r="B391" s="7"/>
      <c r="C391" s="7"/>
      <c r="D391" s="7"/>
      <c r="E391" s="7"/>
      <c r="F391" s="7"/>
      <c r="G391" s="7"/>
      <c r="H391" s="7"/>
      <c r="I391" s="7"/>
      <c r="J391" s="8"/>
      <c r="K391" s="9"/>
    </row>
    <row r="392">
      <c r="A392" s="6"/>
      <c r="B392" s="7"/>
      <c r="C392" s="7"/>
      <c r="D392" s="7"/>
      <c r="E392" s="7"/>
      <c r="F392" s="7"/>
      <c r="G392" s="7"/>
      <c r="H392" s="7"/>
      <c r="I392" s="7"/>
      <c r="J392" s="8"/>
      <c r="K392" s="9"/>
    </row>
    <row r="393">
      <c r="A393" s="6"/>
      <c r="B393" s="7"/>
      <c r="C393" s="7"/>
      <c r="D393" s="7"/>
      <c r="E393" s="7"/>
      <c r="F393" s="7"/>
      <c r="G393" s="7"/>
      <c r="H393" s="7"/>
      <c r="I393" s="7"/>
      <c r="J393" s="8"/>
      <c r="K393" s="9"/>
    </row>
    <row r="394">
      <c r="A394" s="6"/>
      <c r="B394" s="7"/>
      <c r="C394" s="7"/>
      <c r="D394" s="7"/>
      <c r="E394" s="7"/>
      <c r="F394" s="7"/>
      <c r="G394" s="7"/>
      <c r="H394" s="7"/>
      <c r="I394" s="7"/>
      <c r="J394" s="8"/>
      <c r="K394" s="9"/>
    </row>
    <row r="395">
      <c r="A395" s="6"/>
      <c r="B395" s="7"/>
      <c r="C395" s="7"/>
      <c r="D395" s="7"/>
      <c r="E395" s="7"/>
      <c r="F395" s="7"/>
      <c r="G395" s="7"/>
      <c r="H395" s="7"/>
      <c r="I395" s="7"/>
      <c r="J395" s="8"/>
      <c r="K395" s="9"/>
    </row>
    <row r="396">
      <c r="A396" s="6"/>
      <c r="B396" s="7"/>
      <c r="C396" s="7"/>
      <c r="D396" s="7"/>
      <c r="E396" s="7"/>
      <c r="F396" s="7"/>
      <c r="G396" s="7"/>
      <c r="H396" s="7"/>
      <c r="I396" s="7"/>
      <c r="J396" s="8"/>
      <c r="K396" s="9"/>
    </row>
    <row r="397">
      <c r="A397" s="6"/>
      <c r="B397" s="7"/>
      <c r="C397" s="7"/>
      <c r="D397" s="7"/>
      <c r="E397" s="7"/>
      <c r="F397" s="7"/>
      <c r="G397" s="7"/>
      <c r="H397" s="7"/>
      <c r="I397" s="7"/>
      <c r="J397" s="8"/>
      <c r="K397" s="9"/>
    </row>
    <row r="398">
      <c r="A398" s="6"/>
      <c r="B398" s="7"/>
      <c r="C398" s="7"/>
      <c r="D398" s="7"/>
      <c r="E398" s="7"/>
      <c r="F398" s="7"/>
      <c r="G398" s="7"/>
      <c r="H398" s="7"/>
      <c r="I398" s="7"/>
      <c r="J398" s="8"/>
      <c r="K398" s="9"/>
    </row>
    <row r="399">
      <c r="A399" s="6"/>
      <c r="B399" s="7"/>
      <c r="C399" s="7"/>
      <c r="D399" s="7"/>
      <c r="E399" s="7"/>
      <c r="F399" s="7"/>
      <c r="G399" s="7"/>
      <c r="H399" s="7"/>
      <c r="I399" s="7"/>
      <c r="J399" s="8"/>
      <c r="K399" s="9"/>
    </row>
    <row r="400">
      <c r="A400" s="6"/>
      <c r="B400" s="7"/>
      <c r="C400" s="7"/>
      <c r="D400" s="7"/>
      <c r="E400" s="7"/>
      <c r="F400" s="7"/>
      <c r="G400" s="7"/>
      <c r="H400" s="7"/>
      <c r="I400" s="7"/>
      <c r="J400" s="8"/>
      <c r="K400" s="9"/>
    </row>
    <row r="401">
      <c r="A401" s="6"/>
      <c r="B401" s="7"/>
      <c r="C401" s="7"/>
      <c r="D401" s="7"/>
      <c r="E401" s="7"/>
      <c r="F401" s="7"/>
      <c r="G401" s="7"/>
      <c r="H401" s="7"/>
      <c r="I401" s="7"/>
      <c r="J401" s="8"/>
      <c r="K401" s="9"/>
    </row>
    <row r="402">
      <c r="A402" s="6"/>
      <c r="B402" s="7"/>
      <c r="C402" s="7"/>
      <c r="D402" s="7"/>
      <c r="E402" s="7"/>
      <c r="F402" s="7"/>
      <c r="G402" s="7"/>
      <c r="H402" s="7"/>
      <c r="I402" s="7"/>
      <c r="J402" s="8"/>
      <c r="K402" s="9"/>
    </row>
    <row r="403">
      <c r="A403" s="6"/>
      <c r="B403" s="7"/>
      <c r="C403" s="7"/>
      <c r="D403" s="7"/>
      <c r="E403" s="7"/>
      <c r="F403" s="7"/>
      <c r="G403" s="7"/>
      <c r="H403" s="7"/>
      <c r="I403" s="7"/>
      <c r="J403" s="8"/>
      <c r="K403" s="9"/>
    </row>
    <row r="404">
      <c r="A404" s="6"/>
      <c r="B404" s="7"/>
      <c r="C404" s="7"/>
      <c r="D404" s="7"/>
      <c r="E404" s="7"/>
      <c r="F404" s="7"/>
      <c r="G404" s="7"/>
      <c r="H404" s="7"/>
      <c r="I404" s="7"/>
      <c r="J404" s="8"/>
      <c r="K404" s="9"/>
    </row>
    <row r="405">
      <c r="A405" s="6"/>
      <c r="B405" s="7"/>
      <c r="C405" s="7"/>
      <c r="D405" s="7"/>
      <c r="E405" s="7"/>
      <c r="F405" s="7"/>
      <c r="G405" s="7"/>
      <c r="H405" s="7"/>
      <c r="I405" s="7"/>
      <c r="J405" s="8"/>
      <c r="K405" s="9"/>
    </row>
    <row r="406">
      <c r="A406" s="6"/>
      <c r="B406" s="7"/>
      <c r="C406" s="7"/>
      <c r="D406" s="7"/>
      <c r="E406" s="7"/>
      <c r="F406" s="7"/>
      <c r="G406" s="7"/>
      <c r="H406" s="7"/>
      <c r="I406" s="7"/>
      <c r="J406" s="8"/>
      <c r="K406" s="9"/>
    </row>
    <row r="407">
      <c r="A407" s="6"/>
      <c r="B407" s="7"/>
      <c r="C407" s="7"/>
      <c r="D407" s="7"/>
      <c r="E407" s="7"/>
      <c r="F407" s="7"/>
      <c r="G407" s="7"/>
      <c r="H407" s="7"/>
      <c r="I407" s="7"/>
      <c r="J407" s="8"/>
      <c r="K407" s="9"/>
    </row>
    <row r="408">
      <c r="A408" s="6"/>
      <c r="B408" s="7"/>
      <c r="C408" s="7"/>
      <c r="D408" s="7"/>
      <c r="E408" s="7"/>
      <c r="F408" s="7"/>
      <c r="G408" s="7"/>
      <c r="H408" s="7"/>
      <c r="I408" s="7"/>
      <c r="J408" s="8"/>
      <c r="K408" s="9"/>
    </row>
    <row r="409">
      <c r="A409" s="6"/>
      <c r="B409" s="7"/>
      <c r="C409" s="7"/>
      <c r="D409" s="7"/>
      <c r="E409" s="7"/>
      <c r="F409" s="7"/>
      <c r="G409" s="7"/>
      <c r="H409" s="7"/>
      <c r="I409" s="7"/>
      <c r="J409" s="8"/>
      <c r="K409" s="9"/>
    </row>
    <row r="410">
      <c r="A410" s="6"/>
      <c r="B410" s="7"/>
      <c r="C410" s="7"/>
      <c r="D410" s="7"/>
      <c r="E410" s="7"/>
      <c r="F410" s="7"/>
      <c r="G410" s="7"/>
      <c r="H410" s="7"/>
      <c r="I410" s="7"/>
      <c r="J410" s="8"/>
      <c r="K410" s="9"/>
    </row>
    <row r="411">
      <c r="A411" s="6"/>
      <c r="B411" s="7"/>
      <c r="C411" s="7"/>
      <c r="D411" s="7"/>
      <c r="E411" s="7"/>
      <c r="F411" s="7"/>
      <c r="G411" s="7"/>
      <c r="H411" s="7"/>
      <c r="I411" s="7"/>
      <c r="J411" s="8"/>
      <c r="K411" s="9"/>
    </row>
    <row r="412">
      <c r="A412" s="6"/>
      <c r="B412" s="7"/>
      <c r="C412" s="7"/>
      <c r="D412" s="7"/>
      <c r="E412" s="7"/>
      <c r="F412" s="7"/>
      <c r="G412" s="7"/>
      <c r="H412" s="7"/>
      <c r="I412" s="7"/>
      <c r="J412" s="8"/>
      <c r="K412" s="9"/>
    </row>
    <row r="413">
      <c r="A413" s="6"/>
      <c r="B413" s="7"/>
      <c r="C413" s="7"/>
      <c r="D413" s="7"/>
      <c r="E413" s="7"/>
      <c r="F413" s="7"/>
      <c r="G413" s="7"/>
      <c r="H413" s="7"/>
      <c r="I413" s="7"/>
      <c r="J413" s="8"/>
      <c r="K413" s="9"/>
    </row>
    <row r="414">
      <c r="A414" s="6"/>
      <c r="B414" s="7"/>
      <c r="C414" s="7"/>
      <c r="D414" s="7"/>
      <c r="E414" s="7"/>
      <c r="F414" s="7"/>
      <c r="G414" s="7"/>
      <c r="H414" s="7"/>
      <c r="I414" s="7"/>
      <c r="J414" s="8"/>
      <c r="K414" s="9"/>
    </row>
    <row r="415">
      <c r="A415" s="6"/>
      <c r="B415" s="7"/>
      <c r="C415" s="7"/>
      <c r="D415" s="7"/>
      <c r="E415" s="7"/>
      <c r="F415" s="7"/>
      <c r="G415" s="7"/>
      <c r="H415" s="7"/>
      <c r="I415" s="7"/>
      <c r="J415" s="8"/>
      <c r="K415" s="9"/>
    </row>
    <row r="416">
      <c r="A416" s="6"/>
      <c r="B416" s="7"/>
      <c r="C416" s="7"/>
      <c r="D416" s="7"/>
      <c r="E416" s="7"/>
      <c r="F416" s="7"/>
      <c r="G416" s="7"/>
      <c r="H416" s="7"/>
      <c r="I416" s="7"/>
      <c r="J416" s="8"/>
      <c r="K416" s="9"/>
    </row>
    <row r="417">
      <c r="A417" s="6"/>
      <c r="B417" s="7"/>
      <c r="C417" s="7"/>
      <c r="D417" s="7"/>
      <c r="E417" s="7"/>
      <c r="F417" s="7"/>
      <c r="G417" s="7"/>
      <c r="H417" s="7"/>
      <c r="I417" s="7"/>
      <c r="J417" s="8"/>
      <c r="K417" s="9"/>
    </row>
    <row r="418">
      <c r="A418" s="6"/>
      <c r="B418" s="7"/>
      <c r="C418" s="7"/>
      <c r="D418" s="7"/>
      <c r="E418" s="7"/>
      <c r="F418" s="7"/>
      <c r="G418" s="7"/>
      <c r="H418" s="7"/>
      <c r="I418" s="7"/>
      <c r="J418" s="8"/>
      <c r="K418" s="9"/>
    </row>
    <row r="419">
      <c r="A419" s="6"/>
      <c r="B419" s="7"/>
      <c r="C419" s="7"/>
      <c r="D419" s="7"/>
      <c r="E419" s="7"/>
      <c r="F419" s="7"/>
      <c r="G419" s="7"/>
      <c r="H419" s="7"/>
      <c r="I419" s="7"/>
      <c r="J419" s="8"/>
      <c r="K419" s="9"/>
    </row>
    <row r="420">
      <c r="A420" s="6"/>
      <c r="B420" s="7"/>
      <c r="C420" s="7"/>
      <c r="D420" s="7"/>
      <c r="E420" s="7"/>
      <c r="F420" s="7"/>
      <c r="G420" s="7"/>
      <c r="H420" s="7"/>
      <c r="I420" s="7"/>
      <c r="J420" s="8"/>
      <c r="K420" s="9"/>
    </row>
    <row r="421">
      <c r="A421" s="6"/>
      <c r="B421" s="7"/>
      <c r="C421" s="7"/>
      <c r="D421" s="7"/>
      <c r="E421" s="7"/>
      <c r="F421" s="7"/>
      <c r="G421" s="7"/>
      <c r="H421" s="7"/>
      <c r="I421" s="7"/>
      <c r="J421" s="8"/>
      <c r="K421" s="9"/>
    </row>
    <row r="422">
      <c r="A422" s="6"/>
      <c r="B422" s="7"/>
      <c r="C422" s="7"/>
      <c r="D422" s="7"/>
      <c r="E422" s="7"/>
      <c r="F422" s="7"/>
      <c r="G422" s="7"/>
      <c r="H422" s="7"/>
      <c r="I422" s="7"/>
      <c r="J422" s="8"/>
      <c r="K422" s="9"/>
    </row>
    <row r="423">
      <c r="A423" s="6"/>
      <c r="B423" s="7"/>
      <c r="C423" s="7"/>
      <c r="D423" s="7"/>
      <c r="E423" s="7"/>
      <c r="F423" s="7"/>
      <c r="G423" s="7"/>
      <c r="H423" s="7"/>
      <c r="I423" s="7"/>
      <c r="J423" s="8"/>
      <c r="K423" s="9"/>
    </row>
    <row r="424">
      <c r="A424" s="6"/>
      <c r="B424" s="7"/>
      <c r="C424" s="7"/>
      <c r="D424" s="7"/>
      <c r="E424" s="7"/>
      <c r="F424" s="7"/>
      <c r="G424" s="7"/>
      <c r="H424" s="7"/>
      <c r="I424" s="7"/>
      <c r="J424" s="8"/>
      <c r="K424" s="9"/>
    </row>
    <row r="425">
      <c r="A425" s="6"/>
      <c r="B425" s="7"/>
      <c r="C425" s="7"/>
      <c r="D425" s="7"/>
      <c r="E425" s="7"/>
      <c r="F425" s="7"/>
      <c r="G425" s="7"/>
      <c r="H425" s="7"/>
      <c r="I425" s="7"/>
      <c r="J425" s="8"/>
      <c r="K425" s="9"/>
    </row>
    <row r="426">
      <c r="A426" s="6"/>
      <c r="B426" s="7"/>
      <c r="C426" s="7"/>
      <c r="D426" s="7"/>
      <c r="E426" s="7"/>
      <c r="F426" s="7"/>
      <c r="G426" s="7"/>
      <c r="H426" s="7"/>
      <c r="I426" s="7"/>
      <c r="J426" s="8"/>
      <c r="K426" s="9"/>
    </row>
    <row r="427">
      <c r="A427" s="6"/>
      <c r="B427" s="7"/>
      <c r="C427" s="7"/>
      <c r="D427" s="7"/>
      <c r="E427" s="7"/>
      <c r="F427" s="7"/>
      <c r="G427" s="7"/>
      <c r="H427" s="7"/>
      <c r="I427" s="7"/>
      <c r="J427" s="8"/>
      <c r="K427" s="9"/>
    </row>
    <row r="428">
      <c r="A428" s="6"/>
      <c r="B428" s="7"/>
      <c r="C428" s="7"/>
      <c r="D428" s="7"/>
      <c r="E428" s="7"/>
      <c r="F428" s="7"/>
      <c r="G428" s="7"/>
      <c r="H428" s="7"/>
      <c r="I428" s="7"/>
      <c r="J428" s="8"/>
      <c r="K428" s="9"/>
    </row>
    <row r="429">
      <c r="A429" s="6"/>
      <c r="B429" s="7"/>
      <c r="C429" s="7"/>
      <c r="D429" s="7"/>
      <c r="E429" s="7"/>
      <c r="F429" s="7"/>
      <c r="G429" s="7"/>
      <c r="H429" s="7"/>
      <c r="I429" s="7"/>
      <c r="J429" s="8"/>
      <c r="K429" s="9"/>
    </row>
    <row r="430">
      <c r="A430" s="6"/>
      <c r="B430" s="7"/>
      <c r="C430" s="7"/>
      <c r="D430" s="7"/>
      <c r="E430" s="7"/>
      <c r="F430" s="7"/>
      <c r="G430" s="7"/>
      <c r="H430" s="7"/>
      <c r="I430" s="7"/>
      <c r="J430" s="8"/>
      <c r="K430" s="9"/>
    </row>
    <row r="431">
      <c r="A431" s="6"/>
      <c r="B431" s="7"/>
      <c r="C431" s="7"/>
      <c r="D431" s="7"/>
      <c r="E431" s="7"/>
      <c r="F431" s="7"/>
      <c r="G431" s="7"/>
      <c r="H431" s="7"/>
      <c r="I431" s="7"/>
      <c r="J431" s="8"/>
      <c r="K431" s="9"/>
    </row>
    <row r="432">
      <c r="A432" s="6"/>
      <c r="B432" s="7"/>
      <c r="C432" s="7"/>
      <c r="D432" s="7"/>
      <c r="E432" s="7"/>
      <c r="F432" s="7"/>
      <c r="G432" s="7"/>
      <c r="H432" s="7"/>
      <c r="I432" s="7"/>
      <c r="J432" s="8"/>
      <c r="K432" s="9"/>
    </row>
    <row r="433">
      <c r="A433" s="6"/>
      <c r="B433" s="7"/>
      <c r="C433" s="7"/>
      <c r="D433" s="7"/>
      <c r="E433" s="7"/>
      <c r="F433" s="7"/>
      <c r="G433" s="7"/>
      <c r="H433" s="7"/>
      <c r="I433" s="7"/>
      <c r="J433" s="8"/>
      <c r="K433" s="9"/>
    </row>
    <row r="434">
      <c r="A434" s="6"/>
      <c r="B434" s="7"/>
      <c r="C434" s="7"/>
      <c r="D434" s="7"/>
      <c r="E434" s="7"/>
      <c r="F434" s="7"/>
      <c r="G434" s="7"/>
      <c r="H434" s="7"/>
      <c r="I434" s="7"/>
      <c r="J434" s="8"/>
      <c r="K434" s="9"/>
    </row>
    <row r="435">
      <c r="A435" s="6"/>
      <c r="B435" s="7"/>
      <c r="C435" s="7"/>
      <c r="D435" s="7"/>
      <c r="E435" s="7"/>
      <c r="F435" s="7"/>
      <c r="G435" s="7"/>
      <c r="H435" s="7"/>
      <c r="I435" s="7"/>
      <c r="J435" s="8"/>
      <c r="K435" s="9"/>
    </row>
    <row r="436">
      <c r="A436" s="6"/>
      <c r="B436" s="7"/>
      <c r="C436" s="7"/>
      <c r="D436" s="7"/>
      <c r="E436" s="7"/>
      <c r="F436" s="7"/>
      <c r="G436" s="7"/>
      <c r="H436" s="7"/>
      <c r="I436" s="7"/>
      <c r="J436" s="8"/>
      <c r="K436" s="9"/>
    </row>
    <row r="437">
      <c r="A437" s="6"/>
      <c r="B437" s="7"/>
      <c r="C437" s="7"/>
      <c r="D437" s="7"/>
      <c r="E437" s="7"/>
      <c r="F437" s="7"/>
      <c r="G437" s="7"/>
      <c r="H437" s="7"/>
      <c r="I437" s="7"/>
      <c r="J437" s="8"/>
      <c r="K437" s="9"/>
    </row>
    <row r="438">
      <c r="A438" s="6"/>
      <c r="B438" s="7"/>
      <c r="C438" s="7"/>
      <c r="D438" s="7"/>
      <c r="E438" s="7"/>
      <c r="F438" s="7"/>
      <c r="G438" s="7"/>
      <c r="H438" s="7"/>
      <c r="I438" s="7"/>
      <c r="J438" s="8"/>
      <c r="K438" s="9"/>
    </row>
    <row r="439">
      <c r="A439" s="6"/>
      <c r="B439" s="7"/>
      <c r="C439" s="7"/>
      <c r="D439" s="7"/>
      <c r="E439" s="7"/>
      <c r="F439" s="7"/>
      <c r="G439" s="7"/>
      <c r="H439" s="7"/>
      <c r="I439" s="7"/>
      <c r="J439" s="8"/>
      <c r="K439" s="9"/>
    </row>
    <row r="440">
      <c r="A440" s="6"/>
      <c r="B440" s="7"/>
      <c r="C440" s="7"/>
      <c r="D440" s="7"/>
      <c r="E440" s="7"/>
      <c r="F440" s="7"/>
      <c r="G440" s="7"/>
      <c r="H440" s="7"/>
      <c r="I440" s="7"/>
      <c r="J440" s="8"/>
      <c r="K440" s="9"/>
    </row>
    <row r="441">
      <c r="A441" s="6"/>
      <c r="B441" s="7"/>
      <c r="C441" s="7"/>
      <c r="D441" s="7"/>
      <c r="E441" s="7"/>
      <c r="F441" s="7"/>
      <c r="G441" s="7"/>
      <c r="H441" s="7"/>
      <c r="I441" s="7"/>
      <c r="J441" s="8"/>
      <c r="K441" s="9"/>
    </row>
    <row r="442">
      <c r="A442" s="6"/>
      <c r="B442" s="7"/>
      <c r="C442" s="7"/>
      <c r="D442" s="7"/>
      <c r="E442" s="7"/>
      <c r="F442" s="7"/>
      <c r="G442" s="7"/>
      <c r="H442" s="7"/>
      <c r="I442" s="7"/>
      <c r="J442" s="8"/>
      <c r="K442" s="9"/>
    </row>
    <row r="443">
      <c r="A443" s="6"/>
      <c r="B443" s="7"/>
      <c r="C443" s="7"/>
      <c r="D443" s="7"/>
      <c r="E443" s="7"/>
      <c r="F443" s="7"/>
      <c r="G443" s="7"/>
      <c r="H443" s="7"/>
      <c r="I443" s="7"/>
      <c r="J443" s="8"/>
      <c r="K443" s="9"/>
    </row>
    <row r="444">
      <c r="A444" s="6"/>
      <c r="B444" s="7"/>
      <c r="C444" s="7"/>
      <c r="D444" s="7"/>
      <c r="E444" s="7"/>
      <c r="F444" s="7"/>
      <c r="G444" s="7"/>
      <c r="H444" s="7"/>
      <c r="I444" s="7"/>
      <c r="J444" s="8"/>
      <c r="K444" s="9"/>
    </row>
    <row r="445">
      <c r="A445" s="6"/>
      <c r="B445" s="7"/>
      <c r="C445" s="7"/>
      <c r="D445" s="7"/>
      <c r="E445" s="7"/>
      <c r="F445" s="7"/>
      <c r="G445" s="7"/>
      <c r="H445" s="7"/>
      <c r="I445" s="7"/>
      <c r="J445" s="8"/>
      <c r="K445" s="9"/>
    </row>
    <row r="446">
      <c r="A446" s="6"/>
      <c r="B446" s="7"/>
      <c r="C446" s="7"/>
      <c r="D446" s="7"/>
      <c r="E446" s="7"/>
      <c r="F446" s="7"/>
      <c r="G446" s="7"/>
      <c r="H446" s="7"/>
      <c r="I446" s="7"/>
      <c r="J446" s="8"/>
      <c r="K446" s="9"/>
    </row>
    <row r="447">
      <c r="A447" s="6"/>
      <c r="B447" s="7"/>
      <c r="C447" s="7"/>
      <c r="D447" s="7"/>
      <c r="E447" s="7"/>
      <c r="F447" s="7"/>
      <c r="G447" s="7"/>
      <c r="H447" s="7"/>
      <c r="I447" s="7"/>
      <c r="J447" s="8"/>
      <c r="K447" s="9"/>
    </row>
    <row r="448">
      <c r="A448" s="6"/>
      <c r="B448" s="7"/>
      <c r="C448" s="7"/>
      <c r="D448" s="7"/>
      <c r="E448" s="7"/>
      <c r="F448" s="7"/>
      <c r="G448" s="7"/>
      <c r="H448" s="7"/>
      <c r="I448" s="7"/>
      <c r="J448" s="8"/>
      <c r="K448" s="9"/>
    </row>
    <row r="449">
      <c r="A449" s="6"/>
      <c r="B449" s="7"/>
      <c r="C449" s="7"/>
      <c r="D449" s="7"/>
      <c r="E449" s="7"/>
      <c r="F449" s="7"/>
      <c r="G449" s="7"/>
      <c r="H449" s="7"/>
      <c r="I449" s="7"/>
      <c r="J449" s="8"/>
      <c r="K449" s="9"/>
    </row>
    <row r="450">
      <c r="A450" s="6"/>
      <c r="B450" s="7"/>
      <c r="C450" s="7"/>
      <c r="D450" s="7"/>
      <c r="E450" s="7"/>
      <c r="F450" s="7"/>
      <c r="G450" s="7"/>
      <c r="H450" s="7"/>
      <c r="I450" s="7"/>
      <c r="J450" s="8"/>
      <c r="K450" s="9"/>
    </row>
    <row r="451">
      <c r="A451" s="6"/>
      <c r="B451" s="7"/>
      <c r="C451" s="7"/>
      <c r="D451" s="7"/>
      <c r="E451" s="7"/>
      <c r="F451" s="7"/>
      <c r="G451" s="7"/>
      <c r="H451" s="7"/>
      <c r="I451" s="7"/>
      <c r="J451" s="8"/>
      <c r="K451" s="9"/>
    </row>
    <row r="452">
      <c r="A452" s="6"/>
      <c r="B452" s="7"/>
      <c r="C452" s="7"/>
      <c r="D452" s="7"/>
      <c r="E452" s="7"/>
      <c r="F452" s="7"/>
      <c r="G452" s="7"/>
      <c r="H452" s="7"/>
      <c r="I452" s="7"/>
      <c r="J452" s="8"/>
      <c r="K452" s="9"/>
    </row>
    <row r="453">
      <c r="A453" s="6"/>
      <c r="B453" s="7"/>
      <c r="C453" s="7"/>
      <c r="D453" s="7"/>
      <c r="E453" s="7"/>
      <c r="F453" s="7"/>
      <c r="G453" s="7"/>
      <c r="H453" s="7"/>
      <c r="I453" s="7"/>
      <c r="J453" s="8"/>
      <c r="K453" s="9"/>
    </row>
    <row r="454">
      <c r="A454" s="6"/>
      <c r="B454" s="7"/>
      <c r="C454" s="7"/>
      <c r="D454" s="7"/>
      <c r="E454" s="7"/>
      <c r="F454" s="7"/>
      <c r="G454" s="7"/>
      <c r="H454" s="7"/>
      <c r="I454" s="7"/>
      <c r="J454" s="8"/>
      <c r="K454" s="9"/>
    </row>
    <row r="455">
      <c r="A455" s="6"/>
      <c r="B455" s="7"/>
      <c r="C455" s="7"/>
      <c r="D455" s="7"/>
      <c r="E455" s="7"/>
      <c r="F455" s="7"/>
      <c r="G455" s="7"/>
      <c r="H455" s="7"/>
      <c r="I455" s="7"/>
      <c r="J455" s="8"/>
      <c r="K455" s="9"/>
    </row>
    <row r="456">
      <c r="A456" s="6"/>
      <c r="B456" s="7"/>
      <c r="C456" s="7"/>
      <c r="D456" s="7"/>
      <c r="E456" s="7"/>
      <c r="F456" s="7"/>
      <c r="G456" s="7"/>
      <c r="H456" s="7"/>
      <c r="I456" s="7"/>
      <c r="J456" s="8"/>
      <c r="K456" s="9"/>
    </row>
    <row r="457">
      <c r="A457" s="6"/>
      <c r="B457" s="7"/>
      <c r="C457" s="7"/>
      <c r="D457" s="7"/>
      <c r="E457" s="7"/>
      <c r="F457" s="7"/>
      <c r="G457" s="7"/>
      <c r="H457" s="7"/>
      <c r="I457" s="7"/>
      <c r="J457" s="8"/>
      <c r="K457" s="9"/>
    </row>
    <row r="458">
      <c r="A458" s="6"/>
      <c r="B458" s="7"/>
      <c r="C458" s="7"/>
      <c r="D458" s="7"/>
      <c r="E458" s="7"/>
      <c r="F458" s="7"/>
      <c r="G458" s="7"/>
      <c r="H458" s="7"/>
      <c r="I458" s="7"/>
      <c r="J458" s="8"/>
      <c r="K458" s="9"/>
    </row>
    <row r="459">
      <c r="A459" s="6"/>
      <c r="B459" s="7"/>
      <c r="C459" s="7"/>
      <c r="D459" s="7"/>
      <c r="E459" s="7"/>
      <c r="F459" s="7"/>
      <c r="G459" s="7"/>
      <c r="H459" s="7"/>
      <c r="I459" s="7"/>
      <c r="J459" s="8"/>
      <c r="K459" s="9"/>
    </row>
    <row r="460">
      <c r="A460" s="6"/>
      <c r="B460" s="7"/>
      <c r="C460" s="7"/>
      <c r="D460" s="7"/>
      <c r="E460" s="7"/>
      <c r="F460" s="7"/>
      <c r="G460" s="7"/>
      <c r="H460" s="7"/>
      <c r="I460" s="7"/>
      <c r="J460" s="8"/>
      <c r="K460" s="9"/>
    </row>
    <row r="461">
      <c r="A461" s="6"/>
      <c r="B461" s="7"/>
      <c r="C461" s="7"/>
      <c r="D461" s="7"/>
      <c r="E461" s="7"/>
      <c r="F461" s="7"/>
      <c r="G461" s="7"/>
      <c r="H461" s="7"/>
      <c r="I461" s="7"/>
      <c r="J461" s="8"/>
      <c r="K461" s="9"/>
    </row>
    <row r="462">
      <c r="A462" s="6"/>
      <c r="B462" s="7"/>
      <c r="C462" s="7"/>
      <c r="D462" s="7"/>
      <c r="E462" s="7"/>
      <c r="F462" s="7"/>
      <c r="G462" s="7"/>
      <c r="H462" s="7"/>
      <c r="I462" s="7"/>
      <c r="J462" s="8"/>
      <c r="K462" s="9"/>
    </row>
    <row r="463">
      <c r="A463" s="6"/>
      <c r="B463" s="7"/>
      <c r="C463" s="7"/>
      <c r="D463" s="7"/>
      <c r="E463" s="7"/>
      <c r="F463" s="7"/>
      <c r="G463" s="7"/>
      <c r="H463" s="7"/>
      <c r="I463" s="7"/>
      <c r="J463" s="8"/>
      <c r="K463" s="9"/>
    </row>
    <row r="464">
      <c r="A464" s="6"/>
      <c r="B464" s="7"/>
      <c r="C464" s="7"/>
      <c r="D464" s="7"/>
      <c r="E464" s="7"/>
      <c r="F464" s="7"/>
      <c r="G464" s="7"/>
      <c r="H464" s="7"/>
      <c r="I464" s="7"/>
      <c r="J464" s="8"/>
      <c r="K464" s="9"/>
    </row>
    <row r="465">
      <c r="A465" s="6"/>
      <c r="B465" s="7"/>
      <c r="C465" s="7"/>
      <c r="D465" s="7"/>
      <c r="E465" s="7"/>
      <c r="F465" s="7"/>
      <c r="G465" s="7"/>
      <c r="H465" s="7"/>
      <c r="I465" s="7"/>
      <c r="J465" s="8"/>
      <c r="K465" s="9"/>
    </row>
    <row r="466">
      <c r="A466" s="6"/>
      <c r="B466" s="7"/>
      <c r="C466" s="7"/>
      <c r="D466" s="7"/>
      <c r="E466" s="7"/>
      <c r="F466" s="7"/>
      <c r="G466" s="7"/>
      <c r="H466" s="7"/>
      <c r="I466" s="7"/>
      <c r="J466" s="8"/>
      <c r="K466" s="9"/>
    </row>
    <row r="467">
      <c r="A467" s="6"/>
      <c r="B467" s="7"/>
      <c r="C467" s="7"/>
      <c r="D467" s="7"/>
      <c r="E467" s="7"/>
      <c r="F467" s="7"/>
      <c r="G467" s="7"/>
      <c r="H467" s="7"/>
      <c r="I467" s="7"/>
      <c r="J467" s="8"/>
      <c r="K467" s="9"/>
    </row>
    <row r="468">
      <c r="A468" s="6"/>
      <c r="B468" s="7"/>
      <c r="C468" s="7"/>
      <c r="D468" s="7"/>
      <c r="E468" s="7"/>
      <c r="F468" s="7"/>
      <c r="G468" s="7"/>
      <c r="H468" s="7"/>
      <c r="I468" s="7"/>
      <c r="J468" s="8"/>
      <c r="K468" s="9"/>
    </row>
    <row r="469">
      <c r="A469" s="6"/>
      <c r="B469" s="7"/>
      <c r="C469" s="7"/>
      <c r="D469" s="7"/>
      <c r="E469" s="7"/>
      <c r="F469" s="7"/>
      <c r="G469" s="7"/>
      <c r="H469" s="7"/>
      <c r="I469" s="7"/>
      <c r="J469" s="8"/>
      <c r="K469" s="9"/>
    </row>
    <row r="470">
      <c r="A470" s="6"/>
      <c r="B470" s="7"/>
      <c r="C470" s="7"/>
      <c r="D470" s="7"/>
      <c r="E470" s="7"/>
      <c r="F470" s="7"/>
      <c r="G470" s="7"/>
      <c r="H470" s="7"/>
      <c r="I470" s="7"/>
      <c r="J470" s="8"/>
      <c r="K470" s="9"/>
    </row>
    <row r="471">
      <c r="A471" s="6"/>
      <c r="B471" s="7"/>
      <c r="C471" s="7"/>
      <c r="D471" s="7"/>
      <c r="E471" s="7"/>
      <c r="F471" s="7"/>
      <c r="G471" s="7"/>
      <c r="H471" s="7"/>
      <c r="I471" s="7"/>
      <c r="J471" s="8"/>
      <c r="K471" s="9"/>
    </row>
    <row r="472">
      <c r="A472" s="6"/>
      <c r="B472" s="7"/>
      <c r="C472" s="7"/>
      <c r="D472" s="7"/>
      <c r="E472" s="7"/>
      <c r="F472" s="7"/>
      <c r="G472" s="7"/>
      <c r="H472" s="7"/>
      <c r="I472" s="7"/>
      <c r="J472" s="8"/>
      <c r="K472" s="9"/>
    </row>
    <row r="473">
      <c r="A473" s="6"/>
      <c r="B473" s="7"/>
      <c r="C473" s="7"/>
      <c r="D473" s="7"/>
      <c r="E473" s="7"/>
      <c r="F473" s="7"/>
      <c r="G473" s="7"/>
      <c r="H473" s="7"/>
      <c r="I473" s="7"/>
      <c r="J473" s="8"/>
      <c r="K473" s="9"/>
    </row>
    <row r="474">
      <c r="A474" s="6"/>
      <c r="B474" s="7"/>
      <c r="C474" s="7"/>
      <c r="D474" s="7"/>
      <c r="E474" s="7"/>
      <c r="F474" s="7"/>
      <c r="G474" s="7"/>
      <c r="H474" s="7"/>
      <c r="I474" s="7"/>
      <c r="J474" s="8"/>
      <c r="K474" s="9"/>
    </row>
    <row r="475">
      <c r="A475" s="6"/>
      <c r="B475" s="7"/>
      <c r="C475" s="7"/>
      <c r="D475" s="7"/>
      <c r="E475" s="7"/>
      <c r="F475" s="7"/>
      <c r="G475" s="7"/>
      <c r="H475" s="7"/>
      <c r="I475" s="7"/>
      <c r="J475" s="8"/>
      <c r="K475" s="9"/>
    </row>
    <row r="476">
      <c r="A476" s="6"/>
      <c r="B476" s="7"/>
      <c r="C476" s="7"/>
      <c r="D476" s="7"/>
      <c r="E476" s="7"/>
      <c r="F476" s="7"/>
      <c r="G476" s="7"/>
      <c r="H476" s="7"/>
      <c r="I476" s="7"/>
      <c r="J476" s="8"/>
      <c r="K476" s="9"/>
    </row>
    <row r="477">
      <c r="A477" s="6"/>
      <c r="B477" s="7"/>
      <c r="C477" s="7"/>
      <c r="D477" s="7"/>
      <c r="E477" s="7"/>
      <c r="F477" s="7"/>
      <c r="G477" s="7"/>
      <c r="H477" s="7"/>
      <c r="I477" s="7"/>
      <c r="J477" s="8"/>
      <c r="K477" s="9"/>
    </row>
    <row r="478">
      <c r="A478" s="6"/>
      <c r="B478" s="7"/>
      <c r="C478" s="7"/>
      <c r="D478" s="7"/>
      <c r="E478" s="7"/>
      <c r="F478" s="7"/>
      <c r="G478" s="7"/>
      <c r="H478" s="7"/>
      <c r="I478" s="7"/>
      <c r="J478" s="8"/>
      <c r="K478" s="9"/>
    </row>
    <row r="479">
      <c r="A479" s="6"/>
      <c r="B479" s="7"/>
      <c r="C479" s="7"/>
      <c r="D479" s="7"/>
      <c r="E479" s="7"/>
      <c r="F479" s="7"/>
      <c r="G479" s="7"/>
      <c r="H479" s="7"/>
      <c r="I479" s="7"/>
      <c r="J479" s="8"/>
      <c r="K479" s="9"/>
    </row>
    <row r="480">
      <c r="A480" s="6"/>
      <c r="B480" s="7"/>
      <c r="C480" s="7"/>
      <c r="D480" s="7"/>
      <c r="E480" s="7"/>
      <c r="F480" s="7"/>
      <c r="G480" s="7"/>
      <c r="H480" s="7"/>
      <c r="I480" s="7"/>
      <c r="J480" s="8"/>
      <c r="K480" s="9"/>
    </row>
    <row r="481">
      <c r="A481" s="6"/>
      <c r="B481" s="7"/>
      <c r="C481" s="7"/>
      <c r="D481" s="7"/>
      <c r="E481" s="7"/>
      <c r="F481" s="7"/>
      <c r="G481" s="7"/>
      <c r="H481" s="7"/>
      <c r="I481" s="7"/>
      <c r="J481" s="8"/>
      <c r="K481" s="9"/>
    </row>
    <row r="482">
      <c r="A482" s="6"/>
      <c r="B482" s="7"/>
      <c r="C482" s="7"/>
      <c r="D482" s="7"/>
      <c r="E482" s="7"/>
      <c r="F482" s="7"/>
      <c r="G482" s="7"/>
      <c r="H482" s="7"/>
      <c r="I482" s="7"/>
      <c r="J482" s="8"/>
      <c r="K482" s="9"/>
    </row>
    <row r="483">
      <c r="A483" s="6"/>
      <c r="B483" s="7"/>
      <c r="C483" s="7"/>
      <c r="D483" s="7"/>
      <c r="E483" s="7"/>
      <c r="F483" s="7"/>
      <c r="G483" s="7"/>
      <c r="H483" s="7"/>
      <c r="I483" s="7"/>
      <c r="J483" s="8"/>
      <c r="K483" s="9"/>
    </row>
    <row r="484">
      <c r="A484" s="6"/>
      <c r="B484" s="7"/>
      <c r="C484" s="7"/>
      <c r="D484" s="7"/>
      <c r="E484" s="7"/>
      <c r="F484" s="7"/>
      <c r="G484" s="7"/>
      <c r="H484" s="7"/>
      <c r="I484" s="7"/>
      <c r="J484" s="8"/>
      <c r="K484" s="9"/>
    </row>
    <row r="485">
      <c r="A485" s="6"/>
      <c r="B485" s="7"/>
      <c r="C485" s="7"/>
      <c r="D485" s="7"/>
      <c r="E485" s="7"/>
      <c r="F485" s="7"/>
      <c r="G485" s="7"/>
      <c r="H485" s="7"/>
      <c r="I485" s="7"/>
      <c r="J485" s="8"/>
      <c r="K485" s="9"/>
    </row>
    <row r="486">
      <c r="A486" s="6"/>
      <c r="B486" s="7"/>
      <c r="C486" s="7"/>
      <c r="D486" s="7"/>
      <c r="E486" s="7"/>
      <c r="F486" s="7"/>
      <c r="G486" s="7"/>
      <c r="H486" s="7"/>
      <c r="I486" s="7"/>
      <c r="J486" s="8"/>
      <c r="K486" s="9"/>
    </row>
    <row r="487">
      <c r="A487" s="6"/>
      <c r="B487" s="7"/>
      <c r="C487" s="7"/>
      <c r="D487" s="7"/>
      <c r="E487" s="7"/>
      <c r="F487" s="7"/>
      <c r="G487" s="7"/>
      <c r="H487" s="7"/>
      <c r="I487" s="7"/>
      <c r="J487" s="8"/>
      <c r="K487" s="9"/>
    </row>
    <row r="488">
      <c r="A488" s="6"/>
      <c r="B488" s="7"/>
      <c r="C488" s="7"/>
      <c r="D488" s="7"/>
      <c r="E488" s="7"/>
      <c r="F488" s="7"/>
      <c r="G488" s="7"/>
      <c r="H488" s="7"/>
      <c r="I488" s="7"/>
      <c r="J488" s="8"/>
      <c r="K488" s="9"/>
    </row>
    <row r="489">
      <c r="A489" s="6"/>
      <c r="B489" s="7"/>
      <c r="C489" s="7"/>
      <c r="D489" s="7"/>
      <c r="E489" s="7"/>
      <c r="F489" s="7"/>
      <c r="G489" s="7"/>
      <c r="H489" s="7"/>
      <c r="I489" s="7"/>
      <c r="J489" s="8"/>
      <c r="K489" s="9"/>
    </row>
    <row r="490">
      <c r="A490" s="6"/>
      <c r="B490" s="7"/>
      <c r="C490" s="7"/>
      <c r="D490" s="7"/>
      <c r="E490" s="7"/>
      <c r="F490" s="7"/>
      <c r="G490" s="7"/>
      <c r="H490" s="7"/>
      <c r="I490" s="7"/>
      <c r="J490" s="8"/>
      <c r="K490" s="9"/>
    </row>
    <row r="491">
      <c r="A491" s="6"/>
      <c r="B491" s="7"/>
      <c r="C491" s="7"/>
      <c r="D491" s="7"/>
      <c r="E491" s="7"/>
      <c r="F491" s="7"/>
      <c r="G491" s="7"/>
      <c r="H491" s="7"/>
      <c r="I491" s="7"/>
      <c r="J491" s="8"/>
      <c r="K491" s="9"/>
    </row>
    <row r="492">
      <c r="A492" s="6"/>
      <c r="B492" s="7"/>
      <c r="C492" s="7"/>
      <c r="D492" s="7"/>
      <c r="E492" s="7"/>
      <c r="F492" s="7"/>
      <c r="G492" s="7"/>
      <c r="H492" s="7"/>
      <c r="I492" s="7"/>
      <c r="J492" s="8"/>
      <c r="K492" s="9"/>
    </row>
    <row r="493">
      <c r="A493" s="6"/>
      <c r="B493" s="7"/>
      <c r="C493" s="7"/>
      <c r="D493" s="7"/>
      <c r="E493" s="7"/>
      <c r="F493" s="7"/>
      <c r="G493" s="7"/>
      <c r="H493" s="7"/>
      <c r="I493" s="7"/>
      <c r="J493" s="8"/>
      <c r="K493" s="9"/>
    </row>
    <row r="494">
      <c r="A494" s="6"/>
      <c r="B494" s="7"/>
      <c r="C494" s="7"/>
      <c r="D494" s="7"/>
      <c r="E494" s="7"/>
      <c r="F494" s="7"/>
      <c r="G494" s="7"/>
      <c r="H494" s="7"/>
      <c r="I494" s="7"/>
      <c r="J494" s="8"/>
      <c r="K494" s="9"/>
    </row>
    <row r="495">
      <c r="A495" s="6"/>
      <c r="B495" s="7"/>
      <c r="C495" s="7"/>
      <c r="D495" s="7"/>
      <c r="E495" s="7"/>
      <c r="F495" s="7"/>
      <c r="G495" s="7"/>
      <c r="H495" s="7"/>
      <c r="I495" s="7"/>
      <c r="J495" s="8"/>
      <c r="K495" s="9"/>
    </row>
    <row r="496">
      <c r="A496" s="6"/>
      <c r="B496" s="7"/>
      <c r="C496" s="7"/>
      <c r="D496" s="7"/>
      <c r="E496" s="7"/>
      <c r="F496" s="7"/>
      <c r="G496" s="7"/>
      <c r="H496" s="7"/>
      <c r="I496" s="7"/>
      <c r="J496" s="8"/>
      <c r="K496" s="9"/>
    </row>
    <row r="497">
      <c r="A497" s="6"/>
      <c r="B497" s="7"/>
      <c r="C497" s="7"/>
      <c r="D497" s="7"/>
      <c r="E497" s="7"/>
      <c r="F497" s="7"/>
      <c r="G497" s="7"/>
      <c r="H497" s="7"/>
      <c r="I497" s="7"/>
      <c r="J497" s="8"/>
      <c r="K497" s="9"/>
    </row>
    <row r="498">
      <c r="A498" s="6"/>
      <c r="B498" s="7"/>
      <c r="C498" s="7"/>
      <c r="D498" s="7"/>
      <c r="E498" s="7"/>
      <c r="F498" s="7"/>
      <c r="G498" s="7"/>
      <c r="H498" s="7"/>
      <c r="I498" s="7"/>
      <c r="J498" s="8"/>
      <c r="K498" s="9"/>
    </row>
    <row r="499">
      <c r="A499" s="6"/>
      <c r="B499" s="7"/>
      <c r="C499" s="7"/>
      <c r="D499" s="7"/>
      <c r="E499" s="7"/>
      <c r="F499" s="7"/>
      <c r="G499" s="7"/>
      <c r="H499" s="7"/>
      <c r="I499" s="7"/>
      <c r="J499" s="8"/>
      <c r="K499" s="9"/>
    </row>
    <row r="500">
      <c r="A500" s="6"/>
      <c r="B500" s="7"/>
      <c r="C500" s="7"/>
      <c r="D500" s="7"/>
      <c r="E500" s="7"/>
      <c r="F500" s="7"/>
      <c r="G500" s="7"/>
      <c r="H500" s="7"/>
      <c r="I500" s="7"/>
      <c r="J500" s="8"/>
      <c r="K500" s="9"/>
    </row>
    <row r="501">
      <c r="A501" s="6"/>
      <c r="B501" s="7"/>
      <c r="C501" s="7"/>
      <c r="D501" s="7"/>
      <c r="E501" s="7"/>
      <c r="F501" s="7"/>
      <c r="G501" s="7"/>
      <c r="H501" s="7"/>
      <c r="I501" s="7"/>
      <c r="J501" s="8"/>
      <c r="K501" s="9"/>
    </row>
    <row r="502">
      <c r="A502" s="6"/>
      <c r="B502" s="7"/>
      <c r="C502" s="7"/>
      <c r="D502" s="7"/>
      <c r="E502" s="7"/>
      <c r="F502" s="7"/>
      <c r="G502" s="7"/>
      <c r="H502" s="7"/>
      <c r="I502" s="7"/>
      <c r="J502" s="8"/>
      <c r="K502" s="9"/>
    </row>
    <row r="503">
      <c r="A503" s="6"/>
      <c r="B503" s="7"/>
      <c r="C503" s="7"/>
      <c r="D503" s="7"/>
      <c r="E503" s="7"/>
      <c r="F503" s="7"/>
      <c r="G503" s="7"/>
      <c r="H503" s="7"/>
      <c r="I503" s="7"/>
      <c r="J503" s="8"/>
      <c r="K503" s="9"/>
    </row>
    <row r="504">
      <c r="A504" s="6"/>
      <c r="B504" s="7"/>
      <c r="C504" s="7"/>
      <c r="D504" s="7"/>
      <c r="E504" s="7"/>
      <c r="F504" s="7"/>
      <c r="G504" s="7"/>
      <c r="H504" s="7"/>
      <c r="I504" s="7"/>
      <c r="J504" s="8"/>
      <c r="K504" s="9"/>
    </row>
    <row r="505">
      <c r="A505" s="6"/>
      <c r="B505" s="7"/>
      <c r="C505" s="7"/>
      <c r="D505" s="7"/>
      <c r="E505" s="7"/>
      <c r="F505" s="7"/>
      <c r="G505" s="7"/>
      <c r="H505" s="7"/>
      <c r="I505" s="7"/>
      <c r="J505" s="8"/>
      <c r="K505" s="9"/>
    </row>
    <row r="506">
      <c r="A506" s="6"/>
      <c r="B506" s="7"/>
      <c r="C506" s="7"/>
      <c r="D506" s="7"/>
      <c r="E506" s="7"/>
      <c r="F506" s="7"/>
      <c r="G506" s="7"/>
      <c r="H506" s="7"/>
      <c r="I506" s="7"/>
      <c r="J506" s="8"/>
      <c r="K506" s="9"/>
    </row>
    <row r="507">
      <c r="A507" s="6"/>
      <c r="B507" s="7"/>
      <c r="C507" s="7"/>
      <c r="D507" s="7"/>
      <c r="E507" s="7"/>
      <c r="F507" s="7"/>
      <c r="G507" s="7"/>
      <c r="H507" s="7"/>
      <c r="I507" s="7"/>
      <c r="J507" s="8"/>
      <c r="K507" s="9"/>
    </row>
    <row r="508">
      <c r="A508" s="6"/>
      <c r="B508" s="7"/>
      <c r="C508" s="7"/>
      <c r="D508" s="7"/>
      <c r="E508" s="7"/>
      <c r="F508" s="7"/>
      <c r="G508" s="7"/>
      <c r="H508" s="7"/>
      <c r="I508" s="7"/>
      <c r="J508" s="8"/>
      <c r="K508" s="9"/>
    </row>
    <row r="509">
      <c r="A509" s="6"/>
      <c r="B509" s="7"/>
      <c r="C509" s="7"/>
      <c r="D509" s="7"/>
      <c r="E509" s="7"/>
      <c r="F509" s="7"/>
      <c r="G509" s="7"/>
      <c r="H509" s="7"/>
      <c r="I509" s="7"/>
      <c r="J509" s="8"/>
      <c r="K509" s="9"/>
    </row>
    <row r="510">
      <c r="A510" s="6"/>
      <c r="B510" s="7"/>
      <c r="C510" s="7"/>
      <c r="D510" s="7"/>
      <c r="E510" s="7"/>
      <c r="F510" s="7"/>
      <c r="G510" s="7"/>
      <c r="H510" s="7"/>
      <c r="I510" s="7"/>
      <c r="J510" s="8"/>
      <c r="K510" s="9"/>
    </row>
    <row r="511">
      <c r="A511" s="6"/>
      <c r="B511" s="7"/>
      <c r="C511" s="7"/>
      <c r="D511" s="7"/>
      <c r="E511" s="7"/>
      <c r="F511" s="7"/>
      <c r="G511" s="7"/>
      <c r="H511" s="7"/>
      <c r="I511" s="7"/>
      <c r="J511" s="8"/>
      <c r="K511" s="9"/>
    </row>
    <row r="512">
      <c r="A512" s="6"/>
      <c r="B512" s="7"/>
      <c r="C512" s="7"/>
      <c r="D512" s="7"/>
      <c r="E512" s="7"/>
      <c r="F512" s="7"/>
      <c r="G512" s="7"/>
      <c r="H512" s="7"/>
      <c r="I512" s="7"/>
      <c r="J512" s="8"/>
      <c r="K512" s="9"/>
    </row>
    <row r="513">
      <c r="A513" s="6"/>
      <c r="B513" s="7"/>
      <c r="C513" s="7"/>
      <c r="D513" s="7"/>
      <c r="E513" s="7"/>
      <c r="F513" s="7"/>
      <c r="G513" s="7"/>
      <c r="H513" s="7"/>
      <c r="I513" s="7"/>
      <c r="J513" s="8"/>
      <c r="K513" s="9"/>
    </row>
    <row r="514">
      <c r="A514" s="6"/>
      <c r="B514" s="7"/>
      <c r="C514" s="7"/>
      <c r="D514" s="7"/>
      <c r="E514" s="7"/>
      <c r="F514" s="7"/>
      <c r="G514" s="7"/>
      <c r="H514" s="7"/>
      <c r="I514" s="7"/>
      <c r="J514" s="8"/>
      <c r="K514" s="9"/>
    </row>
    <row r="515">
      <c r="A515" s="6"/>
      <c r="B515" s="7"/>
      <c r="C515" s="7"/>
      <c r="D515" s="7"/>
      <c r="E515" s="7"/>
      <c r="F515" s="7"/>
      <c r="G515" s="7"/>
      <c r="H515" s="7"/>
      <c r="I515" s="7"/>
      <c r="J515" s="8"/>
      <c r="K515" s="9"/>
    </row>
    <row r="516">
      <c r="A516" s="6"/>
      <c r="B516" s="7"/>
      <c r="C516" s="7"/>
      <c r="D516" s="7"/>
      <c r="E516" s="7"/>
      <c r="F516" s="7"/>
      <c r="G516" s="7"/>
      <c r="H516" s="7"/>
      <c r="I516" s="7"/>
      <c r="J516" s="8"/>
      <c r="K516" s="9"/>
    </row>
    <row r="517">
      <c r="A517" s="6"/>
      <c r="B517" s="7"/>
      <c r="C517" s="7"/>
      <c r="D517" s="7"/>
      <c r="E517" s="7"/>
      <c r="F517" s="7"/>
      <c r="G517" s="7"/>
      <c r="H517" s="7"/>
      <c r="I517" s="7"/>
      <c r="J517" s="8"/>
      <c r="K517" s="9"/>
    </row>
    <row r="518">
      <c r="A518" s="6"/>
      <c r="B518" s="7"/>
      <c r="C518" s="7"/>
      <c r="D518" s="7"/>
      <c r="E518" s="7"/>
      <c r="F518" s="7"/>
      <c r="G518" s="7"/>
      <c r="H518" s="7"/>
      <c r="I518" s="7"/>
      <c r="J518" s="8"/>
      <c r="K518" s="9"/>
    </row>
    <row r="519">
      <c r="A519" s="6"/>
      <c r="B519" s="7"/>
      <c r="C519" s="7"/>
      <c r="D519" s="7"/>
      <c r="E519" s="7"/>
      <c r="F519" s="7"/>
      <c r="G519" s="7"/>
      <c r="H519" s="7"/>
      <c r="I519" s="7"/>
      <c r="J519" s="8"/>
      <c r="K519" s="9"/>
    </row>
    <row r="520">
      <c r="A520" s="6"/>
      <c r="B520" s="7"/>
      <c r="C520" s="7"/>
      <c r="D520" s="7"/>
      <c r="E520" s="7"/>
      <c r="F520" s="7"/>
      <c r="G520" s="7"/>
      <c r="H520" s="7"/>
      <c r="I520" s="7"/>
      <c r="J520" s="8"/>
      <c r="K520" s="9"/>
    </row>
    <row r="521">
      <c r="A521" s="6"/>
      <c r="B521" s="7"/>
      <c r="C521" s="7"/>
      <c r="D521" s="7"/>
      <c r="E521" s="7"/>
      <c r="F521" s="7"/>
      <c r="G521" s="7"/>
      <c r="H521" s="7"/>
      <c r="I521" s="7"/>
      <c r="J521" s="8"/>
      <c r="K521" s="9"/>
    </row>
    <row r="522">
      <c r="A522" s="6"/>
      <c r="B522" s="7"/>
      <c r="C522" s="7"/>
      <c r="D522" s="7"/>
      <c r="E522" s="7"/>
      <c r="F522" s="7"/>
      <c r="G522" s="7"/>
      <c r="H522" s="7"/>
      <c r="I522" s="7"/>
      <c r="J522" s="8"/>
      <c r="K522" s="9"/>
    </row>
    <row r="523">
      <c r="A523" s="6"/>
      <c r="B523" s="7"/>
      <c r="C523" s="7"/>
      <c r="D523" s="7"/>
      <c r="E523" s="7"/>
      <c r="F523" s="7"/>
      <c r="G523" s="7"/>
      <c r="H523" s="7"/>
      <c r="I523" s="7"/>
      <c r="J523" s="8"/>
      <c r="K523" s="9"/>
    </row>
    <row r="524">
      <c r="A524" s="6"/>
      <c r="B524" s="7"/>
      <c r="C524" s="7"/>
      <c r="D524" s="7"/>
      <c r="E524" s="7"/>
      <c r="F524" s="7"/>
      <c r="G524" s="7"/>
      <c r="H524" s="7"/>
      <c r="I524" s="7"/>
      <c r="J524" s="8"/>
      <c r="K524" s="9"/>
    </row>
    <row r="525">
      <c r="A525" s="6"/>
      <c r="B525" s="7"/>
      <c r="C525" s="7"/>
      <c r="D525" s="7"/>
      <c r="E525" s="7"/>
      <c r="F525" s="7"/>
      <c r="G525" s="7"/>
      <c r="H525" s="7"/>
      <c r="I525" s="7"/>
      <c r="J525" s="8"/>
      <c r="K525" s="9"/>
    </row>
    <row r="526">
      <c r="A526" s="6"/>
      <c r="B526" s="7"/>
      <c r="C526" s="7"/>
      <c r="D526" s="7"/>
      <c r="E526" s="7"/>
      <c r="F526" s="7"/>
      <c r="G526" s="7"/>
      <c r="H526" s="7"/>
      <c r="I526" s="7"/>
      <c r="J526" s="8"/>
      <c r="K526" s="9"/>
    </row>
    <row r="527">
      <c r="A527" s="6"/>
      <c r="B527" s="7"/>
      <c r="C527" s="7"/>
      <c r="D527" s="7"/>
      <c r="E527" s="7"/>
      <c r="F527" s="7"/>
      <c r="G527" s="7"/>
      <c r="H527" s="7"/>
      <c r="I527" s="7"/>
      <c r="J527" s="8"/>
      <c r="K527" s="9"/>
    </row>
    <row r="528">
      <c r="A528" s="6"/>
      <c r="B528" s="7"/>
      <c r="C528" s="7"/>
      <c r="D528" s="7"/>
      <c r="E528" s="7"/>
      <c r="F528" s="7"/>
      <c r="G528" s="7"/>
      <c r="H528" s="7"/>
      <c r="I528" s="7"/>
      <c r="J528" s="8"/>
      <c r="K528" s="9"/>
    </row>
    <row r="529">
      <c r="A529" s="6"/>
      <c r="B529" s="7"/>
      <c r="C529" s="7"/>
      <c r="D529" s="7"/>
      <c r="E529" s="7"/>
      <c r="F529" s="7"/>
      <c r="G529" s="7"/>
      <c r="H529" s="7"/>
      <c r="I529" s="7"/>
      <c r="J529" s="8"/>
      <c r="K529" s="9"/>
    </row>
    <row r="530">
      <c r="A530" s="6"/>
      <c r="B530" s="7"/>
      <c r="C530" s="7"/>
      <c r="D530" s="7"/>
      <c r="E530" s="7"/>
      <c r="F530" s="7"/>
      <c r="G530" s="7"/>
      <c r="H530" s="7"/>
      <c r="I530" s="7"/>
      <c r="J530" s="8"/>
      <c r="K530" s="9"/>
    </row>
    <row r="531">
      <c r="A531" s="6"/>
      <c r="B531" s="7"/>
      <c r="C531" s="7"/>
      <c r="D531" s="7"/>
      <c r="E531" s="7"/>
      <c r="F531" s="7"/>
      <c r="G531" s="7"/>
      <c r="H531" s="7"/>
      <c r="I531" s="7"/>
      <c r="J531" s="8"/>
      <c r="K531" s="9"/>
    </row>
    <row r="532">
      <c r="A532" s="6"/>
      <c r="B532" s="7"/>
      <c r="C532" s="7"/>
      <c r="D532" s="7"/>
      <c r="E532" s="7"/>
      <c r="F532" s="7"/>
      <c r="G532" s="7"/>
      <c r="H532" s="7"/>
      <c r="I532" s="7"/>
      <c r="J532" s="8"/>
      <c r="K532" s="9"/>
    </row>
    <row r="533">
      <c r="A533" s="6"/>
      <c r="B533" s="7"/>
      <c r="C533" s="7"/>
      <c r="D533" s="7"/>
      <c r="E533" s="7"/>
      <c r="F533" s="7"/>
      <c r="G533" s="7"/>
      <c r="H533" s="7"/>
      <c r="I533" s="7"/>
      <c r="J533" s="8"/>
      <c r="K533" s="9"/>
    </row>
    <row r="534">
      <c r="A534" s="6"/>
      <c r="B534" s="7"/>
      <c r="C534" s="7"/>
      <c r="D534" s="7"/>
      <c r="E534" s="7"/>
      <c r="F534" s="7"/>
      <c r="G534" s="7"/>
      <c r="H534" s="7"/>
      <c r="I534" s="7"/>
      <c r="J534" s="8"/>
      <c r="K534" s="9"/>
    </row>
    <row r="535">
      <c r="A535" s="6"/>
      <c r="B535" s="7"/>
      <c r="C535" s="7"/>
      <c r="D535" s="7"/>
      <c r="E535" s="7"/>
      <c r="F535" s="7"/>
      <c r="G535" s="7"/>
      <c r="H535" s="7"/>
      <c r="I535" s="7"/>
      <c r="J535" s="8"/>
      <c r="K535" s="9"/>
    </row>
    <row r="536">
      <c r="A536" s="6"/>
      <c r="B536" s="7"/>
      <c r="C536" s="7"/>
      <c r="D536" s="7"/>
      <c r="E536" s="7"/>
      <c r="F536" s="7"/>
      <c r="G536" s="7"/>
      <c r="H536" s="7"/>
      <c r="I536" s="7"/>
      <c r="J536" s="8"/>
      <c r="K536" s="9"/>
    </row>
    <row r="537">
      <c r="A537" s="6"/>
      <c r="B537" s="7"/>
      <c r="C537" s="7"/>
      <c r="D537" s="7"/>
      <c r="E537" s="7"/>
      <c r="F537" s="7"/>
      <c r="G537" s="7"/>
      <c r="H537" s="7"/>
      <c r="I537" s="7"/>
      <c r="J537" s="8"/>
      <c r="K537" s="9"/>
    </row>
    <row r="538">
      <c r="A538" s="6"/>
      <c r="B538" s="7"/>
      <c r="C538" s="7"/>
      <c r="D538" s="7"/>
      <c r="E538" s="7"/>
      <c r="F538" s="7"/>
      <c r="G538" s="7"/>
      <c r="H538" s="7"/>
      <c r="I538" s="7"/>
      <c r="J538" s="8"/>
      <c r="K538" s="9"/>
    </row>
    <row r="539">
      <c r="A539" s="6"/>
      <c r="B539" s="7"/>
      <c r="C539" s="7"/>
      <c r="D539" s="7"/>
      <c r="E539" s="7"/>
      <c r="F539" s="7"/>
      <c r="G539" s="7"/>
      <c r="H539" s="7"/>
      <c r="I539" s="7"/>
      <c r="J539" s="8"/>
      <c r="K539" s="9"/>
    </row>
    <row r="540">
      <c r="A540" s="6"/>
      <c r="B540" s="7"/>
      <c r="C540" s="7"/>
      <c r="D540" s="7"/>
      <c r="E540" s="7"/>
      <c r="F540" s="7"/>
      <c r="G540" s="7"/>
      <c r="H540" s="7"/>
      <c r="I540" s="7"/>
      <c r="J540" s="8"/>
      <c r="K540" s="9"/>
    </row>
    <row r="541">
      <c r="A541" s="6"/>
      <c r="B541" s="7"/>
      <c r="C541" s="7"/>
      <c r="D541" s="7"/>
      <c r="E541" s="7"/>
      <c r="F541" s="7"/>
      <c r="G541" s="7"/>
      <c r="H541" s="7"/>
      <c r="I541" s="7"/>
      <c r="J541" s="8"/>
      <c r="K541" s="9"/>
    </row>
    <row r="542">
      <c r="A542" s="6"/>
      <c r="B542" s="7"/>
      <c r="C542" s="7"/>
      <c r="D542" s="7"/>
      <c r="E542" s="7"/>
      <c r="F542" s="7"/>
      <c r="G542" s="7"/>
      <c r="H542" s="7"/>
      <c r="I542" s="7"/>
      <c r="J542" s="8"/>
      <c r="K542" s="9"/>
    </row>
    <row r="543">
      <c r="A543" s="6"/>
      <c r="B543" s="7"/>
      <c r="C543" s="7"/>
      <c r="D543" s="7"/>
      <c r="E543" s="7"/>
      <c r="F543" s="7"/>
      <c r="G543" s="7"/>
      <c r="H543" s="7"/>
      <c r="I543" s="7"/>
      <c r="J543" s="8"/>
      <c r="K543" s="9"/>
    </row>
    <row r="544">
      <c r="A544" s="6"/>
      <c r="B544" s="7"/>
      <c r="C544" s="7"/>
      <c r="D544" s="7"/>
      <c r="E544" s="7"/>
      <c r="F544" s="7"/>
      <c r="G544" s="7"/>
      <c r="H544" s="7"/>
      <c r="I544" s="7"/>
      <c r="J544" s="8"/>
      <c r="K544" s="9"/>
    </row>
    <row r="545">
      <c r="A545" s="6"/>
      <c r="B545" s="7"/>
      <c r="C545" s="7"/>
      <c r="D545" s="7"/>
      <c r="E545" s="7"/>
      <c r="F545" s="7"/>
      <c r="G545" s="7"/>
      <c r="H545" s="7"/>
      <c r="I545" s="7"/>
      <c r="J545" s="8"/>
      <c r="K545" s="9"/>
    </row>
    <row r="546">
      <c r="A546" s="6"/>
      <c r="B546" s="7"/>
      <c r="C546" s="7"/>
      <c r="D546" s="7"/>
      <c r="E546" s="7"/>
      <c r="F546" s="7"/>
      <c r="G546" s="7"/>
      <c r="H546" s="7"/>
      <c r="I546" s="7"/>
      <c r="J546" s="8"/>
      <c r="K546" s="9"/>
    </row>
    <row r="547">
      <c r="A547" s="6"/>
      <c r="B547" s="7"/>
      <c r="C547" s="7"/>
      <c r="D547" s="7"/>
      <c r="E547" s="7"/>
      <c r="F547" s="7"/>
      <c r="G547" s="7"/>
      <c r="H547" s="7"/>
      <c r="I547" s="7"/>
      <c r="J547" s="8"/>
      <c r="K547" s="9"/>
    </row>
    <row r="548">
      <c r="A548" s="6"/>
      <c r="B548" s="7"/>
      <c r="C548" s="7"/>
      <c r="D548" s="7"/>
      <c r="E548" s="7"/>
      <c r="F548" s="7"/>
      <c r="G548" s="7"/>
      <c r="H548" s="7"/>
      <c r="I548" s="7"/>
      <c r="J548" s="8"/>
      <c r="K548" s="9"/>
    </row>
    <row r="549">
      <c r="A549" s="6"/>
      <c r="B549" s="7"/>
      <c r="C549" s="7"/>
      <c r="D549" s="7"/>
      <c r="E549" s="7"/>
      <c r="F549" s="7"/>
      <c r="G549" s="7"/>
      <c r="H549" s="7"/>
      <c r="I549" s="7"/>
      <c r="J549" s="8"/>
      <c r="K549" s="9"/>
    </row>
    <row r="550">
      <c r="A550" s="6"/>
      <c r="B550" s="7"/>
      <c r="C550" s="7"/>
      <c r="D550" s="7"/>
      <c r="E550" s="7"/>
      <c r="F550" s="7"/>
      <c r="G550" s="7"/>
      <c r="H550" s="7"/>
      <c r="I550" s="7"/>
      <c r="J550" s="8"/>
      <c r="K550" s="9"/>
    </row>
    <row r="551">
      <c r="A551" s="6"/>
      <c r="B551" s="7"/>
      <c r="C551" s="7"/>
      <c r="D551" s="7"/>
      <c r="E551" s="7"/>
      <c r="F551" s="7"/>
      <c r="G551" s="7"/>
      <c r="H551" s="7"/>
      <c r="I551" s="7"/>
      <c r="J551" s="8"/>
      <c r="K551" s="9"/>
    </row>
    <row r="552">
      <c r="A552" s="6"/>
      <c r="B552" s="7"/>
      <c r="C552" s="7"/>
      <c r="D552" s="7"/>
      <c r="E552" s="7"/>
      <c r="F552" s="7"/>
      <c r="G552" s="7"/>
      <c r="H552" s="7"/>
      <c r="I552" s="7"/>
      <c r="J552" s="8"/>
      <c r="K552" s="9"/>
    </row>
    <row r="553">
      <c r="A553" s="6"/>
      <c r="B553" s="7"/>
      <c r="C553" s="7"/>
      <c r="D553" s="7"/>
      <c r="E553" s="7"/>
      <c r="F553" s="7"/>
      <c r="G553" s="7"/>
      <c r="H553" s="7"/>
      <c r="I553" s="7"/>
      <c r="J553" s="8"/>
      <c r="K553" s="9"/>
    </row>
    <row r="554">
      <c r="A554" s="6"/>
      <c r="B554" s="7"/>
      <c r="C554" s="7"/>
      <c r="D554" s="7"/>
      <c r="E554" s="7"/>
      <c r="F554" s="7"/>
      <c r="G554" s="7"/>
      <c r="H554" s="7"/>
      <c r="I554" s="7"/>
      <c r="J554" s="8"/>
      <c r="K554" s="9"/>
    </row>
    <row r="555">
      <c r="A555" s="6"/>
      <c r="B555" s="7"/>
      <c r="C555" s="7"/>
      <c r="D555" s="7"/>
      <c r="E555" s="7"/>
      <c r="F555" s="7"/>
      <c r="G555" s="7"/>
      <c r="H555" s="7"/>
      <c r="I555" s="7"/>
      <c r="J555" s="8"/>
      <c r="K555" s="9"/>
    </row>
    <row r="556">
      <c r="A556" s="6"/>
      <c r="B556" s="7"/>
      <c r="C556" s="7"/>
      <c r="D556" s="7"/>
      <c r="E556" s="7"/>
      <c r="F556" s="7"/>
      <c r="G556" s="7"/>
      <c r="H556" s="7"/>
      <c r="I556" s="7"/>
      <c r="J556" s="8"/>
      <c r="K556" s="9"/>
    </row>
    <row r="557">
      <c r="A557" s="6"/>
      <c r="B557" s="7"/>
      <c r="C557" s="7"/>
      <c r="D557" s="7"/>
      <c r="E557" s="7"/>
      <c r="F557" s="7"/>
      <c r="G557" s="7"/>
      <c r="H557" s="7"/>
      <c r="I557" s="7"/>
      <c r="J557" s="8"/>
      <c r="K557" s="9"/>
    </row>
    <row r="558">
      <c r="A558" s="6"/>
      <c r="B558" s="7"/>
      <c r="C558" s="7"/>
      <c r="D558" s="7"/>
      <c r="E558" s="7"/>
      <c r="F558" s="7"/>
      <c r="G558" s="7"/>
      <c r="H558" s="7"/>
      <c r="I558" s="7"/>
      <c r="J558" s="8"/>
      <c r="K558" s="9"/>
    </row>
    <row r="559">
      <c r="A559" s="6"/>
      <c r="B559" s="7"/>
      <c r="C559" s="7"/>
      <c r="D559" s="7"/>
      <c r="E559" s="7"/>
      <c r="F559" s="7"/>
      <c r="G559" s="7"/>
      <c r="H559" s="7"/>
      <c r="I559" s="7"/>
      <c r="J559" s="8"/>
      <c r="K559" s="9"/>
    </row>
    <row r="560">
      <c r="A560" s="6"/>
      <c r="B560" s="7"/>
      <c r="C560" s="7"/>
      <c r="D560" s="7"/>
      <c r="E560" s="7"/>
      <c r="F560" s="7"/>
      <c r="G560" s="7"/>
      <c r="H560" s="7"/>
      <c r="I560" s="7"/>
      <c r="J560" s="8"/>
      <c r="K560" s="9"/>
    </row>
    <row r="561">
      <c r="A561" s="6"/>
      <c r="B561" s="7"/>
      <c r="C561" s="7"/>
      <c r="D561" s="7"/>
      <c r="E561" s="7"/>
      <c r="F561" s="7"/>
      <c r="G561" s="7"/>
      <c r="H561" s="7"/>
      <c r="I561" s="7"/>
      <c r="J561" s="8"/>
      <c r="K561" s="9"/>
    </row>
    <row r="562">
      <c r="A562" s="6"/>
      <c r="B562" s="7"/>
      <c r="C562" s="7"/>
      <c r="D562" s="7"/>
      <c r="E562" s="7"/>
      <c r="F562" s="7"/>
      <c r="G562" s="7"/>
      <c r="H562" s="7"/>
      <c r="I562" s="7"/>
      <c r="J562" s="8"/>
      <c r="K562" s="9"/>
    </row>
    <row r="563">
      <c r="A563" s="6"/>
      <c r="B563" s="7"/>
      <c r="C563" s="7"/>
      <c r="D563" s="7"/>
      <c r="E563" s="7"/>
      <c r="F563" s="7"/>
      <c r="G563" s="7"/>
      <c r="H563" s="7"/>
      <c r="I563" s="7"/>
      <c r="J563" s="8"/>
      <c r="K563" s="9"/>
    </row>
    <row r="564">
      <c r="A564" s="6"/>
      <c r="B564" s="7"/>
      <c r="C564" s="7"/>
      <c r="D564" s="7"/>
      <c r="E564" s="7"/>
      <c r="F564" s="7"/>
      <c r="G564" s="7"/>
      <c r="H564" s="7"/>
      <c r="I564" s="7"/>
      <c r="J564" s="8"/>
      <c r="K564" s="9"/>
    </row>
    <row r="565">
      <c r="A565" s="6"/>
      <c r="B565" s="7"/>
      <c r="C565" s="7"/>
      <c r="D565" s="7"/>
      <c r="E565" s="7"/>
      <c r="F565" s="7"/>
      <c r="G565" s="7"/>
      <c r="H565" s="7"/>
      <c r="I565" s="7"/>
      <c r="J565" s="8"/>
      <c r="K565" s="9"/>
    </row>
    <row r="566">
      <c r="A566" s="6"/>
      <c r="B566" s="7"/>
      <c r="C566" s="7"/>
      <c r="D566" s="7"/>
      <c r="E566" s="7"/>
      <c r="F566" s="7"/>
      <c r="G566" s="7"/>
      <c r="H566" s="7"/>
      <c r="I566" s="7"/>
      <c r="J566" s="8"/>
      <c r="K566" s="9"/>
    </row>
    <row r="567">
      <c r="A567" s="6"/>
      <c r="B567" s="7"/>
      <c r="C567" s="7"/>
      <c r="D567" s="7"/>
      <c r="E567" s="7"/>
      <c r="F567" s="7"/>
      <c r="G567" s="7"/>
      <c r="H567" s="7"/>
      <c r="I567" s="7"/>
      <c r="J567" s="8"/>
      <c r="K567" s="9"/>
    </row>
    <row r="568">
      <c r="A568" s="6"/>
      <c r="B568" s="7"/>
      <c r="C568" s="7"/>
      <c r="D568" s="7"/>
      <c r="E568" s="7"/>
      <c r="F568" s="7"/>
      <c r="G568" s="7"/>
      <c r="H568" s="7"/>
      <c r="I568" s="7"/>
      <c r="J568" s="8"/>
      <c r="K568" s="9"/>
    </row>
    <row r="569">
      <c r="A569" s="6"/>
      <c r="B569" s="7"/>
      <c r="C569" s="7"/>
      <c r="D569" s="7"/>
      <c r="E569" s="7"/>
      <c r="F569" s="7"/>
      <c r="G569" s="7"/>
      <c r="H569" s="7"/>
      <c r="I569" s="7"/>
      <c r="J569" s="8"/>
      <c r="K569" s="9"/>
    </row>
    <row r="570">
      <c r="A570" s="6"/>
      <c r="B570" s="7"/>
      <c r="C570" s="7"/>
      <c r="D570" s="7"/>
      <c r="E570" s="7"/>
      <c r="F570" s="7"/>
      <c r="G570" s="7"/>
      <c r="H570" s="7"/>
      <c r="I570" s="7"/>
      <c r="J570" s="8"/>
      <c r="K570" s="9"/>
    </row>
    <row r="571">
      <c r="A571" s="6"/>
      <c r="B571" s="7"/>
      <c r="C571" s="7"/>
      <c r="D571" s="7"/>
      <c r="E571" s="7"/>
      <c r="F571" s="7"/>
      <c r="G571" s="7"/>
      <c r="H571" s="7"/>
      <c r="I571" s="7"/>
      <c r="J571" s="8"/>
      <c r="K571" s="9"/>
    </row>
    <row r="572">
      <c r="A572" s="6"/>
      <c r="B572" s="7"/>
      <c r="C572" s="7"/>
      <c r="D572" s="7"/>
      <c r="E572" s="7"/>
      <c r="F572" s="7"/>
      <c r="G572" s="7"/>
      <c r="H572" s="7"/>
      <c r="I572" s="7"/>
      <c r="J572" s="8"/>
      <c r="K572" s="9"/>
    </row>
    <row r="573">
      <c r="A573" s="6"/>
      <c r="B573" s="7"/>
      <c r="C573" s="7"/>
      <c r="D573" s="7"/>
      <c r="E573" s="7"/>
      <c r="F573" s="7"/>
      <c r="G573" s="7"/>
      <c r="H573" s="7"/>
      <c r="I573" s="7"/>
      <c r="J573" s="8"/>
      <c r="K573" s="9"/>
    </row>
    <row r="574">
      <c r="A574" s="6"/>
      <c r="B574" s="7"/>
      <c r="C574" s="7"/>
      <c r="D574" s="7"/>
      <c r="E574" s="7"/>
      <c r="F574" s="7"/>
      <c r="G574" s="7"/>
      <c r="H574" s="7"/>
      <c r="I574" s="7"/>
      <c r="J574" s="8"/>
      <c r="K574" s="9"/>
    </row>
    <row r="575">
      <c r="A575" s="6"/>
      <c r="B575" s="7"/>
      <c r="C575" s="7"/>
      <c r="D575" s="7"/>
      <c r="E575" s="7"/>
      <c r="F575" s="7"/>
      <c r="G575" s="7"/>
      <c r="H575" s="7"/>
      <c r="I575" s="7"/>
      <c r="J575" s="8"/>
      <c r="K575" s="9"/>
    </row>
    <row r="576">
      <c r="A576" s="6"/>
      <c r="B576" s="7"/>
      <c r="C576" s="7"/>
      <c r="D576" s="7"/>
      <c r="E576" s="7"/>
      <c r="F576" s="7"/>
      <c r="G576" s="7"/>
      <c r="H576" s="7"/>
      <c r="I576" s="7"/>
      <c r="J576" s="8"/>
      <c r="K576" s="9"/>
    </row>
    <row r="577">
      <c r="A577" s="6"/>
      <c r="B577" s="7"/>
      <c r="C577" s="7"/>
      <c r="D577" s="7"/>
      <c r="E577" s="7"/>
      <c r="F577" s="7"/>
      <c r="G577" s="7"/>
      <c r="H577" s="7"/>
      <c r="I577" s="7"/>
      <c r="J577" s="8"/>
      <c r="K577" s="9"/>
    </row>
    <row r="578">
      <c r="A578" s="6"/>
      <c r="B578" s="7"/>
      <c r="C578" s="7"/>
      <c r="D578" s="7"/>
      <c r="E578" s="7"/>
      <c r="F578" s="7"/>
      <c r="G578" s="7"/>
      <c r="H578" s="7"/>
      <c r="I578" s="7"/>
      <c r="J578" s="8"/>
      <c r="K578" s="9"/>
    </row>
    <row r="579">
      <c r="A579" s="6"/>
      <c r="B579" s="7"/>
      <c r="C579" s="7"/>
      <c r="D579" s="7"/>
      <c r="E579" s="7"/>
      <c r="F579" s="7"/>
      <c r="G579" s="7"/>
      <c r="H579" s="7"/>
      <c r="I579" s="7"/>
      <c r="J579" s="8"/>
      <c r="K579" s="9"/>
    </row>
    <row r="580">
      <c r="A580" s="6"/>
      <c r="B580" s="7"/>
      <c r="C580" s="7"/>
      <c r="D580" s="7"/>
      <c r="E580" s="7"/>
      <c r="F580" s="7"/>
      <c r="G580" s="7"/>
      <c r="H580" s="7"/>
      <c r="I580" s="7"/>
      <c r="J580" s="8"/>
      <c r="K580" s="9"/>
    </row>
    <row r="581">
      <c r="A581" s="6"/>
      <c r="B581" s="7"/>
      <c r="C581" s="7"/>
      <c r="D581" s="7"/>
      <c r="E581" s="7"/>
      <c r="F581" s="7"/>
      <c r="G581" s="7"/>
      <c r="H581" s="7"/>
      <c r="I581" s="7"/>
      <c r="J581" s="8"/>
      <c r="K581" s="9"/>
    </row>
    <row r="582">
      <c r="A582" s="6"/>
      <c r="B582" s="7"/>
      <c r="C582" s="7"/>
      <c r="D582" s="7"/>
      <c r="E582" s="7"/>
      <c r="F582" s="7"/>
      <c r="G582" s="7"/>
      <c r="H582" s="7"/>
      <c r="I582" s="7"/>
      <c r="J582" s="8"/>
      <c r="K582" s="9"/>
    </row>
    <row r="583">
      <c r="A583" s="6"/>
      <c r="B583" s="7"/>
      <c r="C583" s="7"/>
      <c r="D583" s="7"/>
      <c r="E583" s="7"/>
      <c r="F583" s="7"/>
      <c r="G583" s="7"/>
      <c r="H583" s="7"/>
      <c r="I583" s="7"/>
      <c r="J583" s="8"/>
      <c r="K583" s="9"/>
    </row>
    <row r="584">
      <c r="A584" s="6"/>
      <c r="B584" s="7"/>
      <c r="C584" s="7"/>
      <c r="D584" s="7"/>
      <c r="E584" s="7"/>
      <c r="F584" s="7"/>
      <c r="G584" s="7"/>
      <c r="H584" s="7"/>
      <c r="I584" s="7"/>
      <c r="J584" s="8"/>
      <c r="K584" s="9"/>
    </row>
    <row r="585">
      <c r="A585" s="6"/>
      <c r="B585" s="7"/>
      <c r="C585" s="7"/>
      <c r="D585" s="7"/>
      <c r="E585" s="7"/>
      <c r="F585" s="7"/>
      <c r="G585" s="7"/>
      <c r="H585" s="7"/>
      <c r="I585" s="7"/>
      <c r="J585" s="8"/>
      <c r="K585" s="9"/>
    </row>
    <row r="586">
      <c r="A586" s="6"/>
      <c r="B586" s="7"/>
      <c r="C586" s="7"/>
      <c r="D586" s="7"/>
      <c r="E586" s="7"/>
      <c r="F586" s="7"/>
      <c r="G586" s="7"/>
      <c r="H586" s="7"/>
      <c r="I586" s="7"/>
      <c r="J586" s="8"/>
      <c r="K586" s="9"/>
    </row>
    <row r="587">
      <c r="A587" s="6"/>
      <c r="B587" s="7"/>
      <c r="C587" s="7"/>
      <c r="D587" s="7"/>
      <c r="E587" s="7"/>
      <c r="F587" s="7"/>
      <c r="G587" s="7"/>
      <c r="H587" s="7"/>
      <c r="I587" s="7"/>
      <c r="J587" s="8"/>
      <c r="K587" s="9"/>
    </row>
    <row r="588">
      <c r="A588" s="6"/>
      <c r="B588" s="7"/>
      <c r="C588" s="7"/>
      <c r="D588" s="7"/>
      <c r="E588" s="7"/>
      <c r="F588" s="7"/>
      <c r="G588" s="7"/>
      <c r="H588" s="7"/>
      <c r="I588" s="7"/>
      <c r="J588" s="8"/>
      <c r="K588" s="9"/>
    </row>
    <row r="589">
      <c r="A589" s="6"/>
      <c r="B589" s="7"/>
      <c r="C589" s="7"/>
      <c r="D589" s="7"/>
      <c r="E589" s="7"/>
      <c r="F589" s="7"/>
      <c r="G589" s="7"/>
      <c r="H589" s="7"/>
      <c r="I589" s="7"/>
      <c r="J589" s="8"/>
      <c r="K589" s="9"/>
    </row>
    <row r="590">
      <c r="A590" s="6"/>
      <c r="B590" s="7"/>
      <c r="C590" s="7"/>
      <c r="D590" s="7"/>
      <c r="E590" s="7"/>
      <c r="F590" s="7"/>
      <c r="G590" s="7"/>
      <c r="H590" s="7"/>
      <c r="I590" s="7"/>
      <c r="J590" s="8"/>
      <c r="K590" s="9"/>
    </row>
    <row r="591">
      <c r="A591" s="6"/>
      <c r="B591" s="7"/>
      <c r="C591" s="7"/>
      <c r="D591" s="7"/>
      <c r="E591" s="7"/>
      <c r="F591" s="7"/>
      <c r="G591" s="7"/>
      <c r="H591" s="7"/>
      <c r="I591" s="7"/>
      <c r="J591" s="8"/>
      <c r="K591" s="9"/>
    </row>
    <row r="592">
      <c r="A592" s="6"/>
      <c r="B592" s="7"/>
      <c r="C592" s="7"/>
      <c r="D592" s="7"/>
      <c r="E592" s="7"/>
      <c r="F592" s="7"/>
      <c r="G592" s="7"/>
      <c r="H592" s="7"/>
      <c r="I592" s="7"/>
      <c r="J592" s="8"/>
      <c r="K592" s="9"/>
    </row>
    <row r="593">
      <c r="A593" s="6"/>
      <c r="B593" s="7"/>
      <c r="C593" s="7"/>
      <c r="D593" s="7"/>
      <c r="E593" s="7"/>
      <c r="F593" s="7"/>
      <c r="G593" s="7"/>
      <c r="H593" s="7"/>
      <c r="I593" s="7"/>
      <c r="J593" s="8"/>
      <c r="K593" s="9"/>
    </row>
    <row r="594">
      <c r="A594" s="6"/>
      <c r="B594" s="7"/>
      <c r="C594" s="7"/>
      <c r="D594" s="7"/>
      <c r="E594" s="7"/>
      <c r="F594" s="7"/>
      <c r="G594" s="7"/>
      <c r="H594" s="7"/>
      <c r="I594" s="7"/>
      <c r="J594" s="8"/>
      <c r="K594" s="9"/>
    </row>
    <row r="595">
      <c r="A595" s="6"/>
      <c r="B595" s="7"/>
      <c r="C595" s="7"/>
      <c r="D595" s="7"/>
      <c r="E595" s="7"/>
      <c r="F595" s="7"/>
      <c r="G595" s="7"/>
      <c r="H595" s="7"/>
      <c r="I595" s="7"/>
      <c r="J595" s="8"/>
      <c r="K595" s="9"/>
    </row>
    <row r="596">
      <c r="A596" s="6"/>
      <c r="B596" s="7"/>
      <c r="C596" s="7"/>
      <c r="D596" s="7"/>
      <c r="E596" s="7"/>
      <c r="F596" s="7"/>
      <c r="G596" s="7"/>
      <c r="H596" s="7"/>
      <c r="I596" s="7"/>
      <c r="J596" s="8"/>
      <c r="K596" s="9"/>
    </row>
    <row r="597">
      <c r="A597" s="6"/>
      <c r="B597" s="7"/>
      <c r="C597" s="7"/>
      <c r="D597" s="7"/>
      <c r="E597" s="7"/>
      <c r="F597" s="7"/>
      <c r="G597" s="7"/>
      <c r="H597" s="7"/>
      <c r="I597" s="7"/>
      <c r="J597" s="8"/>
      <c r="K597" s="9"/>
    </row>
    <row r="598">
      <c r="A598" s="6"/>
      <c r="B598" s="7"/>
      <c r="C598" s="7"/>
      <c r="D598" s="7"/>
      <c r="E598" s="7"/>
      <c r="F598" s="7"/>
      <c r="G598" s="7"/>
      <c r="H598" s="7"/>
      <c r="I598" s="7"/>
      <c r="J598" s="8"/>
      <c r="K598" s="9"/>
    </row>
    <row r="599">
      <c r="A599" s="6"/>
      <c r="B599" s="7"/>
      <c r="C599" s="7"/>
      <c r="D599" s="7"/>
      <c r="E599" s="7"/>
      <c r="F599" s="7"/>
      <c r="G599" s="7"/>
      <c r="H599" s="7"/>
      <c r="I599" s="7"/>
      <c r="J599" s="8"/>
      <c r="K599" s="9"/>
    </row>
    <row r="600">
      <c r="A600" s="6"/>
      <c r="B600" s="7"/>
      <c r="C600" s="7"/>
      <c r="D600" s="7"/>
      <c r="E600" s="7"/>
      <c r="F600" s="7"/>
      <c r="G600" s="7"/>
      <c r="H600" s="7"/>
      <c r="I600" s="7"/>
      <c r="J600" s="8"/>
      <c r="K600" s="9"/>
    </row>
    <row r="601">
      <c r="A601" s="6"/>
      <c r="B601" s="7"/>
      <c r="C601" s="7"/>
      <c r="D601" s="7"/>
      <c r="E601" s="7"/>
      <c r="F601" s="7"/>
      <c r="G601" s="7"/>
      <c r="H601" s="7"/>
      <c r="I601" s="7"/>
      <c r="J601" s="8"/>
      <c r="K601" s="9"/>
    </row>
    <row r="602">
      <c r="A602" s="6"/>
      <c r="B602" s="7"/>
      <c r="C602" s="7"/>
      <c r="D602" s="7"/>
      <c r="E602" s="7"/>
      <c r="F602" s="7"/>
      <c r="G602" s="7"/>
      <c r="H602" s="7"/>
      <c r="I602" s="7"/>
      <c r="J602" s="8"/>
      <c r="K602" s="9"/>
    </row>
    <row r="603">
      <c r="A603" s="6"/>
      <c r="B603" s="7"/>
      <c r="C603" s="7"/>
      <c r="D603" s="7"/>
      <c r="E603" s="7"/>
      <c r="F603" s="7"/>
      <c r="G603" s="7"/>
      <c r="H603" s="7"/>
      <c r="I603" s="7"/>
      <c r="J603" s="8"/>
      <c r="K603" s="9"/>
    </row>
    <row r="604">
      <c r="A604" s="6"/>
      <c r="B604" s="7"/>
      <c r="C604" s="7"/>
      <c r="D604" s="7"/>
      <c r="E604" s="7"/>
      <c r="F604" s="7"/>
      <c r="G604" s="7"/>
      <c r="H604" s="7"/>
      <c r="I604" s="7"/>
      <c r="J604" s="8"/>
      <c r="K604" s="9"/>
    </row>
    <row r="605">
      <c r="A605" s="6"/>
      <c r="B605" s="7"/>
      <c r="C605" s="7"/>
      <c r="D605" s="7"/>
      <c r="E605" s="7"/>
      <c r="F605" s="7"/>
      <c r="G605" s="7"/>
      <c r="H605" s="7"/>
      <c r="I605" s="7"/>
      <c r="J605" s="8"/>
      <c r="K605" s="9"/>
    </row>
    <row r="606">
      <c r="A606" s="6"/>
      <c r="B606" s="7"/>
      <c r="C606" s="7"/>
      <c r="D606" s="7"/>
      <c r="E606" s="7"/>
      <c r="F606" s="7"/>
      <c r="G606" s="7"/>
      <c r="H606" s="7"/>
      <c r="I606" s="7"/>
      <c r="J606" s="8"/>
      <c r="K606" s="9"/>
    </row>
    <row r="607">
      <c r="A607" s="6"/>
      <c r="B607" s="7"/>
      <c r="C607" s="7"/>
      <c r="D607" s="7"/>
      <c r="E607" s="7"/>
      <c r="F607" s="7"/>
      <c r="G607" s="7"/>
      <c r="H607" s="7"/>
      <c r="I607" s="7"/>
      <c r="J607" s="8"/>
      <c r="K607" s="9"/>
    </row>
    <row r="608">
      <c r="A608" s="6"/>
      <c r="B608" s="7"/>
      <c r="C608" s="7"/>
      <c r="D608" s="7"/>
      <c r="E608" s="7"/>
      <c r="F608" s="7"/>
      <c r="G608" s="7"/>
      <c r="H608" s="7"/>
      <c r="I608" s="7"/>
      <c r="J608" s="8"/>
      <c r="K608" s="9"/>
    </row>
    <row r="609">
      <c r="A609" s="6"/>
      <c r="B609" s="7"/>
      <c r="C609" s="7"/>
      <c r="D609" s="7"/>
      <c r="E609" s="7"/>
      <c r="F609" s="7"/>
      <c r="G609" s="7"/>
      <c r="H609" s="7"/>
      <c r="I609" s="7"/>
      <c r="J609" s="8"/>
      <c r="K609" s="9"/>
    </row>
    <row r="610">
      <c r="A610" s="6"/>
      <c r="B610" s="7"/>
      <c r="C610" s="7"/>
      <c r="D610" s="7"/>
      <c r="E610" s="7"/>
      <c r="F610" s="7"/>
      <c r="G610" s="7"/>
      <c r="H610" s="7"/>
      <c r="I610" s="7"/>
      <c r="J610" s="8"/>
      <c r="K610" s="9"/>
    </row>
    <row r="611">
      <c r="A611" s="6"/>
      <c r="B611" s="7"/>
      <c r="C611" s="7"/>
      <c r="D611" s="7"/>
      <c r="E611" s="7"/>
      <c r="F611" s="7"/>
      <c r="G611" s="7"/>
      <c r="H611" s="7"/>
      <c r="I611" s="7"/>
      <c r="J611" s="8"/>
      <c r="K611" s="9"/>
    </row>
    <row r="612">
      <c r="A612" s="6"/>
      <c r="B612" s="7"/>
      <c r="C612" s="7"/>
      <c r="D612" s="7"/>
      <c r="E612" s="7"/>
      <c r="F612" s="7"/>
      <c r="G612" s="7"/>
      <c r="H612" s="7"/>
      <c r="I612" s="7"/>
      <c r="J612" s="8"/>
      <c r="K612" s="9"/>
    </row>
    <row r="613">
      <c r="A613" s="6"/>
      <c r="B613" s="7"/>
      <c r="C613" s="7"/>
      <c r="D613" s="7"/>
      <c r="E613" s="7"/>
      <c r="F613" s="7"/>
      <c r="G613" s="7"/>
      <c r="H613" s="7"/>
      <c r="I613" s="7"/>
      <c r="J613" s="8"/>
      <c r="K613" s="9"/>
    </row>
    <row r="614">
      <c r="A614" s="6"/>
      <c r="B614" s="7"/>
      <c r="C614" s="7"/>
      <c r="D614" s="7"/>
      <c r="E614" s="7"/>
      <c r="F614" s="7"/>
      <c r="G614" s="7"/>
      <c r="H614" s="7"/>
      <c r="I614" s="7"/>
      <c r="J614" s="8"/>
      <c r="K614" s="9"/>
    </row>
    <row r="615">
      <c r="A615" s="6"/>
      <c r="B615" s="7"/>
      <c r="C615" s="7"/>
      <c r="D615" s="7"/>
      <c r="E615" s="7"/>
      <c r="F615" s="7"/>
      <c r="G615" s="7"/>
      <c r="H615" s="7"/>
      <c r="I615" s="7"/>
      <c r="J615" s="8"/>
      <c r="K615" s="9"/>
    </row>
    <row r="616">
      <c r="A616" s="6"/>
      <c r="B616" s="7"/>
      <c r="C616" s="7"/>
      <c r="D616" s="7"/>
      <c r="E616" s="7"/>
      <c r="F616" s="7"/>
      <c r="G616" s="7"/>
      <c r="H616" s="7"/>
      <c r="I616" s="7"/>
      <c r="J616" s="8"/>
      <c r="K616" s="9"/>
    </row>
    <row r="617">
      <c r="A617" s="6"/>
      <c r="B617" s="7"/>
      <c r="C617" s="7"/>
      <c r="D617" s="7"/>
      <c r="E617" s="7"/>
      <c r="F617" s="7"/>
      <c r="G617" s="7"/>
      <c r="H617" s="7"/>
      <c r="I617" s="7"/>
      <c r="J617" s="8"/>
      <c r="K617" s="9"/>
    </row>
    <row r="618">
      <c r="A618" s="6"/>
      <c r="B618" s="7"/>
      <c r="C618" s="7"/>
      <c r="D618" s="7"/>
      <c r="E618" s="7"/>
      <c r="F618" s="7"/>
      <c r="G618" s="7"/>
      <c r="H618" s="7"/>
      <c r="I618" s="7"/>
      <c r="J618" s="8"/>
      <c r="K618" s="9"/>
    </row>
    <row r="619">
      <c r="A619" s="6"/>
      <c r="B619" s="7"/>
      <c r="C619" s="7"/>
      <c r="D619" s="7"/>
      <c r="E619" s="7"/>
      <c r="F619" s="7"/>
      <c r="G619" s="7"/>
      <c r="H619" s="7"/>
      <c r="I619" s="7"/>
      <c r="J619" s="8"/>
      <c r="K619" s="9"/>
    </row>
    <row r="620">
      <c r="A620" s="6"/>
      <c r="B620" s="7"/>
      <c r="C620" s="7"/>
      <c r="D620" s="7"/>
      <c r="E620" s="7"/>
      <c r="F620" s="7"/>
      <c r="G620" s="7"/>
      <c r="H620" s="7"/>
      <c r="I620" s="7"/>
      <c r="J620" s="8"/>
      <c r="K620" s="9"/>
    </row>
    <row r="621">
      <c r="A621" s="6"/>
      <c r="B621" s="7"/>
      <c r="C621" s="7"/>
      <c r="D621" s="7"/>
      <c r="E621" s="7"/>
      <c r="F621" s="7"/>
      <c r="G621" s="7"/>
      <c r="H621" s="7"/>
      <c r="I621" s="7"/>
      <c r="J621" s="8"/>
      <c r="K621" s="9"/>
    </row>
    <row r="622">
      <c r="A622" s="6"/>
      <c r="B622" s="7"/>
      <c r="C622" s="7"/>
      <c r="D622" s="7"/>
      <c r="E622" s="7"/>
      <c r="F622" s="7"/>
      <c r="G622" s="7"/>
      <c r="H622" s="7"/>
      <c r="I622" s="7"/>
      <c r="J622" s="8"/>
      <c r="K622" s="9"/>
    </row>
    <row r="623">
      <c r="A623" s="6"/>
      <c r="B623" s="7"/>
      <c r="C623" s="7"/>
      <c r="D623" s="7"/>
      <c r="E623" s="7"/>
      <c r="F623" s="7"/>
      <c r="G623" s="7"/>
      <c r="H623" s="7"/>
      <c r="I623" s="7"/>
      <c r="J623" s="8"/>
      <c r="K623" s="9"/>
    </row>
    <row r="624">
      <c r="A624" s="6"/>
      <c r="B624" s="7"/>
      <c r="C624" s="7"/>
      <c r="D624" s="7"/>
      <c r="E624" s="7"/>
      <c r="F624" s="7"/>
      <c r="G624" s="7"/>
      <c r="H624" s="7"/>
      <c r="I624" s="7"/>
      <c r="J624" s="8"/>
      <c r="K624" s="9"/>
    </row>
    <row r="625">
      <c r="A625" s="6"/>
      <c r="B625" s="7"/>
      <c r="C625" s="7"/>
      <c r="D625" s="7"/>
      <c r="E625" s="7"/>
      <c r="F625" s="7"/>
      <c r="G625" s="7"/>
      <c r="H625" s="7"/>
      <c r="I625" s="7"/>
      <c r="J625" s="8"/>
      <c r="K625" s="9"/>
    </row>
    <row r="626">
      <c r="A626" s="6"/>
      <c r="B626" s="7"/>
      <c r="C626" s="7"/>
      <c r="D626" s="7"/>
      <c r="E626" s="7"/>
      <c r="F626" s="7"/>
      <c r="G626" s="7"/>
      <c r="H626" s="7"/>
      <c r="I626" s="7"/>
      <c r="J626" s="8"/>
      <c r="K626" s="9"/>
    </row>
    <row r="627">
      <c r="A627" s="6"/>
      <c r="B627" s="7"/>
      <c r="C627" s="7"/>
      <c r="D627" s="7"/>
      <c r="E627" s="7"/>
      <c r="F627" s="7"/>
      <c r="G627" s="7"/>
      <c r="H627" s="7"/>
      <c r="I627" s="7"/>
      <c r="J627" s="8"/>
      <c r="K627" s="9"/>
    </row>
    <row r="628">
      <c r="A628" s="6"/>
      <c r="B628" s="7"/>
      <c r="C628" s="7"/>
      <c r="D628" s="7"/>
      <c r="E628" s="7"/>
      <c r="F628" s="7"/>
      <c r="G628" s="7"/>
      <c r="H628" s="7"/>
      <c r="I628" s="7"/>
      <c r="J628" s="8"/>
      <c r="K628" s="9"/>
    </row>
    <row r="629">
      <c r="A629" s="6"/>
      <c r="B629" s="7"/>
      <c r="C629" s="7"/>
      <c r="D629" s="7"/>
      <c r="E629" s="7"/>
      <c r="F629" s="7"/>
      <c r="G629" s="7"/>
      <c r="H629" s="7"/>
      <c r="I629" s="7"/>
      <c r="J629" s="8"/>
      <c r="K629" s="9"/>
    </row>
    <row r="630">
      <c r="A630" s="6"/>
      <c r="B630" s="7"/>
      <c r="C630" s="7"/>
      <c r="D630" s="7"/>
      <c r="E630" s="7"/>
      <c r="F630" s="7"/>
      <c r="G630" s="7"/>
      <c r="H630" s="7"/>
      <c r="I630" s="7"/>
      <c r="J630" s="8"/>
      <c r="K630" s="9"/>
    </row>
    <row r="631">
      <c r="A631" s="6"/>
      <c r="B631" s="7"/>
      <c r="C631" s="7"/>
      <c r="D631" s="7"/>
      <c r="E631" s="7"/>
      <c r="F631" s="7"/>
      <c r="G631" s="7"/>
      <c r="H631" s="7"/>
      <c r="I631" s="7"/>
      <c r="J631" s="8"/>
      <c r="K631" s="9"/>
    </row>
    <row r="632">
      <c r="A632" s="6"/>
      <c r="B632" s="7"/>
      <c r="C632" s="7"/>
      <c r="D632" s="7"/>
      <c r="E632" s="7"/>
      <c r="F632" s="7"/>
      <c r="G632" s="7"/>
      <c r="H632" s="7"/>
      <c r="I632" s="7"/>
      <c r="J632" s="8"/>
      <c r="K632" s="9"/>
    </row>
    <row r="633">
      <c r="A633" s="6"/>
      <c r="B633" s="7"/>
      <c r="C633" s="7"/>
      <c r="D633" s="7"/>
      <c r="E633" s="7"/>
      <c r="F633" s="7"/>
      <c r="G633" s="7"/>
      <c r="H633" s="7"/>
      <c r="I633" s="7"/>
      <c r="J633" s="8"/>
      <c r="K633" s="9"/>
    </row>
    <row r="634">
      <c r="A634" s="6"/>
      <c r="B634" s="7"/>
      <c r="C634" s="7"/>
      <c r="D634" s="7"/>
      <c r="E634" s="7"/>
      <c r="F634" s="7"/>
      <c r="G634" s="7"/>
      <c r="H634" s="7"/>
      <c r="I634" s="7"/>
      <c r="J634" s="8"/>
      <c r="K634" s="9"/>
    </row>
    <row r="635">
      <c r="A635" s="6"/>
      <c r="B635" s="7"/>
      <c r="C635" s="7"/>
      <c r="D635" s="7"/>
      <c r="E635" s="7"/>
      <c r="F635" s="7"/>
      <c r="G635" s="7"/>
      <c r="H635" s="7"/>
      <c r="I635" s="7"/>
      <c r="J635" s="8"/>
      <c r="K635" s="9"/>
    </row>
    <row r="636">
      <c r="A636" s="6"/>
      <c r="B636" s="7"/>
      <c r="C636" s="7"/>
      <c r="D636" s="7"/>
      <c r="E636" s="7"/>
      <c r="F636" s="7"/>
      <c r="G636" s="7"/>
      <c r="H636" s="7"/>
      <c r="I636" s="7"/>
      <c r="J636" s="8"/>
      <c r="K636" s="9"/>
    </row>
    <row r="637">
      <c r="A637" s="6"/>
      <c r="B637" s="7"/>
      <c r="C637" s="7"/>
      <c r="D637" s="7"/>
      <c r="E637" s="7"/>
      <c r="F637" s="7"/>
      <c r="G637" s="7"/>
      <c r="H637" s="7"/>
      <c r="I637" s="7"/>
      <c r="J637" s="8"/>
      <c r="K637" s="9"/>
    </row>
    <row r="638">
      <c r="A638" s="6"/>
      <c r="B638" s="7"/>
      <c r="C638" s="7"/>
      <c r="D638" s="7"/>
      <c r="E638" s="7"/>
      <c r="F638" s="7"/>
      <c r="G638" s="7"/>
      <c r="H638" s="7"/>
      <c r="I638" s="7"/>
      <c r="J638" s="8"/>
      <c r="K638" s="9"/>
    </row>
    <row r="639">
      <c r="A639" s="6"/>
      <c r="B639" s="7"/>
      <c r="C639" s="7"/>
      <c r="D639" s="7"/>
      <c r="E639" s="7"/>
      <c r="F639" s="7"/>
      <c r="G639" s="7"/>
      <c r="H639" s="7"/>
      <c r="I639" s="7"/>
      <c r="J639" s="8"/>
      <c r="K639" s="9"/>
    </row>
    <row r="640">
      <c r="A640" s="6"/>
      <c r="B640" s="7"/>
      <c r="C640" s="7"/>
      <c r="D640" s="7"/>
      <c r="E640" s="7"/>
      <c r="F640" s="7"/>
      <c r="G640" s="7"/>
      <c r="H640" s="7"/>
      <c r="I640" s="7"/>
      <c r="J640" s="8"/>
      <c r="K640" s="9"/>
    </row>
    <row r="641">
      <c r="A641" s="6"/>
      <c r="B641" s="7"/>
      <c r="C641" s="7"/>
      <c r="D641" s="7"/>
      <c r="E641" s="7"/>
      <c r="F641" s="7"/>
      <c r="G641" s="7"/>
      <c r="H641" s="7"/>
      <c r="I641" s="7"/>
      <c r="J641" s="8"/>
      <c r="K641" s="9"/>
    </row>
    <row r="642">
      <c r="A642" s="6"/>
      <c r="B642" s="7"/>
      <c r="C642" s="7"/>
      <c r="D642" s="7"/>
      <c r="E642" s="7"/>
      <c r="F642" s="7"/>
      <c r="G642" s="7"/>
      <c r="H642" s="7"/>
      <c r="I642" s="7"/>
      <c r="J642" s="8"/>
      <c r="K642" s="9"/>
    </row>
    <row r="643">
      <c r="A643" s="6"/>
      <c r="B643" s="7"/>
      <c r="C643" s="7"/>
      <c r="D643" s="7"/>
      <c r="E643" s="7"/>
      <c r="F643" s="7"/>
      <c r="G643" s="7"/>
      <c r="H643" s="7"/>
      <c r="I643" s="7"/>
      <c r="J643" s="8"/>
      <c r="K643" s="9"/>
    </row>
    <row r="644">
      <c r="A644" s="6"/>
      <c r="B644" s="7"/>
      <c r="C644" s="7"/>
      <c r="D644" s="7"/>
      <c r="E644" s="7"/>
      <c r="F644" s="7"/>
      <c r="G644" s="7"/>
      <c r="H644" s="7"/>
      <c r="I644" s="7"/>
      <c r="J644" s="8"/>
      <c r="K644" s="9"/>
    </row>
    <row r="645">
      <c r="A645" s="6"/>
      <c r="B645" s="7"/>
      <c r="C645" s="7"/>
      <c r="D645" s="7"/>
      <c r="E645" s="7"/>
      <c r="F645" s="7"/>
      <c r="G645" s="7"/>
      <c r="H645" s="7"/>
      <c r="I645" s="7"/>
      <c r="J645" s="8"/>
      <c r="K645" s="9"/>
    </row>
    <row r="646">
      <c r="A646" s="6"/>
      <c r="B646" s="7"/>
      <c r="C646" s="7"/>
      <c r="D646" s="7"/>
      <c r="E646" s="7"/>
      <c r="F646" s="7"/>
      <c r="G646" s="7"/>
      <c r="H646" s="7"/>
      <c r="I646" s="7"/>
      <c r="J646" s="8"/>
      <c r="K646" s="9"/>
    </row>
    <row r="647">
      <c r="A647" s="6"/>
      <c r="B647" s="7"/>
      <c r="C647" s="7"/>
      <c r="D647" s="7"/>
      <c r="E647" s="7"/>
      <c r="F647" s="7"/>
      <c r="G647" s="7"/>
      <c r="H647" s="7"/>
      <c r="I647" s="7"/>
      <c r="J647" s="8"/>
      <c r="K647" s="9"/>
    </row>
    <row r="648">
      <c r="A648" s="6"/>
      <c r="B648" s="7"/>
      <c r="C648" s="7"/>
      <c r="D648" s="7"/>
      <c r="E648" s="7"/>
      <c r="F648" s="7"/>
      <c r="G648" s="7"/>
      <c r="H648" s="7"/>
      <c r="I648" s="7"/>
      <c r="J648" s="8"/>
      <c r="K648" s="9"/>
    </row>
    <row r="649">
      <c r="A649" s="6"/>
      <c r="B649" s="7"/>
      <c r="C649" s="7"/>
      <c r="D649" s="7"/>
      <c r="E649" s="7"/>
      <c r="F649" s="7"/>
      <c r="G649" s="7"/>
      <c r="H649" s="7"/>
      <c r="I649" s="7"/>
      <c r="J649" s="8"/>
      <c r="K649" s="9"/>
    </row>
    <row r="650">
      <c r="A650" s="6"/>
      <c r="B650" s="7"/>
      <c r="C650" s="7"/>
      <c r="D650" s="7"/>
      <c r="E650" s="7"/>
      <c r="F650" s="7"/>
      <c r="G650" s="7"/>
      <c r="H650" s="7"/>
      <c r="I650" s="7"/>
      <c r="J650" s="8"/>
      <c r="K650" s="9"/>
    </row>
    <row r="651">
      <c r="A651" s="6"/>
      <c r="B651" s="7"/>
      <c r="C651" s="7"/>
      <c r="D651" s="7"/>
      <c r="E651" s="7"/>
      <c r="F651" s="7"/>
      <c r="G651" s="7"/>
      <c r="H651" s="7"/>
      <c r="I651" s="7"/>
      <c r="J651" s="8"/>
      <c r="K651" s="9"/>
    </row>
    <row r="652">
      <c r="A652" s="6"/>
      <c r="B652" s="7"/>
      <c r="C652" s="7"/>
      <c r="D652" s="7"/>
      <c r="E652" s="7"/>
      <c r="F652" s="7"/>
      <c r="G652" s="7"/>
      <c r="H652" s="7"/>
      <c r="I652" s="7"/>
      <c r="J652" s="8"/>
      <c r="K652" s="9"/>
    </row>
    <row r="653">
      <c r="A653" s="6"/>
      <c r="B653" s="7"/>
      <c r="C653" s="7"/>
      <c r="D653" s="7"/>
      <c r="E653" s="7"/>
      <c r="F653" s="7"/>
      <c r="G653" s="7"/>
      <c r="H653" s="7"/>
      <c r="I653" s="7"/>
      <c r="J653" s="8"/>
      <c r="K653" s="9"/>
    </row>
    <row r="654">
      <c r="A654" s="6"/>
      <c r="B654" s="7"/>
      <c r="C654" s="7"/>
      <c r="D654" s="7"/>
      <c r="E654" s="7"/>
      <c r="F654" s="7"/>
      <c r="G654" s="7"/>
      <c r="H654" s="7"/>
      <c r="I654" s="7"/>
      <c r="J654" s="8"/>
      <c r="K654" s="9"/>
    </row>
    <row r="655">
      <c r="A655" s="6"/>
      <c r="B655" s="7"/>
      <c r="C655" s="7"/>
      <c r="D655" s="7"/>
      <c r="E655" s="7"/>
      <c r="F655" s="7"/>
      <c r="G655" s="7"/>
      <c r="H655" s="7"/>
      <c r="I655" s="7"/>
      <c r="J655" s="8"/>
      <c r="K655" s="9"/>
    </row>
    <row r="656">
      <c r="A656" s="6"/>
      <c r="B656" s="7"/>
      <c r="C656" s="7"/>
      <c r="D656" s="7"/>
      <c r="E656" s="7"/>
      <c r="F656" s="7"/>
      <c r="G656" s="7"/>
      <c r="H656" s="7"/>
      <c r="I656" s="7"/>
      <c r="J656" s="8"/>
      <c r="K656" s="9"/>
    </row>
    <row r="657">
      <c r="A657" s="6"/>
      <c r="B657" s="7"/>
      <c r="C657" s="7"/>
      <c r="D657" s="7"/>
      <c r="E657" s="7"/>
      <c r="F657" s="7"/>
      <c r="G657" s="7"/>
      <c r="H657" s="7"/>
      <c r="I657" s="7"/>
      <c r="J657" s="8"/>
      <c r="K657" s="9"/>
    </row>
    <row r="658">
      <c r="A658" s="6"/>
      <c r="B658" s="7"/>
      <c r="C658" s="7"/>
      <c r="D658" s="7"/>
      <c r="E658" s="7"/>
      <c r="F658" s="7"/>
      <c r="G658" s="7"/>
      <c r="H658" s="7"/>
      <c r="I658" s="7"/>
      <c r="J658" s="8"/>
      <c r="K658" s="9"/>
    </row>
    <row r="659">
      <c r="A659" s="6"/>
      <c r="B659" s="7"/>
      <c r="C659" s="7"/>
      <c r="D659" s="7"/>
      <c r="E659" s="7"/>
      <c r="F659" s="7"/>
      <c r="G659" s="7"/>
      <c r="H659" s="7"/>
      <c r="I659" s="7"/>
      <c r="J659" s="8"/>
      <c r="K659" s="9"/>
    </row>
    <row r="660">
      <c r="A660" s="6"/>
      <c r="B660" s="7"/>
      <c r="C660" s="7"/>
      <c r="D660" s="7"/>
      <c r="E660" s="7"/>
      <c r="F660" s="7"/>
      <c r="G660" s="7"/>
      <c r="H660" s="7"/>
      <c r="I660" s="7"/>
      <c r="J660" s="8"/>
      <c r="K660" s="9"/>
    </row>
    <row r="661">
      <c r="A661" s="6"/>
      <c r="B661" s="7"/>
      <c r="C661" s="7"/>
      <c r="D661" s="7"/>
      <c r="E661" s="7"/>
      <c r="F661" s="7"/>
      <c r="G661" s="7"/>
      <c r="H661" s="7"/>
      <c r="I661" s="7"/>
      <c r="J661" s="8"/>
      <c r="K661" s="9"/>
    </row>
    <row r="662">
      <c r="A662" s="6"/>
      <c r="B662" s="7"/>
      <c r="C662" s="7"/>
      <c r="D662" s="7"/>
      <c r="E662" s="7"/>
      <c r="F662" s="7"/>
      <c r="G662" s="7"/>
      <c r="H662" s="7"/>
      <c r="I662" s="7"/>
      <c r="J662" s="8"/>
      <c r="K662" s="9"/>
    </row>
    <row r="663">
      <c r="A663" s="6"/>
      <c r="B663" s="7"/>
      <c r="C663" s="7"/>
      <c r="D663" s="7"/>
      <c r="E663" s="7"/>
      <c r="F663" s="7"/>
      <c r="G663" s="7"/>
      <c r="H663" s="7"/>
      <c r="I663" s="7"/>
      <c r="J663" s="8"/>
      <c r="K663" s="9"/>
    </row>
    <row r="664">
      <c r="A664" s="6"/>
      <c r="B664" s="7"/>
      <c r="C664" s="7"/>
      <c r="D664" s="7"/>
      <c r="E664" s="7"/>
      <c r="F664" s="7"/>
      <c r="G664" s="7"/>
      <c r="H664" s="7"/>
      <c r="I664" s="7"/>
      <c r="J664" s="8"/>
      <c r="K664" s="9"/>
    </row>
    <row r="665">
      <c r="A665" s="6"/>
      <c r="B665" s="7"/>
      <c r="C665" s="7"/>
      <c r="D665" s="7"/>
      <c r="E665" s="7"/>
      <c r="F665" s="7"/>
      <c r="G665" s="7"/>
      <c r="H665" s="7"/>
      <c r="I665" s="7"/>
      <c r="J665" s="8"/>
      <c r="K665" s="9"/>
    </row>
    <row r="666">
      <c r="A666" s="6"/>
      <c r="B666" s="7"/>
      <c r="C666" s="7"/>
      <c r="D666" s="7"/>
      <c r="E666" s="7"/>
      <c r="F666" s="7"/>
      <c r="G666" s="7"/>
      <c r="H666" s="7"/>
      <c r="I666" s="7"/>
      <c r="J666" s="8"/>
      <c r="K666" s="9"/>
    </row>
    <row r="667">
      <c r="A667" s="6"/>
      <c r="B667" s="7"/>
      <c r="C667" s="7"/>
      <c r="D667" s="7"/>
      <c r="E667" s="7"/>
      <c r="F667" s="7"/>
      <c r="G667" s="7"/>
      <c r="H667" s="7"/>
      <c r="I667" s="7"/>
      <c r="J667" s="8"/>
      <c r="K667" s="9"/>
    </row>
    <row r="668">
      <c r="A668" s="6"/>
      <c r="B668" s="7"/>
      <c r="C668" s="7"/>
      <c r="D668" s="7"/>
      <c r="E668" s="7"/>
      <c r="F668" s="7"/>
      <c r="G668" s="7"/>
      <c r="H668" s="7"/>
      <c r="I668" s="7"/>
      <c r="J668" s="8"/>
      <c r="K668" s="9"/>
    </row>
    <row r="669">
      <c r="A669" s="6"/>
      <c r="B669" s="7"/>
      <c r="C669" s="7"/>
      <c r="D669" s="7"/>
      <c r="E669" s="7"/>
      <c r="F669" s="7"/>
      <c r="G669" s="7"/>
      <c r="H669" s="7"/>
      <c r="I669" s="7"/>
      <c r="J669" s="8"/>
      <c r="K669" s="9"/>
    </row>
    <row r="670">
      <c r="A670" s="6"/>
      <c r="B670" s="7"/>
      <c r="C670" s="7"/>
      <c r="D670" s="7"/>
      <c r="E670" s="7"/>
      <c r="F670" s="7"/>
      <c r="G670" s="7"/>
      <c r="H670" s="7"/>
      <c r="I670" s="7"/>
      <c r="J670" s="8"/>
      <c r="K670" s="9"/>
    </row>
    <row r="671">
      <c r="A671" s="6"/>
      <c r="B671" s="7"/>
      <c r="C671" s="7"/>
      <c r="D671" s="7"/>
      <c r="E671" s="7"/>
      <c r="F671" s="7"/>
      <c r="G671" s="7"/>
      <c r="H671" s="7"/>
      <c r="I671" s="7"/>
      <c r="J671" s="8"/>
      <c r="K671" s="9"/>
    </row>
    <row r="672">
      <c r="A672" s="6"/>
      <c r="B672" s="7"/>
      <c r="C672" s="7"/>
      <c r="D672" s="7"/>
      <c r="E672" s="7"/>
      <c r="F672" s="7"/>
      <c r="G672" s="7"/>
      <c r="H672" s="7"/>
      <c r="I672" s="7"/>
      <c r="J672" s="8"/>
      <c r="K672" s="9"/>
    </row>
    <row r="673">
      <c r="A673" s="6"/>
      <c r="B673" s="7"/>
      <c r="C673" s="7"/>
      <c r="D673" s="7"/>
      <c r="E673" s="7"/>
      <c r="F673" s="7"/>
      <c r="G673" s="7"/>
      <c r="H673" s="7"/>
      <c r="I673" s="7"/>
      <c r="J673" s="8"/>
      <c r="K673" s="9"/>
    </row>
    <row r="674">
      <c r="A674" s="6"/>
      <c r="B674" s="7"/>
      <c r="C674" s="7"/>
      <c r="D674" s="7"/>
      <c r="E674" s="7"/>
      <c r="F674" s="7"/>
      <c r="G674" s="7"/>
      <c r="H674" s="7"/>
      <c r="I674" s="7"/>
      <c r="J674" s="8"/>
      <c r="K674" s="9"/>
    </row>
    <row r="675">
      <c r="A675" s="6"/>
      <c r="B675" s="7"/>
      <c r="C675" s="7"/>
      <c r="D675" s="7"/>
      <c r="E675" s="7"/>
      <c r="F675" s="7"/>
      <c r="G675" s="7"/>
      <c r="H675" s="7"/>
      <c r="I675" s="7"/>
      <c r="J675" s="8"/>
      <c r="K675" s="9"/>
    </row>
    <row r="676">
      <c r="A676" s="6"/>
      <c r="B676" s="7"/>
      <c r="C676" s="7"/>
      <c r="D676" s="7"/>
      <c r="E676" s="7"/>
      <c r="F676" s="7"/>
      <c r="G676" s="7"/>
      <c r="H676" s="7"/>
      <c r="I676" s="7"/>
      <c r="J676" s="8"/>
      <c r="K676" s="9"/>
    </row>
    <row r="677">
      <c r="A677" s="6"/>
      <c r="B677" s="7"/>
      <c r="C677" s="7"/>
      <c r="D677" s="7"/>
      <c r="E677" s="7"/>
      <c r="F677" s="7"/>
      <c r="G677" s="7"/>
      <c r="H677" s="7"/>
      <c r="I677" s="7"/>
      <c r="J677" s="8"/>
      <c r="K677" s="9"/>
    </row>
    <row r="678">
      <c r="A678" s="6"/>
      <c r="B678" s="7"/>
      <c r="C678" s="7"/>
      <c r="D678" s="7"/>
      <c r="E678" s="7"/>
      <c r="F678" s="7"/>
      <c r="G678" s="7"/>
      <c r="H678" s="7"/>
      <c r="I678" s="7"/>
      <c r="J678" s="8"/>
      <c r="K678" s="9"/>
    </row>
    <row r="679">
      <c r="A679" s="6"/>
      <c r="B679" s="7"/>
      <c r="C679" s="7"/>
      <c r="D679" s="7"/>
      <c r="E679" s="7"/>
      <c r="F679" s="7"/>
      <c r="G679" s="7"/>
      <c r="H679" s="7"/>
      <c r="I679" s="7"/>
      <c r="J679" s="8"/>
      <c r="K679" s="9"/>
    </row>
    <row r="680">
      <c r="A680" s="6"/>
      <c r="B680" s="7"/>
      <c r="C680" s="7"/>
      <c r="D680" s="7"/>
      <c r="E680" s="7"/>
      <c r="F680" s="7"/>
      <c r="G680" s="7"/>
      <c r="H680" s="7"/>
      <c r="I680" s="7"/>
      <c r="J680" s="8"/>
      <c r="K680" s="9"/>
    </row>
    <row r="681">
      <c r="A681" s="6"/>
      <c r="B681" s="7"/>
      <c r="C681" s="7"/>
      <c r="D681" s="7"/>
      <c r="E681" s="7"/>
      <c r="F681" s="7"/>
      <c r="G681" s="7"/>
      <c r="H681" s="7"/>
      <c r="I681" s="7"/>
      <c r="J681" s="8"/>
      <c r="K681" s="9"/>
    </row>
    <row r="682">
      <c r="A682" s="6"/>
      <c r="B682" s="7"/>
      <c r="C682" s="7"/>
      <c r="D682" s="7"/>
      <c r="E682" s="7"/>
      <c r="F682" s="7"/>
      <c r="G682" s="7"/>
      <c r="H682" s="7"/>
      <c r="I682" s="7"/>
      <c r="J682" s="8"/>
      <c r="K682" s="9"/>
    </row>
    <row r="683">
      <c r="A683" s="6"/>
      <c r="B683" s="7"/>
      <c r="C683" s="7"/>
      <c r="D683" s="7"/>
      <c r="E683" s="7"/>
      <c r="F683" s="7"/>
      <c r="G683" s="7"/>
      <c r="H683" s="7"/>
      <c r="I683" s="7"/>
      <c r="J683" s="8"/>
      <c r="K683" s="9"/>
    </row>
    <row r="684">
      <c r="A684" s="6"/>
      <c r="B684" s="7"/>
      <c r="C684" s="7"/>
      <c r="D684" s="7"/>
      <c r="E684" s="7"/>
      <c r="F684" s="7"/>
      <c r="G684" s="7"/>
      <c r="H684" s="7"/>
      <c r="I684" s="7"/>
      <c r="J684" s="8"/>
      <c r="K684" s="9"/>
    </row>
    <row r="685">
      <c r="A685" s="6"/>
      <c r="B685" s="7"/>
      <c r="C685" s="7"/>
      <c r="D685" s="7"/>
      <c r="E685" s="7"/>
      <c r="F685" s="7"/>
      <c r="G685" s="7"/>
      <c r="H685" s="7"/>
      <c r="I685" s="7"/>
      <c r="J685" s="8"/>
      <c r="K685" s="9"/>
    </row>
    <row r="686">
      <c r="A686" s="6"/>
      <c r="B686" s="7"/>
      <c r="C686" s="7"/>
      <c r="D686" s="7"/>
      <c r="E686" s="7"/>
      <c r="F686" s="7"/>
      <c r="G686" s="7"/>
      <c r="H686" s="7"/>
      <c r="I686" s="7"/>
      <c r="J686" s="8"/>
      <c r="K686" s="9"/>
    </row>
    <row r="687">
      <c r="A687" s="6"/>
      <c r="B687" s="7"/>
      <c r="C687" s="7"/>
      <c r="D687" s="7"/>
      <c r="E687" s="7"/>
      <c r="F687" s="7"/>
      <c r="G687" s="7"/>
      <c r="H687" s="7"/>
      <c r="I687" s="7"/>
      <c r="J687" s="8"/>
      <c r="K687" s="9"/>
    </row>
    <row r="688">
      <c r="A688" s="6"/>
      <c r="B688" s="7"/>
      <c r="C688" s="7"/>
      <c r="D688" s="7"/>
      <c r="E688" s="7"/>
      <c r="F688" s="7"/>
      <c r="G688" s="7"/>
      <c r="H688" s="7"/>
      <c r="I688" s="7"/>
      <c r="J688" s="8"/>
      <c r="K688" s="9"/>
    </row>
    <row r="689">
      <c r="A689" s="6"/>
      <c r="B689" s="7"/>
      <c r="C689" s="7"/>
      <c r="D689" s="7"/>
      <c r="E689" s="7"/>
      <c r="F689" s="7"/>
      <c r="G689" s="7"/>
      <c r="H689" s="7"/>
      <c r="I689" s="7"/>
      <c r="J689" s="8"/>
      <c r="K689" s="9"/>
    </row>
    <row r="690">
      <c r="A690" s="6"/>
      <c r="B690" s="7"/>
      <c r="C690" s="7"/>
      <c r="D690" s="7"/>
      <c r="E690" s="7"/>
      <c r="F690" s="7"/>
      <c r="G690" s="7"/>
      <c r="H690" s="7"/>
      <c r="I690" s="7"/>
      <c r="J690" s="8"/>
      <c r="K690" s="9"/>
    </row>
    <row r="691">
      <c r="A691" s="6"/>
      <c r="B691" s="7"/>
      <c r="C691" s="7"/>
      <c r="D691" s="7"/>
      <c r="E691" s="7"/>
      <c r="F691" s="7"/>
      <c r="G691" s="7"/>
      <c r="H691" s="7"/>
      <c r="I691" s="7"/>
      <c r="J691" s="8"/>
      <c r="K691" s="9"/>
    </row>
    <row r="692">
      <c r="A692" s="6"/>
      <c r="B692" s="7"/>
      <c r="C692" s="7"/>
      <c r="D692" s="7"/>
      <c r="E692" s="7"/>
      <c r="F692" s="7"/>
      <c r="G692" s="7"/>
      <c r="H692" s="7"/>
      <c r="I692" s="7"/>
      <c r="J692" s="8"/>
      <c r="K692" s="9"/>
    </row>
    <row r="693">
      <c r="A693" s="6"/>
      <c r="B693" s="7"/>
      <c r="C693" s="7"/>
      <c r="D693" s="7"/>
      <c r="E693" s="7"/>
      <c r="F693" s="7"/>
      <c r="G693" s="7"/>
      <c r="H693" s="7"/>
      <c r="I693" s="7"/>
      <c r="J693" s="8"/>
      <c r="K693" s="9"/>
    </row>
    <row r="694">
      <c r="A694" s="6"/>
      <c r="B694" s="7"/>
      <c r="C694" s="7"/>
      <c r="D694" s="7"/>
      <c r="E694" s="7"/>
      <c r="F694" s="7"/>
      <c r="G694" s="7"/>
      <c r="H694" s="7"/>
      <c r="I694" s="7"/>
      <c r="J694" s="8"/>
      <c r="K694" s="9"/>
    </row>
    <row r="695">
      <c r="A695" s="6"/>
      <c r="B695" s="7"/>
      <c r="C695" s="7"/>
      <c r="D695" s="7"/>
      <c r="E695" s="7"/>
      <c r="F695" s="7"/>
      <c r="G695" s="7"/>
      <c r="H695" s="7"/>
      <c r="I695" s="7"/>
      <c r="J695" s="8"/>
      <c r="K695" s="9"/>
    </row>
    <row r="696">
      <c r="A696" s="6"/>
      <c r="B696" s="7"/>
      <c r="C696" s="7"/>
      <c r="D696" s="7"/>
      <c r="E696" s="7"/>
      <c r="F696" s="7"/>
      <c r="G696" s="7"/>
      <c r="H696" s="7"/>
      <c r="I696" s="7"/>
      <c r="J696" s="8"/>
      <c r="K696" s="9"/>
    </row>
    <row r="697">
      <c r="A697" s="6"/>
      <c r="B697" s="7"/>
      <c r="C697" s="7"/>
      <c r="D697" s="7"/>
      <c r="E697" s="7"/>
      <c r="F697" s="7"/>
      <c r="G697" s="7"/>
      <c r="H697" s="7"/>
      <c r="I697" s="7"/>
      <c r="J697" s="8"/>
      <c r="K697" s="9"/>
    </row>
    <row r="698">
      <c r="A698" s="6"/>
      <c r="B698" s="7"/>
      <c r="C698" s="7"/>
      <c r="D698" s="7"/>
      <c r="E698" s="7"/>
      <c r="F698" s="7"/>
      <c r="G698" s="7"/>
      <c r="H698" s="7"/>
      <c r="I698" s="7"/>
      <c r="J698" s="8"/>
      <c r="K698" s="9"/>
    </row>
    <row r="699">
      <c r="A699" s="6"/>
      <c r="B699" s="7"/>
      <c r="C699" s="7"/>
      <c r="D699" s="7"/>
      <c r="E699" s="7"/>
      <c r="F699" s="7"/>
      <c r="G699" s="7"/>
      <c r="H699" s="7"/>
      <c r="I699" s="7"/>
      <c r="J699" s="8"/>
      <c r="K699" s="9"/>
    </row>
    <row r="700">
      <c r="A700" s="6"/>
      <c r="B700" s="7"/>
      <c r="C700" s="7"/>
      <c r="D700" s="7"/>
      <c r="E700" s="7"/>
      <c r="F700" s="7"/>
      <c r="G700" s="7"/>
      <c r="H700" s="7"/>
      <c r="I700" s="7"/>
      <c r="J700" s="8"/>
      <c r="K700" s="9"/>
    </row>
    <row r="701">
      <c r="A701" s="6"/>
      <c r="B701" s="7"/>
      <c r="C701" s="7"/>
      <c r="D701" s="7"/>
      <c r="E701" s="7"/>
      <c r="F701" s="7"/>
      <c r="G701" s="7"/>
      <c r="H701" s="7"/>
      <c r="I701" s="7"/>
      <c r="J701" s="8"/>
      <c r="K701" s="9"/>
    </row>
    <row r="702">
      <c r="A702" s="6"/>
      <c r="B702" s="7"/>
      <c r="C702" s="7"/>
      <c r="D702" s="7"/>
      <c r="E702" s="7"/>
      <c r="F702" s="7"/>
      <c r="G702" s="7"/>
      <c r="H702" s="7"/>
      <c r="I702" s="7"/>
      <c r="J702" s="8"/>
      <c r="K702" s="9"/>
    </row>
    <row r="703">
      <c r="A703" s="6"/>
      <c r="B703" s="7"/>
      <c r="C703" s="7"/>
      <c r="D703" s="7"/>
      <c r="E703" s="7"/>
      <c r="F703" s="7"/>
      <c r="G703" s="7"/>
      <c r="H703" s="7"/>
      <c r="I703" s="7"/>
      <c r="J703" s="8"/>
      <c r="K703" s="9"/>
    </row>
    <row r="704">
      <c r="A704" s="6"/>
      <c r="B704" s="7"/>
      <c r="C704" s="7"/>
      <c r="D704" s="7"/>
      <c r="E704" s="7"/>
      <c r="F704" s="7"/>
      <c r="G704" s="7"/>
      <c r="H704" s="7"/>
      <c r="I704" s="7"/>
      <c r="J704" s="8"/>
      <c r="K704" s="9"/>
    </row>
    <row r="705">
      <c r="A705" s="6"/>
      <c r="B705" s="7"/>
      <c r="C705" s="7"/>
      <c r="D705" s="7"/>
      <c r="E705" s="7"/>
      <c r="F705" s="7"/>
      <c r="G705" s="7"/>
      <c r="H705" s="7"/>
      <c r="I705" s="7"/>
      <c r="J705" s="8"/>
      <c r="K705" s="9"/>
    </row>
    <row r="706">
      <c r="A706" s="6"/>
      <c r="B706" s="7"/>
      <c r="C706" s="7"/>
      <c r="D706" s="7"/>
      <c r="E706" s="7"/>
      <c r="F706" s="7"/>
      <c r="G706" s="7"/>
      <c r="H706" s="7"/>
      <c r="I706" s="7"/>
      <c r="J706" s="8"/>
      <c r="K706" s="9"/>
    </row>
    <row r="707">
      <c r="A707" s="6"/>
      <c r="B707" s="7"/>
      <c r="C707" s="7"/>
      <c r="D707" s="7"/>
      <c r="E707" s="7"/>
      <c r="F707" s="7"/>
      <c r="G707" s="7"/>
      <c r="H707" s="7"/>
      <c r="I707" s="7"/>
      <c r="J707" s="8"/>
      <c r="K707" s="9"/>
    </row>
    <row r="708">
      <c r="A708" s="6"/>
      <c r="B708" s="7"/>
      <c r="C708" s="7"/>
      <c r="D708" s="7"/>
      <c r="E708" s="7"/>
      <c r="F708" s="7"/>
      <c r="G708" s="7"/>
      <c r="H708" s="7"/>
      <c r="I708" s="7"/>
      <c r="J708" s="8"/>
      <c r="K708" s="9"/>
    </row>
    <row r="709">
      <c r="A709" s="6"/>
      <c r="B709" s="7"/>
      <c r="C709" s="7"/>
      <c r="D709" s="7"/>
      <c r="E709" s="7"/>
      <c r="F709" s="7"/>
      <c r="G709" s="7"/>
      <c r="H709" s="7"/>
      <c r="I709" s="7"/>
      <c r="J709" s="8"/>
      <c r="K709" s="9"/>
    </row>
    <row r="710">
      <c r="A710" s="6"/>
      <c r="B710" s="7"/>
      <c r="C710" s="7"/>
      <c r="D710" s="7"/>
      <c r="E710" s="7"/>
      <c r="F710" s="7"/>
      <c r="G710" s="7"/>
      <c r="H710" s="7"/>
      <c r="I710" s="7"/>
      <c r="J710" s="8"/>
      <c r="K710" s="9"/>
    </row>
    <row r="711">
      <c r="A711" s="6"/>
      <c r="B711" s="7"/>
      <c r="C711" s="7"/>
      <c r="D711" s="7"/>
      <c r="E711" s="7"/>
      <c r="F711" s="7"/>
      <c r="G711" s="7"/>
      <c r="H711" s="7"/>
      <c r="I711" s="7"/>
      <c r="J711" s="8"/>
      <c r="K711" s="9"/>
    </row>
    <row r="712">
      <c r="A712" s="6"/>
      <c r="B712" s="7"/>
      <c r="C712" s="7"/>
      <c r="D712" s="7"/>
      <c r="E712" s="7"/>
      <c r="F712" s="7"/>
      <c r="G712" s="7"/>
      <c r="H712" s="7"/>
      <c r="I712" s="7"/>
      <c r="J712" s="8"/>
      <c r="K712" s="9"/>
    </row>
    <row r="713">
      <c r="A713" s="6"/>
      <c r="B713" s="7"/>
      <c r="C713" s="7"/>
      <c r="D713" s="7"/>
      <c r="E713" s="7"/>
      <c r="F713" s="7"/>
      <c r="G713" s="7"/>
      <c r="H713" s="7"/>
      <c r="I713" s="7"/>
      <c r="J713" s="8"/>
      <c r="K713" s="9"/>
    </row>
    <row r="714">
      <c r="A714" s="6"/>
      <c r="B714" s="7"/>
      <c r="C714" s="7"/>
      <c r="D714" s="7"/>
      <c r="E714" s="7"/>
      <c r="F714" s="7"/>
      <c r="G714" s="7"/>
      <c r="H714" s="7"/>
      <c r="I714" s="7"/>
      <c r="J714" s="8"/>
      <c r="K714" s="9"/>
    </row>
    <row r="715">
      <c r="A715" s="6"/>
      <c r="B715" s="7"/>
      <c r="C715" s="7"/>
      <c r="D715" s="7"/>
      <c r="E715" s="7"/>
      <c r="F715" s="7"/>
      <c r="G715" s="7"/>
      <c r="H715" s="7"/>
      <c r="I715" s="7"/>
      <c r="J715" s="8"/>
      <c r="K715" s="9"/>
    </row>
    <row r="716">
      <c r="A716" s="6"/>
      <c r="B716" s="7"/>
      <c r="C716" s="7"/>
      <c r="D716" s="7"/>
      <c r="E716" s="7"/>
      <c r="F716" s="7"/>
      <c r="G716" s="7"/>
      <c r="H716" s="7"/>
      <c r="I716" s="7"/>
      <c r="J716" s="8"/>
      <c r="K716" s="9"/>
    </row>
    <row r="717">
      <c r="A717" s="6"/>
      <c r="B717" s="7"/>
      <c r="C717" s="7"/>
      <c r="D717" s="7"/>
      <c r="E717" s="7"/>
      <c r="F717" s="7"/>
      <c r="G717" s="7"/>
      <c r="H717" s="7"/>
      <c r="I717" s="7"/>
      <c r="J717" s="8"/>
      <c r="K717" s="9"/>
    </row>
    <row r="718">
      <c r="A718" s="6"/>
      <c r="B718" s="7"/>
      <c r="C718" s="7"/>
      <c r="D718" s="7"/>
      <c r="E718" s="7"/>
      <c r="F718" s="7"/>
      <c r="G718" s="7"/>
      <c r="H718" s="7"/>
      <c r="I718" s="7"/>
      <c r="J718" s="8"/>
      <c r="K718" s="9"/>
    </row>
    <row r="719">
      <c r="A719" s="6"/>
      <c r="B719" s="7"/>
      <c r="C719" s="7"/>
      <c r="D719" s="7"/>
      <c r="E719" s="7"/>
      <c r="F719" s="7"/>
      <c r="G719" s="7"/>
      <c r="H719" s="7"/>
      <c r="I719" s="7"/>
      <c r="J719" s="8"/>
      <c r="K719" s="9"/>
    </row>
    <row r="720">
      <c r="A720" s="6"/>
      <c r="B720" s="7"/>
      <c r="C720" s="7"/>
      <c r="D720" s="7"/>
      <c r="E720" s="7"/>
      <c r="F720" s="7"/>
      <c r="G720" s="7"/>
      <c r="H720" s="7"/>
      <c r="I720" s="7"/>
      <c r="J720" s="8"/>
      <c r="K720" s="9"/>
    </row>
    <row r="721">
      <c r="A721" s="6"/>
      <c r="B721" s="7"/>
      <c r="C721" s="7"/>
      <c r="D721" s="7"/>
      <c r="E721" s="7"/>
      <c r="F721" s="7"/>
      <c r="G721" s="7"/>
      <c r="H721" s="7"/>
      <c r="I721" s="7"/>
      <c r="J721" s="8"/>
      <c r="K721" s="9"/>
    </row>
    <row r="722">
      <c r="A722" s="6"/>
      <c r="B722" s="7"/>
      <c r="C722" s="7"/>
      <c r="D722" s="7"/>
      <c r="E722" s="7"/>
      <c r="F722" s="7"/>
      <c r="G722" s="7"/>
      <c r="H722" s="7"/>
      <c r="I722" s="7"/>
      <c r="J722" s="8"/>
      <c r="K722" s="9"/>
    </row>
    <row r="723">
      <c r="A723" s="6"/>
      <c r="B723" s="7"/>
      <c r="C723" s="7"/>
      <c r="D723" s="7"/>
      <c r="E723" s="7"/>
      <c r="F723" s="7"/>
      <c r="G723" s="7"/>
      <c r="H723" s="7"/>
      <c r="I723" s="7"/>
      <c r="J723" s="8"/>
      <c r="K723" s="9"/>
    </row>
    <row r="724">
      <c r="A724" s="6"/>
      <c r="B724" s="7"/>
      <c r="C724" s="7"/>
      <c r="D724" s="7"/>
      <c r="E724" s="7"/>
      <c r="F724" s="7"/>
      <c r="G724" s="7"/>
      <c r="H724" s="7"/>
      <c r="I724" s="7"/>
      <c r="J724" s="8"/>
      <c r="K724" s="9"/>
    </row>
    <row r="725">
      <c r="A725" s="6"/>
      <c r="B725" s="7"/>
      <c r="C725" s="7"/>
      <c r="D725" s="7"/>
      <c r="E725" s="7"/>
      <c r="F725" s="7"/>
      <c r="G725" s="7"/>
      <c r="H725" s="7"/>
      <c r="I725" s="7"/>
      <c r="J725" s="8"/>
      <c r="K725" s="9"/>
    </row>
    <row r="726">
      <c r="A726" s="6"/>
      <c r="B726" s="7"/>
      <c r="C726" s="7"/>
      <c r="D726" s="7"/>
      <c r="E726" s="7"/>
      <c r="F726" s="7"/>
      <c r="G726" s="7"/>
      <c r="H726" s="7"/>
      <c r="I726" s="7"/>
      <c r="J726" s="8"/>
      <c r="K726" s="9"/>
    </row>
    <row r="727">
      <c r="A727" s="6"/>
      <c r="B727" s="7"/>
      <c r="C727" s="7"/>
      <c r="D727" s="7"/>
      <c r="E727" s="7"/>
      <c r="F727" s="7"/>
      <c r="G727" s="7"/>
      <c r="H727" s="7"/>
      <c r="I727" s="7"/>
      <c r="J727" s="8"/>
      <c r="K727" s="9"/>
    </row>
    <row r="728">
      <c r="A728" s="6"/>
      <c r="B728" s="7"/>
      <c r="C728" s="7"/>
      <c r="D728" s="7"/>
      <c r="E728" s="7"/>
      <c r="F728" s="7"/>
      <c r="G728" s="7"/>
      <c r="H728" s="7"/>
      <c r="I728" s="7"/>
      <c r="J728" s="8"/>
      <c r="K728" s="9"/>
    </row>
    <row r="729">
      <c r="A729" s="6"/>
      <c r="B729" s="7"/>
      <c r="C729" s="7"/>
      <c r="D729" s="7"/>
      <c r="E729" s="7"/>
      <c r="F729" s="7"/>
      <c r="G729" s="7"/>
      <c r="H729" s="7"/>
      <c r="I729" s="7"/>
      <c r="J729" s="8"/>
      <c r="K729" s="9"/>
    </row>
    <row r="730">
      <c r="A730" s="6"/>
      <c r="B730" s="7"/>
      <c r="C730" s="7"/>
      <c r="D730" s="7"/>
      <c r="E730" s="7"/>
      <c r="F730" s="7"/>
      <c r="G730" s="7"/>
      <c r="H730" s="7"/>
      <c r="I730" s="7"/>
      <c r="J730" s="8"/>
      <c r="K730" s="9"/>
    </row>
    <row r="731">
      <c r="A731" s="6"/>
      <c r="B731" s="7"/>
      <c r="C731" s="7"/>
      <c r="D731" s="7"/>
      <c r="E731" s="7"/>
      <c r="F731" s="7"/>
      <c r="G731" s="7"/>
      <c r="H731" s="7"/>
      <c r="I731" s="7"/>
      <c r="J731" s="8"/>
      <c r="K731" s="9"/>
    </row>
    <row r="732">
      <c r="A732" s="6"/>
      <c r="B732" s="7"/>
      <c r="C732" s="7"/>
      <c r="D732" s="7"/>
      <c r="E732" s="7"/>
      <c r="F732" s="7"/>
      <c r="G732" s="7"/>
      <c r="H732" s="7"/>
      <c r="I732" s="7"/>
      <c r="J732" s="8"/>
      <c r="K732" s="9"/>
    </row>
    <row r="733">
      <c r="A733" s="6"/>
      <c r="B733" s="7"/>
      <c r="C733" s="7"/>
      <c r="D733" s="7"/>
      <c r="E733" s="7"/>
      <c r="F733" s="7"/>
      <c r="G733" s="7"/>
      <c r="H733" s="7"/>
      <c r="I733" s="7"/>
      <c r="J733" s="8"/>
      <c r="K733" s="9"/>
    </row>
    <row r="734">
      <c r="A734" s="6"/>
      <c r="B734" s="7"/>
      <c r="C734" s="7"/>
      <c r="D734" s="7"/>
      <c r="E734" s="7"/>
      <c r="F734" s="7"/>
      <c r="G734" s="7"/>
      <c r="H734" s="7"/>
      <c r="I734" s="7"/>
      <c r="J734" s="8"/>
      <c r="K734" s="9"/>
    </row>
    <row r="735">
      <c r="A735" s="6"/>
      <c r="B735" s="7"/>
      <c r="C735" s="7"/>
      <c r="D735" s="7"/>
      <c r="E735" s="7"/>
      <c r="F735" s="7"/>
      <c r="G735" s="7"/>
      <c r="H735" s="7"/>
      <c r="I735" s="7"/>
      <c r="J735" s="8"/>
      <c r="K735" s="9"/>
    </row>
    <row r="736">
      <c r="A736" s="6"/>
      <c r="B736" s="7"/>
      <c r="C736" s="7"/>
      <c r="D736" s="7"/>
      <c r="E736" s="7"/>
      <c r="F736" s="7"/>
      <c r="G736" s="7"/>
      <c r="H736" s="7"/>
      <c r="I736" s="7"/>
      <c r="J736" s="8"/>
      <c r="K736" s="9"/>
    </row>
    <row r="737">
      <c r="A737" s="6"/>
      <c r="B737" s="7"/>
      <c r="C737" s="7"/>
      <c r="D737" s="7"/>
      <c r="E737" s="7"/>
      <c r="F737" s="7"/>
      <c r="G737" s="7"/>
      <c r="H737" s="7"/>
      <c r="I737" s="7"/>
      <c r="J737" s="8"/>
      <c r="K737" s="9"/>
    </row>
    <row r="738">
      <c r="A738" s="6"/>
      <c r="B738" s="7"/>
      <c r="C738" s="7"/>
      <c r="D738" s="7"/>
      <c r="E738" s="7"/>
      <c r="F738" s="7"/>
      <c r="G738" s="7"/>
      <c r="H738" s="7"/>
      <c r="I738" s="7"/>
      <c r="J738" s="8"/>
      <c r="K738" s="9"/>
    </row>
    <row r="739">
      <c r="A739" s="6"/>
      <c r="B739" s="7"/>
      <c r="C739" s="7"/>
      <c r="D739" s="7"/>
      <c r="E739" s="7"/>
      <c r="F739" s="7"/>
      <c r="G739" s="7"/>
      <c r="H739" s="7"/>
      <c r="I739" s="7"/>
      <c r="J739" s="8"/>
      <c r="K739" s="9"/>
    </row>
    <row r="740">
      <c r="A740" s="6"/>
      <c r="B740" s="7"/>
      <c r="C740" s="7"/>
      <c r="D740" s="7"/>
      <c r="E740" s="7"/>
      <c r="F740" s="7"/>
      <c r="G740" s="7"/>
      <c r="H740" s="7"/>
      <c r="I740" s="7"/>
      <c r="J740" s="8"/>
      <c r="K740" s="9"/>
    </row>
    <row r="741">
      <c r="A741" s="6"/>
      <c r="B741" s="7"/>
      <c r="C741" s="7"/>
      <c r="D741" s="7"/>
      <c r="E741" s="7"/>
      <c r="F741" s="7"/>
      <c r="G741" s="7"/>
      <c r="H741" s="7"/>
      <c r="I741" s="7"/>
      <c r="J741" s="8"/>
      <c r="K741" s="9"/>
    </row>
    <row r="742">
      <c r="A742" s="6"/>
      <c r="B742" s="7"/>
      <c r="C742" s="7"/>
      <c r="D742" s="7"/>
      <c r="E742" s="7"/>
      <c r="F742" s="7"/>
      <c r="G742" s="7"/>
      <c r="H742" s="7"/>
      <c r="I742" s="7"/>
      <c r="J742" s="8"/>
      <c r="K742" s="9"/>
    </row>
    <row r="743">
      <c r="A743" s="6"/>
      <c r="B743" s="7"/>
      <c r="C743" s="7"/>
      <c r="D743" s="7"/>
      <c r="E743" s="7"/>
      <c r="F743" s="7"/>
      <c r="G743" s="7"/>
      <c r="H743" s="7"/>
      <c r="I743" s="7"/>
      <c r="J743" s="8"/>
      <c r="K743" s="9"/>
    </row>
    <row r="744">
      <c r="A744" s="6"/>
      <c r="B744" s="7"/>
      <c r="C744" s="7"/>
      <c r="D744" s="7"/>
      <c r="E744" s="7"/>
      <c r="F744" s="7"/>
      <c r="G744" s="7"/>
      <c r="H744" s="7"/>
      <c r="I744" s="7"/>
      <c r="J744" s="8"/>
      <c r="K744" s="9"/>
    </row>
    <row r="745">
      <c r="A745" s="6"/>
      <c r="B745" s="7"/>
      <c r="C745" s="7"/>
      <c r="D745" s="7"/>
      <c r="E745" s="7"/>
      <c r="F745" s="7"/>
      <c r="G745" s="7"/>
      <c r="H745" s="7"/>
      <c r="I745" s="7"/>
      <c r="J745" s="8"/>
      <c r="K745" s="9"/>
    </row>
    <row r="746">
      <c r="A746" s="6"/>
      <c r="B746" s="7"/>
      <c r="C746" s="7"/>
      <c r="D746" s="7"/>
      <c r="E746" s="7"/>
      <c r="F746" s="7"/>
      <c r="G746" s="7"/>
      <c r="H746" s="7"/>
      <c r="I746" s="7"/>
      <c r="J746" s="8"/>
      <c r="K746" s="9"/>
    </row>
    <row r="747">
      <c r="A747" s="6"/>
      <c r="B747" s="7"/>
      <c r="C747" s="7"/>
      <c r="D747" s="7"/>
      <c r="E747" s="7"/>
      <c r="F747" s="7"/>
      <c r="G747" s="7"/>
      <c r="H747" s="7"/>
      <c r="I747" s="7"/>
      <c r="J747" s="8"/>
      <c r="K747" s="9"/>
    </row>
    <row r="748">
      <c r="A748" s="6"/>
      <c r="B748" s="7"/>
      <c r="C748" s="7"/>
      <c r="D748" s="7"/>
      <c r="E748" s="7"/>
      <c r="F748" s="7"/>
      <c r="G748" s="7"/>
      <c r="H748" s="7"/>
      <c r="I748" s="7"/>
      <c r="J748" s="8"/>
      <c r="K748" s="9"/>
    </row>
    <row r="749">
      <c r="A749" s="6"/>
      <c r="B749" s="7"/>
      <c r="C749" s="7"/>
      <c r="D749" s="7"/>
      <c r="E749" s="7"/>
      <c r="F749" s="7"/>
      <c r="G749" s="7"/>
      <c r="H749" s="7"/>
      <c r="I749" s="7"/>
      <c r="J749" s="8"/>
      <c r="K749" s="9"/>
    </row>
    <row r="750">
      <c r="A750" s="6"/>
      <c r="B750" s="7"/>
      <c r="C750" s="7"/>
      <c r="D750" s="7"/>
      <c r="E750" s="7"/>
      <c r="F750" s="7"/>
      <c r="G750" s="7"/>
      <c r="H750" s="7"/>
      <c r="I750" s="7"/>
      <c r="J750" s="8"/>
      <c r="K750" s="9"/>
    </row>
    <row r="751">
      <c r="A751" s="6"/>
      <c r="B751" s="7"/>
      <c r="C751" s="7"/>
      <c r="D751" s="7"/>
      <c r="E751" s="7"/>
      <c r="F751" s="7"/>
      <c r="G751" s="7"/>
      <c r="H751" s="7"/>
      <c r="I751" s="7"/>
      <c r="J751" s="8"/>
      <c r="K751" s="9"/>
    </row>
    <row r="752">
      <c r="A752" s="6"/>
      <c r="B752" s="7"/>
      <c r="C752" s="7"/>
      <c r="D752" s="7"/>
      <c r="E752" s="7"/>
      <c r="F752" s="7"/>
      <c r="G752" s="7"/>
      <c r="H752" s="7"/>
      <c r="I752" s="7"/>
      <c r="J752" s="8"/>
      <c r="K752" s="9"/>
    </row>
    <row r="753">
      <c r="A753" s="6"/>
      <c r="B753" s="7"/>
      <c r="C753" s="7"/>
      <c r="D753" s="7"/>
      <c r="E753" s="7"/>
      <c r="F753" s="7"/>
      <c r="G753" s="7"/>
      <c r="H753" s="7"/>
      <c r="I753" s="7"/>
      <c r="J753" s="8"/>
      <c r="K753" s="9"/>
    </row>
    <row r="754">
      <c r="A754" s="6"/>
      <c r="B754" s="7"/>
      <c r="C754" s="7"/>
      <c r="D754" s="7"/>
      <c r="E754" s="7"/>
      <c r="F754" s="7"/>
      <c r="G754" s="7"/>
      <c r="H754" s="7"/>
      <c r="I754" s="7"/>
      <c r="J754" s="8"/>
      <c r="K754" s="9"/>
    </row>
    <row r="755">
      <c r="A755" s="6"/>
      <c r="B755" s="7"/>
      <c r="C755" s="7"/>
      <c r="D755" s="7"/>
      <c r="E755" s="7"/>
      <c r="F755" s="7"/>
      <c r="G755" s="7"/>
      <c r="H755" s="7"/>
      <c r="I755" s="7"/>
      <c r="J755" s="8"/>
      <c r="K755" s="9"/>
    </row>
    <row r="756">
      <c r="A756" s="6"/>
      <c r="B756" s="7"/>
      <c r="C756" s="7"/>
      <c r="D756" s="7"/>
      <c r="E756" s="7"/>
      <c r="F756" s="7"/>
      <c r="G756" s="7"/>
      <c r="H756" s="7"/>
      <c r="I756" s="7"/>
      <c r="J756" s="8"/>
      <c r="K756" s="9"/>
    </row>
    <row r="757">
      <c r="A757" s="6"/>
      <c r="B757" s="7"/>
      <c r="C757" s="7"/>
      <c r="D757" s="7"/>
      <c r="E757" s="7"/>
      <c r="F757" s="7"/>
      <c r="G757" s="7"/>
      <c r="H757" s="7"/>
      <c r="I757" s="7"/>
      <c r="J757" s="8"/>
      <c r="K757" s="9"/>
    </row>
    <row r="758">
      <c r="A758" s="6"/>
      <c r="B758" s="7"/>
      <c r="C758" s="7"/>
      <c r="D758" s="7"/>
      <c r="E758" s="7"/>
      <c r="F758" s="7"/>
      <c r="G758" s="7"/>
      <c r="H758" s="7"/>
      <c r="I758" s="7"/>
      <c r="J758" s="8"/>
      <c r="K758" s="9"/>
    </row>
    <row r="759">
      <c r="A759" s="6"/>
      <c r="B759" s="7"/>
      <c r="C759" s="7"/>
      <c r="D759" s="7"/>
      <c r="E759" s="7"/>
      <c r="F759" s="7"/>
      <c r="G759" s="7"/>
      <c r="H759" s="7"/>
      <c r="I759" s="7"/>
      <c r="J759" s="8"/>
      <c r="K759" s="9"/>
    </row>
    <row r="760">
      <c r="A760" s="6"/>
      <c r="B760" s="7"/>
      <c r="C760" s="7"/>
      <c r="D760" s="7"/>
      <c r="E760" s="7"/>
      <c r="F760" s="7"/>
      <c r="G760" s="7"/>
      <c r="H760" s="7"/>
      <c r="I760" s="7"/>
      <c r="J760" s="8"/>
      <c r="K760" s="9"/>
    </row>
    <row r="761">
      <c r="A761" s="6"/>
      <c r="B761" s="7"/>
      <c r="C761" s="7"/>
      <c r="D761" s="7"/>
      <c r="E761" s="7"/>
      <c r="F761" s="7"/>
      <c r="G761" s="7"/>
      <c r="H761" s="7"/>
      <c r="I761" s="7"/>
      <c r="J761" s="8"/>
      <c r="K761" s="9"/>
    </row>
    <row r="762">
      <c r="A762" s="6"/>
      <c r="B762" s="7"/>
      <c r="C762" s="7"/>
      <c r="D762" s="7"/>
      <c r="E762" s="7"/>
      <c r="F762" s="7"/>
      <c r="G762" s="7"/>
      <c r="H762" s="7"/>
      <c r="I762" s="7"/>
      <c r="J762" s="8"/>
      <c r="K762" s="9"/>
    </row>
    <row r="763">
      <c r="A763" s="6"/>
      <c r="B763" s="7"/>
      <c r="C763" s="7"/>
      <c r="D763" s="7"/>
      <c r="E763" s="7"/>
      <c r="F763" s="7"/>
      <c r="G763" s="7"/>
      <c r="H763" s="7"/>
      <c r="I763" s="7"/>
      <c r="J763" s="8"/>
      <c r="K763" s="9"/>
    </row>
    <row r="764">
      <c r="A764" s="6"/>
      <c r="B764" s="7"/>
      <c r="C764" s="7"/>
      <c r="D764" s="7"/>
      <c r="E764" s="7"/>
      <c r="F764" s="7"/>
      <c r="G764" s="7"/>
      <c r="H764" s="7"/>
      <c r="I764" s="7"/>
      <c r="J764" s="8"/>
      <c r="K764" s="9"/>
    </row>
    <row r="765">
      <c r="A765" s="6"/>
      <c r="B765" s="7"/>
      <c r="C765" s="7"/>
      <c r="D765" s="7"/>
      <c r="E765" s="7"/>
      <c r="F765" s="7"/>
      <c r="G765" s="7"/>
      <c r="H765" s="7"/>
      <c r="I765" s="7"/>
      <c r="J765" s="8"/>
      <c r="K765" s="9"/>
    </row>
    <row r="766">
      <c r="A766" s="6"/>
      <c r="B766" s="7"/>
      <c r="C766" s="7"/>
      <c r="D766" s="7"/>
      <c r="E766" s="7"/>
      <c r="F766" s="7"/>
      <c r="G766" s="7"/>
      <c r="H766" s="7"/>
      <c r="I766" s="7"/>
      <c r="J766" s="8"/>
      <c r="K766" s="9"/>
    </row>
    <row r="767">
      <c r="A767" s="6"/>
      <c r="B767" s="7"/>
      <c r="C767" s="7"/>
      <c r="D767" s="7"/>
      <c r="E767" s="7"/>
      <c r="F767" s="7"/>
      <c r="G767" s="7"/>
      <c r="H767" s="7"/>
      <c r="I767" s="7"/>
      <c r="J767" s="8"/>
      <c r="K767" s="9"/>
    </row>
    <row r="768">
      <c r="A768" s="6"/>
      <c r="B768" s="7"/>
      <c r="C768" s="7"/>
      <c r="D768" s="7"/>
      <c r="E768" s="7"/>
      <c r="F768" s="7"/>
      <c r="G768" s="7"/>
      <c r="H768" s="7"/>
      <c r="I768" s="7"/>
      <c r="J768" s="8"/>
      <c r="K768" s="9"/>
    </row>
    <row r="769">
      <c r="A769" s="6"/>
      <c r="B769" s="7"/>
      <c r="C769" s="7"/>
      <c r="D769" s="7"/>
      <c r="E769" s="7"/>
      <c r="F769" s="7"/>
      <c r="G769" s="7"/>
      <c r="H769" s="7"/>
      <c r="I769" s="7"/>
      <c r="J769" s="8"/>
      <c r="K769" s="9"/>
    </row>
    <row r="770">
      <c r="A770" s="6"/>
      <c r="B770" s="7"/>
      <c r="C770" s="7"/>
      <c r="D770" s="7"/>
      <c r="E770" s="7"/>
      <c r="F770" s="7"/>
      <c r="G770" s="7"/>
      <c r="H770" s="7"/>
      <c r="I770" s="7"/>
      <c r="J770" s="8"/>
      <c r="K770" s="9"/>
    </row>
    <row r="771">
      <c r="A771" s="6"/>
      <c r="B771" s="7"/>
      <c r="C771" s="7"/>
      <c r="D771" s="7"/>
      <c r="E771" s="7"/>
      <c r="F771" s="7"/>
      <c r="G771" s="7"/>
      <c r="H771" s="7"/>
      <c r="I771" s="7"/>
      <c r="J771" s="8"/>
      <c r="K771" s="9"/>
    </row>
    <row r="772">
      <c r="A772" s="6"/>
      <c r="B772" s="7"/>
      <c r="C772" s="7"/>
      <c r="D772" s="7"/>
      <c r="E772" s="7"/>
      <c r="F772" s="7"/>
      <c r="G772" s="7"/>
      <c r="H772" s="7"/>
      <c r="I772" s="7"/>
      <c r="J772" s="8"/>
      <c r="K772" s="9"/>
    </row>
    <row r="773">
      <c r="A773" s="6"/>
      <c r="B773" s="7"/>
      <c r="C773" s="7"/>
      <c r="D773" s="7"/>
      <c r="E773" s="7"/>
      <c r="F773" s="7"/>
      <c r="G773" s="7"/>
      <c r="H773" s="7"/>
      <c r="I773" s="7"/>
      <c r="J773" s="8"/>
      <c r="K773" s="9"/>
    </row>
    <row r="774">
      <c r="A774" s="6"/>
      <c r="B774" s="7"/>
      <c r="C774" s="7"/>
      <c r="D774" s="7"/>
      <c r="E774" s="7"/>
      <c r="F774" s="7"/>
      <c r="G774" s="7"/>
      <c r="H774" s="7"/>
      <c r="I774" s="7"/>
      <c r="J774" s="8"/>
      <c r="K774" s="9"/>
    </row>
    <row r="775">
      <c r="A775" s="6"/>
      <c r="B775" s="7"/>
      <c r="C775" s="7"/>
      <c r="D775" s="7"/>
      <c r="E775" s="7"/>
      <c r="F775" s="7"/>
      <c r="G775" s="7"/>
      <c r="H775" s="7"/>
      <c r="I775" s="7"/>
      <c r="J775" s="8"/>
      <c r="K775" s="9"/>
    </row>
    <row r="776">
      <c r="A776" s="6"/>
      <c r="B776" s="7"/>
      <c r="C776" s="7"/>
      <c r="D776" s="7"/>
      <c r="E776" s="7"/>
      <c r="F776" s="7"/>
      <c r="G776" s="7"/>
      <c r="H776" s="7"/>
      <c r="I776" s="7"/>
      <c r="J776" s="8"/>
      <c r="K776" s="9"/>
    </row>
    <row r="777">
      <c r="A777" s="6"/>
      <c r="B777" s="7"/>
      <c r="C777" s="7"/>
      <c r="D777" s="7"/>
      <c r="E777" s="7"/>
      <c r="F777" s="7"/>
      <c r="G777" s="7"/>
      <c r="H777" s="7"/>
      <c r="I777" s="7"/>
      <c r="J777" s="8"/>
      <c r="K777" s="9"/>
    </row>
    <row r="778">
      <c r="A778" s="6"/>
      <c r="B778" s="7"/>
      <c r="C778" s="7"/>
      <c r="D778" s="7"/>
      <c r="E778" s="7"/>
      <c r="F778" s="7"/>
      <c r="G778" s="7"/>
      <c r="H778" s="7"/>
      <c r="I778" s="7"/>
      <c r="J778" s="8"/>
      <c r="K778" s="9"/>
    </row>
    <row r="779">
      <c r="A779" s="6"/>
      <c r="B779" s="7"/>
      <c r="C779" s="7"/>
      <c r="D779" s="7"/>
      <c r="E779" s="7"/>
      <c r="F779" s="7"/>
      <c r="G779" s="7"/>
      <c r="H779" s="7"/>
      <c r="I779" s="7"/>
      <c r="J779" s="8"/>
      <c r="K779" s="9"/>
    </row>
    <row r="780">
      <c r="A780" s="6"/>
      <c r="B780" s="7"/>
      <c r="C780" s="7"/>
      <c r="D780" s="7"/>
      <c r="E780" s="7"/>
      <c r="F780" s="7"/>
      <c r="G780" s="7"/>
      <c r="H780" s="7"/>
      <c r="I780" s="7"/>
      <c r="J780" s="8"/>
      <c r="K780" s="9"/>
    </row>
    <row r="781">
      <c r="A781" s="6"/>
      <c r="B781" s="7"/>
      <c r="C781" s="7"/>
      <c r="D781" s="7"/>
      <c r="E781" s="7"/>
      <c r="F781" s="7"/>
      <c r="G781" s="7"/>
      <c r="H781" s="7"/>
      <c r="I781" s="7"/>
      <c r="J781" s="8"/>
      <c r="K781" s="9"/>
    </row>
    <row r="782">
      <c r="A782" s="6"/>
      <c r="B782" s="7"/>
      <c r="C782" s="7"/>
      <c r="D782" s="7"/>
      <c r="E782" s="7"/>
      <c r="F782" s="7"/>
      <c r="G782" s="7"/>
      <c r="H782" s="7"/>
      <c r="I782" s="7"/>
      <c r="J782" s="8"/>
      <c r="K782" s="9"/>
    </row>
    <row r="783">
      <c r="A783" s="6"/>
      <c r="B783" s="7"/>
      <c r="C783" s="7"/>
      <c r="D783" s="7"/>
      <c r="E783" s="7"/>
      <c r="F783" s="7"/>
      <c r="G783" s="7"/>
      <c r="H783" s="7"/>
      <c r="I783" s="7"/>
      <c r="J783" s="8"/>
      <c r="K783" s="9"/>
    </row>
    <row r="784">
      <c r="A784" s="6"/>
      <c r="B784" s="7"/>
      <c r="C784" s="7"/>
      <c r="D784" s="7"/>
      <c r="E784" s="7"/>
      <c r="F784" s="7"/>
      <c r="G784" s="7"/>
      <c r="H784" s="7"/>
      <c r="I784" s="7"/>
      <c r="J784" s="8"/>
      <c r="K784" s="9"/>
    </row>
    <row r="785">
      <c r="A785" s="6"/>
      <c r="B785" s="7"/>
      <c r="C785" s="7"/>
      <c r="D785" s="7"/>
      <c r="E785" s="7"/>
      <c r="F785" s="7"/>
      <c r="G785" s="7"/>
      <c r="H785" s="7"/>
      <c r="I785" s="7"/>
      <c r="J785" s="8"/>
      <c r="K785" s="9"/>
    </row>
    <row r="786">
      <c r="A786" s="6"/>
      <c r="B786" s="7"/>
      <c r="C786" s="7"/>
      <c r="D786" s="7"/>
      <c r="E786" s="7"/>
      <c r="F786" s="7"/>
      <c r="G786" s="7"/>
      <c r="H786" s="7"/>
      <c r="I786" s="7"/>
      <c r="J786" s="8"/>
      <c r="K786" s="9"/>
    </row>
    <row r="787">
      <c r="A787" s="6"/>
      <c r="B787" s="7"/>
      <c r="C787" s="7"/>
      <c r="D787" s="7"/>
      <c r="E787" s="7"/>
      <c r="F787" s="7"/>
      <c r="G787" s="7"/>
      <c r="H787" s="7"/>
      <c r="I787" s="7"/>
      <c r="J787" s="8"/>
      <c r="K787" s="9"/>
    </row>
    <row r="788">
      <c r="A788" s="6"/>
      <c r="B788" s="7"/>
      <c r="C788" s="7"/>
      <c r="D788" s="7"/>
      <c r="E788" s="7"/>
      <c r="F788" s="7"/>
      <c r="G788" s="7"/>
      <c r="H788" s="7"/>
      <c r="I788" s="7"/>
      <c r="J788" s="8"/>
      <c r="K788" s="9"/>
    </row>
    <row r="789">
      <c r="A789" s="6"/>
      <c r="B789" s="7"/>
      <c r="C789" s="7"/>
      <c r="D789" s="7"/>
      <c r="E789" s="7"/>
      <c r="F789" s="7"/>
      <c r="G789" s="7"/>
      <c r="H789" s="7"/>
      <c r="I789" s="7"/>
      <c r="J789" s="8"/>
      <c r="K789" s="9"/>
    </row>
    <row r="790">
      <c r="A790" s="6"/>
      <c r="B790" s="7"/>
      <c r="C790" s="7"/>
      <c r="D790" s="7"/>
      <c r="E790" s="7"/>
      <c r="F790" s="7"/>
      <c r="G790" s="7"/>
      <c r="H790" s="7"/>
      <c r="I790" s="7"/>
      <c r="J790" s="8"/>
      <c r="K790" s="9"/>
    </row>
    <row r="791">
      <c r="A791" s="6"/>
      <c r="B791" s="7"/>
      <c r="C791" s="7"/>
      <c r="D791" s="7"/>
      <c r="E791" s="7"/>
      <c r="F791" s="7"/>
      <c r="G791" s="7"/>
      <c r="H791" s="7"/>
      <c r="I791" s="7"/>
      <c r="J791" s="8"/>
      <c r="K791" s="9"/>
    </row>
    <row r="792">
      <c r="A792" s="6"/>
      <c r="B792" s="7"/>
      <c r="C792" s="7"/>
      <c r="D792" s="7"/>
      <c r="E792" s="7"/>
      <c r="F792" s="7"/>
      <c r="G792" s="7"/>
      <c r="H792" s="7"/>
      <c r="I792" s="7"/>
      <c r="J792" s="8"/>
      <c r="K792" s="9"/>
    </row>
    <row r="793">
      <c r="A793" s="6"/>
      <c r="B793" s="7"/>
      <c r="C793" s="7"/>
      <c r="D793" s="7"/>
      <c r="E793" s="7"/>
      <c r="F793" s="7"/>
      <c r="G793" s="7"/>
      <c r="H793" s="7"/>
      <c r="I793" s="7"/>
      <c r="J793" s="8"/>
      <c r="K793" s="9"/>
    </row>
    <row r="794">
      <c r="A794" s="6"/>
      <c r="B794" s="7"/>
      <c r="C794" s="7"/>
      <c r="D794" s="7"/>
      <c r="E794" s="7"/>
      <c r="F794" s="7"/>
      <c r="G794" s="7"/>
      <c r="H794" s="7"/>
      <c r="I794" s="7"/>
      <c r="J794" s="8"/>
      <c r="K794" s="9"/>
    </row>
    <row r="795">
      <c r="A795" s="6"/>
      <c r="B795" s="7"/>
      <c r="C795" s="7"/>
      <c r="D795" s="7"/>
      <c r="E795" s="7"/>
      <c r="F795" s="7"/>
      <c r="G795" s="7"/>
      <c r="H795" s="7"/>
      <c r="I795" s="7"/>
      <c r="J795" s="8"/>
      <c r="K795" s="9"/>
    </row>
    <row r="796">
      <c r="A796" s="6"/>
      <c r="B796" s="7"/>
      <c r="C796" s="7"/>
      <c r="D796" s="7"/>
      <c r="E796" s="7"/>
      <c r="F796" s="7"/>
      <c r="G796" s="7"/>
      <c r="H796" s="7"/>
      <c r="I796" s="7"/>
      <c r="J796" s="8"/>
      <c r="K796" s="9"/>
    </row>
    <row r="797">
      <c r="A797" s="6"/>
      <c r="B797" s="7"/>
      <c r="C797" s="7"/>
      <c r="D797" s="7"/>
      <c r="E797" s="7"/>
      <c r="F797" s="7"/>
      <c r="G797" s="7"/>
      <c r="H797" s="7"/>
      <c r="I797" s="7"/>
      <c r="J797" s="8"/>
      <c r="K797" s="9"/>
    </row>
    <row r="798">
      <c r="A798" s="6"/>
      <c r="B798" s="7"/>
      <c r="C798" s="7"/>
      <c r="D798" s="7"/>
      <c r="E798" s="7"/>
      <c r="F798" s="7"/>
      <c r="G798" s="7"/>
      <c r="H798" s="7"/>
      <c r="I798" s="7"/>
      <c r="J798" s="8"/>
      <c r="K798" s="9"/>
    </row>
    <row r="799">
      <c r="A799" s="6"/>
      <c r="B799" s="7"/>
      <c r="C799" s="7"/>
      <c r="D799" s="7"/>
      <c r="E799" s="7"/>
      <c r="F799" s="7"/>
      <c r="G799" s="7"/>
      <c r="H799" s="7"/>
      <c r="I799" s="7"/>
      <c r="J799" s="8"/>
      <c r="K799" s="9"/>
    </row>
    <row r="800">
      <c r="A800" s="6"/>
      <c r="B800" s="7"/>
      <c r="C800" s="7"/>
      <c r="D800" s="7"/>
      <c r="E800" s="7"/>
      <c r="F800" s="7"/>
      <c r="G800" s="7"/>
      <c r="H800" s="7"/>
      <c r="I800" s="7"/>
      <c r="J800" s="8"/>
      <c r="K800" s="9"/>
    </row>
    <row r="801">
      <c r="A801" s="6"/>
      <c r="B801" s="7"/>
      <c r="C801" s="7"/>
      <c r="D801" s="7"/>
      <c r="E801" s="7"/>
      <c r="F801" s="7"/>
      <c r="G801" s="7"/>
      <c r="H801" s="7"/>
      <c r="I801" s="7"/>
      <c r="J801" s="8"/>
      <c r="K801" s="9"/>
    </row>
    <row r="802">
      <c r="A802" s="6"/>
      <c r="B802" s="7"/>
      <c r="C802" s="7"/>
      <c r="D802" s="7"/>
      <c r="E802" s="7"/>
      <c r="F802" s="7"/>
      <c r="G802" s="7"/>
      <c r="H802" s="7"/>
      <c r="I802" s="7"/>
      <c r="J802" s="8"/>
      <c r="K802" s="9"/>
    </row>
    <row r="803">
      <c r="A803" s="6"/>
      <c r="B803" s="7"/>
      <c r="C803" s="7"/>
      <c r="D803" s="7"/>
      <c r="E803" s="7"/>
      <c r="F803" s="7"/>
      <c r="G803" s="7"/>
      <c r="H803" s="7"/>
      <c r="I803" s="7"/>
      <c r="J803" s="8"/>
      <c r="K803" s="9"/>
    </row>
    <row r="804">
      <c r="A804" s="6"/>
      <c r="B804" s="7"/>
      <c r="C804" s="7"/>
      <c r="D804" s="7"/>
      <c r="E804" s="7"/>
      <c r="F804" s="7"/>
      <c r="G804" s="7"/>
      <c r="H804" s="7"/>
      <c r="I804" s="7"/>
      <c r="J804" s="8"/>
      <c r="K804" s="9"/>
    </row>
    <row r="805">
      <c r="A805" s="6"/>
      <c r="B805" s="7"/>
      <c r="C805" s="7"/>
      <c r="D805" s="7"/>
      <c r="E805" s="7"/>
      <c r="F805" s="7"/>
      <c r="G805" s="7"/>
      <c r="H805" s="7"/>
      <c r="I805" s="7"/>
      <c r="J805" s="8"/>
      <c r="K805" s="9"/>
    </row>
  </sheetData>
  <autoFilter ref="$A$1:$Z$26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2.0"/>
    <col customWidth="1" min="3" max="3" width="18.25"/>
    <col customWidth="1" min="4" max="4" width="29.75"/>
    <col customWidth="1" min="5" max="5" width="22.13"/>
    <col customWidth="1" min="6" max="6" width="51.38"/>
    <col customWidth="1" min="7" max="7" width="9.5"/>
    <col customWidth="1" min="8" max="8" width="29.25"/>
    <col customWidth="1" min="10" max="10" width="19.75"/>
    <col customWidth="1" min="11" max="11" width="27.88"/>
  </cols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1" t="s">
        <v>7</v>
      </c>
      <c r="I1" s="11" t="s">
        <v>8</v>
      </c>
      <c r="J1" s="12" t="s">
        <v>9</v>
      </c>
      <c r="K1" s="1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4"/>
      <c r="B2" s="44"/>
      <c r="C2" s="17" t="s">
        <v>11</v>
      </c>
      <c r="D2" s="19" t="s">
        <v>162</v>
      </c>
      <c r="E2" s="19"/>
      <c r="F2" s="19" t="s">
        <v>446</v>
      </c>
      <c r="G2" s="19" t="s">
        <v>22</v>
      </c>
      <c r="H2" s="17" t="s">
        <v>164</v>
      </c>
      <c r="I2" s="19">
        <v>3.0</v>
      </c>
      <c r="J2" s="44"/>
      <c r="K2" s="44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46"/>
      <c r="B3" s="46"/>
      <c r="C3" s="19" t="s">
        <v>11</v>
      </c>
      <c r="D3" s="19" t="s">
        <v>452</v>
      </c>
      <c r="E3" s="19"/>
      <c r="F3" s="19" t="s">
        <v>358</v>
      </c>
      <c r="G3" s="19" t="s">
        <v>14</v>
      </c>
      <c r="H3" s="19" t="s">
        <v>453</v>
      </c>
      <c r="I3" s="19">
        <v>1.0</v>
      </c>
      <c r="J3" s="46"/>
      <c r="K3" s="46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46"/>
      <c r="B4" s="46"/>
      <c r="C4" s="19" t="s">
        <v>11</v>
      </c>
      <c r="D4" s="19" t="s">
        <v>449</v>
      </c>
      <c r="E4" s="19"/>
      <c r="F4" s="19" t="s">
        <v>450</v>
      </c>
      <c r="G4" s="19" t="s">
        <v>14</v>
      </c>
      <c r="H4" s="19" t="s">
        <v>308</v>
      </c>
      <c r="I4" s="19">
        <v>4.0</v>
      </c>
      <c r="J4" s="46"/>
      <c r="K4" s="46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46"/>
      <c r="B5" s="46"/>
      <c r="C5" s="19" t="s">
        <v>11</v>
      </c>
      <c r="D5" s="13" t="s">
        <v>16</v>
      </c>
      <c r="E5" s="19"/>
      <c r="F5" s="19" t="s">
        <v>500</v>
      </c>
      <c r="G5" s="19" t="s">
        <v>14</v>
      </c>
      <c r="H5" s="19" t="s">
        <v>15</v>
      </c>
      <c r="I5" s="19">
        <v>1.0</v>
      </c>
      <c r="J5" s="46"/>
      <c r="K5" s="46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46"/>
      <c r="B6" s="46"/>
      <c r="C6" s="19" t="s">
        <v>11</v>
      </c>
      <c r="D6" s="19" t="s">
        <v>447</v>
      </c>
      <c r="E6" s="19"/>
      <c r="F6" s="19" t="s">
        <v>448</v>
      </c>
      <c r="G6" s="19" t="s">
        <v>14</v>
      </c>
      <c r="H6" s="19" t="s">
        <v>15</v>
      </c>
      <c r="I6" s="19">
        <v>1.0</v>
      </c>
      <c r="J6" s="46"/>
      <c r="K6" s="46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46"/>
      <c r="B7" s="46"/>
      <c r="C7" s="19" t="s">
        <v>11</v>
      </c>
      <c r="D7" s="19" t="s">
        <v>457</v>
      </c>
      <c r="E7" s="19"/>
      <c r="F7" s="19" t="s">
        <v>458</v>
      </c>
      <c r="G7" s="19" t="s">
        <v>14</v>
      </c>
      <c r="H7" s="19" t="s">
        <v>15</v>
      </c>
      <c r="I7" s="19">
        <v>2.0</v>
      </c>
      <c r="J7" s="46"/>
      <c r="K7" s="46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46"/>
      <c r="B8" s="46"/>
      <c r="C8" s="19" t="s">
        <v>11</v>
      </c>
      <c r="D8" s="19" t="s">
        <v>20</v>
      </c>
      <c r="E8" s="19"/>
      <c r="F8" s="19" t="s">
        <v>451</v>
      </c>
      <c r="G8" s="19" t="s">
        <v>14</v>
      </c>
      <c r="H8" s="19" t="s">
        <v>15</v>
      </c>
      <c r="I8" s="19">
        <v>2.0</v>
      </c>
      <c r="J8" s="46"/>
      <c r="K8" s="46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46"/>
      <c r="B9" s="46"/>
      <c r="C9" s="19" t="s">
        <v>11</v>
      </c>
      <c r="D9" s="19" t="s">
        <v>454</v>
      </c>
      <c r="E9" s="19"/>
      <c r="F9" s="19" t="s">
        <v>455</v>
      </c>
      <c r="G9" s="19" t="s">
        <v>14</v>
      </c>
      <c r="H9" s="19" t="s">
        <v>456</v>
      </c>
      <c r="I9" s="19">
        <v>2.0</v>
      </c>
      <c r="J9" s="46"/>
      <c r="K9" s="46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46"/>
      <c r="B10" s="46"/>
      <c r="C10" s="19" t="s">
        <v>98</v>
      </c>
      <c r="D10" s="19" t="s">
        <v>467</v>
      </c>
      <c r="E10" s="19" t="s">
        <v>468</v>
      </c>
      <c r="F10" s="19" t="s">
        <v>501</v>
      </c>
      <c r="G10" s="19" t="s">
        <v>14</v>
      </c>
      <c r="H10" s="19" t="s">
        <v>470</v>
      </c>
      <c r="I10" s="19">
        <v>1.0</v>
      </c>
      <c r="J10" s="46"/>
      <c r="K10" s="46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46"/>
      <c r="B11" s="46"/>
      <c r="C11" s="19" t="s">
        <v>53</v>
      </c>
      <c r="D11" s="19" t="s">
        <v>461</v>
      </c>
      <c r="E11" s="19">
        <v>6.91213510002E11</v>
      </c>
      <c r="F11" s="19" t="s">
        <v>63</v>
      </c>
      <c r="G11" s="19" t="s">
        <v>22</v>
      </c>
      <c r="H11" s="19" t="s">
        <v>463</v>
      </c>
      <c r="I11" s="19">
        <v>1.0</v>
      </c>
      <c r="J11" s="13" t="s">
        <v>56</v>
      </c>
      <c r="K11" s="13" t="s">
        <v>56</v>
      </c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46"/>
      <c r="B12" s="46"/>
      <c r="C12" s="19" t="s">
        <v>53</v>
      </c>
      <c r="D12" s="17" t="s">
        <v>75</v>
      </c>
      <c r="E12" s="24" t="s">
        <v>76</v>
      </c>
      <c r="F12" s="19" t="s">
        <v>502</v>
      </c>
      <c r="G12" s="19" t="s">
        <v>22</v>
      </c>
      <c r="H12" s="17" t="s">
        <v>78</v>
      </c>
      <c r="I12" s="19">
        <v>4.0</v>
      </c>
      <c r="J12" s="13" t="s">
        <v>79</v>
      </c>
      <c r="K12" s="46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46"/>
      <c r="B13" s="46"/>
      <c r="C13" s="19" t="s">
        <v>459</v>
      </c>
      <c r="D13" s="19" t="s">
        <v>460</v>
      </c>
      <c r="E13" s="19">
        <v>7.44237102E8</v>
      </c>
      <c r="F13" s="19" t="s">
        <v>108</v>
      </c>
      <c r="G13" s="19" t="s">
        <v>14</v>
      </c>
      <c r="H13" s="19">
        <v>7.44237102E8</v>
      </c>
      <c r="I13" s="19">
        <v>1.0</v>
      </c>
      <c r="J13" s="13" t="s">
        <v>56</v>
      </c>
      <c r="K13" s="13" t="s">
        <v>56</v>
      </c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46"/>
      <c r="B14" s="46"/>
      <c r="C14" s="19" t="s">
        <v>106</v>
      </c>
      <c r="D14" s="19" t="s">
        <v>472</v>
      </c>
      <c r="E14" s="19">
        <v>7.42792117E8</v>
      </c>
      <c r="F14" s="19" t="s">
        <v>473</v>
      </c>
      <c r="G14" s="19" t="s">
        <v>14</v>
      </c>
      <c r="H14" s="19" t="s">
        <v>474</v>
      </c>
      <c r="I14" s="19">
        <v>1.0</v>
      </c>
      <c r="J14" s="13" t="s">
        <v>56</v>
      </c>
      <c r="K14" s="13" t="s">
        <v>56</v>
      </c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46"/>
      <c r="B15" s="46"/>
      <c r="C15" s="19" t="s">
        <v>150</v>
      </c>
      <c r="D15" s="13" t="s">
        <v>151</v>
      </c>
      <c r="E15" s="19" t="s">
        <v>152</v>
      </c>
      <c r="F15" s="19" t="s">
        <v>485</v>
      </c>
      <c r="G15" s="19" t="s">
        <v>14</v>
      </c>
      <c r="H15" s="19" t="s">
        <v>36</v>
      </c>
      <c r="I15" s="19">
        <v>2.0</v>
      </c>
      <c r="J15" s="44" t="s">
        <v>56</v>
      </c>
      <c r="K15" s="44" t="s">
        <v>56</v>
      </c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46"/>
      <c r="B16" s="46"/>
      <c r="C16" s="19" t="s">
        <v>409</v>
      </c>
      <c r="D16" s="19" t="s">
        <v>490</v>
      </c>
      <c r="E16" s="19">
        <v>8.25515E7</v>
      </c>
      <c r="F16" s="19" t="s">
        <v>503</v>
      </c>
      <c r="G16" s="19" t="s">
        <v>14</v>
      </c>
      <c r="H16" s="19" t="s">
        <v>308</v>
      </c>
      <c r="I16" s="19">
        <v>2.0</v>
      </c>
      <c r="J16" s="13" t="s">
        <v>56</v>
      </c>
      <c r="K16" s="13" t="s">
        <v>56</v>
      </c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46"/>
      <c r="B17" s="46"/>
      <c r="C17" s="19" t="s">
        <v>110</v>
      </c>
      <c r="D17" s="17" t="s">
        <v>480</v>
      </c>
      <c r="E17" s="19" t="s">
        <v>481</v>
      </c>
      <c r="F17" s="19" t="s">
        <v>482</v>
      </c>
      <c r="G17" s="19" t="s">
        <v>14</v>
      </c>
      <c r="H17" s="19" t="s">
        <v>483</v>
      </c>
      <c r="I17" s="19">
        <v>2.0</v>
      </c>
      <c r="J17" s="13" t="s">
        <v>484</v>
      </c>
      <c r="K17" s="46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46"/>
      <c r="B18" s="46"/>
      <c r="C18" s="19" t="s">
        <v>32</v>
      </c>
      <c r="D18" s="19" t="s">
        <v>47</v>
      </c>
      <c r="E18" s="19" t="s">
        <v>34</v>
      </c>
      <c r="F18" s="19" t="s">
        <v>494</v>
      </c>
      <c r="G18" s="19" t="s">
        <v>14</v>
      </c>
      <c r="H18" s="19" t="s">
        <v>36</v>
      </c>
      <c r="I18" s="19">
        <v>2.0</v>
      </c>
      <c r="J18" s="46"/>
      <c r="K18" s="46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46"/>
      <c r="B19" s="46"/>
      <c r="C19" s="19" t="s">
        <v>32</v>
      </c>
      <c r="D19" s="19" t="s">
        <v>428</v>
      </c>
      <c r="E19" s="19" t="s">
        <v>34</v>
      </c>
      <c r="F19" s="19" t="s">
        <v>495</v>
      </c>
      <c r="G19" s="19" t="s">
        <v>14</v>
      </c>
      <c r="H19" s="19" t="s">
        <v>36</v>
      </c>
      <c r="I19" s="19">
        <v>2.0</v>
      </c>
      <c r="J19" s="46"/>
      <c r="K19" s="46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46"/>
      <c r="B20" s="46"/>
      <c r="C20" s="17" t="s">
        <v>32</v>
      </c>
      <c r="D20" s="17" t="s">
        <v>41</v>
      </c>
      <c r="E20" s="17" t="s">
        <v>34</v>
      </c>
      <c r="F20" s="17" t="s">
        <v>493</v>
      </c>
      <c r="G20" s="17" t="s">
        <v>14</v>
      </c>
      <c r="H20" s="17" t="s">
        <v>36</v>
      </c>
      <c r="I20" s="17">
        <v>6.0</v>
      </c>
      <c r="J20" s="46"/>
      <c r="K20" s="46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46"/>
      <c r="B21" s="46"/>
      <c r="C21" s="19" t="s">
        <v>32</v>
      </c>
      <c r="D21" s="19" t="s">
        <v>498</v>
      </c>
      <c r="E21" s="19">
        <v>5.60112116137E11</v>
      </c>
      <c r="F21" s="19" t="s">
        <v>499</v>
      </c>
      <c r="G21" s="19" t="s">
        <v>14</v>
      </c>
      <c r="H21" s="19" t="s">
        <v>36</v>
      </c>
      <c r="I21" s="19">
        <v>2.0</v>
      </c>
      <c r="J21" s="44" t="s">
        <v>56</v>
      </c>
      <c r="K21" s="44" t="s">
        <v>56</v>
      </c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6"/>
      <c r="B34" s="7"/>
      <c r="C34" s="7"/>
      <c r="D34" s="7"/>
      <c r="E34" s="7"/>
      <c r="F34" s="7"/>
      <c r="G34" s="7"/>
      <c r="H34" s="7"/>
      <c r="I34" s="7"/>
      <c r="J34" s="8"/>
      <c r="K34" s="9"/>
    </row>
    <row r="35">
      <c r="A35" s="6"/>
      <c r="B35" s="7"/>
      <c r="C35" s="7"/>
      <c r="D35" s="7"/>
      <c r="E35" s="7"/>
      <c r="F35" s="7"/>
      <c r="G35" s="7"/>
      <c r="H35" s="7"/>
      <c r="I35" s="7"/>
      <c r="J35" s="8"/>
      <c r="K35" s="9"/>
    </row>
    <row r="36">
      <c r="A36" s="6"/>
      <c r="B36" s="7"/>
      <c r="C36" s="7"/>
      <c r="D36" s="7"/>
      <c r="E36" s="7"/>
      <c r="F36" s="7"/>
      <c r="G36" s="7"/>
      <c r="H36" s="7"/>
      <c r="I36" s="7"/>
      <c r="J36" s="8"/>
      <c r="K36" s="9"/>
    </row>
    <row r="37">
      <c r="A37" s="6"/>
      <c r="B37" s="7"/>
      <c r="C37" s="7"/>
      <c r="D37" s="7"/>
      <c r="E37" s="7"/>
      <c r="F37" s="7"/>
      <c r="G37" s="7"/>
      <c r="H37" s="7"/>
      <c r="I37" s="7"/>
      <c r="J37" s="8"/>
      <c r="K37" s="9"/>
    </row>
    <row r="38">
      <c r="A38" s="6"/>
      <c r="B38" s="7"/>
      <c r="C38" s="7"/>
      <c r="D38" s="7"/>
      <c r="E38" s="7"/>
      <c r="F38" s="7"/>
      <c r="G38" s="7"/>
      <c r="H38" s="7"/>
      <c r="I38" s="7"/>
      <c r="J38" s="8"/>
      <c r="K38" s="9"/>
    </row>
    <row r="39">
      <c r="A39" s="6"/>
      <c r="B39" s="7"/>
      <c r="C39" s="7"/>
      <c r="D39" s="7"/>
      <c r="E39" s="7"/>
      <c r="F39" s="7"/>
      <c r="G39" s="7"/>
      <c r="H39" s="7"/>
      <c r="I39" s="7"/>
      <c r="J39" s="8"/>
      <c r="K39" s="9"/>
    </row>
    <row r="40">
      <c r="A40" s="6"/>
      <c r="B40" s="7"/>
      <c r="C40" s="7"/>
      <c r="D40" s="7"/>
      <c r="E40" s="7"/>
      <c r="F40" s="7"/>
      <c r="G40" s="7"/>
      <c r="H40" s="7"/>
      <c r="I40" s="7"/>
      <c r="J40" s="8"/>
      <c r="K40" s="9"/>
    </row>
    <row r="41">
      <c r="A41" s="6"/>
      <c r="B41" s="7"/>
      <c r="C41" s="7"/>
      <c r="D41" s="7"/>
      <c r="E41" s="7"/>
      <c r="F41" s="7"/>
      <c r="G41" s="7"/>
      <c r="H41" s="7"/>
      <c r="I41" s="7"/>
      <c r="J41" s="8"/>
      <c r="K41" s="9"/>
    </row>
    <row r="42">
      <c r="A42" s="6"/>
      <c r="B42" s="7"/>
      <c r="C42" s="7"/>
      <c r="D42" s="7"/>
      <c r="E42" s="7"/>
      <c r="F42" s="7"/>
      <c r="G42" s="7"/>
      <c r="H42" s="7"/>
      <c r="I42" s="7"/>
      <c r="J42" s="8"/>
      <c r="K42" s="9"/>
    </row>
    <row r="43">
      <c r="A43" s="6"/>
      <c r="B43" s="7"/>
      <c r="C43" s="7"/>
      <c r="D43" s="7"/>
      <c r="E43" s="7"/>
      <c r="F43" s="7"/>
      <c r="G43" s="7"/>
      <c r="H43" s="7"/>
      <c r="I43" s="7"/>
      <c r="J43" s="8"/>
      <c r="K43" s="9"/>
    </row>
    <row r="44">
      <c r="A44" s="6"/>
      <c r="B44" s="7"/>
      <c r="C44" s="7"/>
      <c r="D44" s="7"/>
      <c r="E44" s="7"/>
      <c r="F44" s="7"/>
      <c r="G44" s="7"/>
      <c r="H44" s="7"/>
      <c r="I44" s="7"/>
      <c r="J44" s="8"/>
      <c r="K44" s="9"/>
    </row>
    <row r="45">
      <c r="A45" s="6"/>
      <c r="B45" s="7"/>
      <c r="C45" s="7"/>
      <c r="D45" s="7"/>
      <c r="E45" s="7"/>
      <c r="F45" s="7"/>
      <c r="G45" s="7"/>
      <c r="H45" s="7"/>
      <c r="I45" s="7"/>
      <c r="J45" s="8"/>
      <c r="K45" s="9"/>
    </row>
    <row r="46">
      <c r="A46" s="6"/>
      <c r="B46" s="7"/>
      <c r="C46" s="7"/>
      <c r="D46" s="7"/>
      <c r="E46" s="7"/>
      <c r="F46" s="7"/>
      <c r="G46" s="7"/>
      <c r="H46" s="7"/>
      <c r="I46" s="7"/>
      <c r="J46" s="8"/>
      <c r="K46" s="9"/>
    </row>
    <row r="47">
      <c r="A47" s="6"/>
      <c r="B47" s="7"/>
      <c r="C47" s="7"/>
      <c r="D47" s="7"/>
      <c r="E47" s="7"/>
      <c r="F47" s="7"/>
      <c r="G47" s="7"/>
      <c r="H47" s="7"/>
      <c r="I47" s="7"/>
      <c r="J47" s="8"/>
      <c r="K47" s="9"/>
    </row>
    <row r="48">
      <c r="A48" s="6"/>
      <c r="B48" s="7"/>
      <c r="C48" s="7"/>
      <c r="D48" s="7"/>
      <c r="E48" s="7"/>
      <c r="F48" s="7"/>
      <c r="G48" s="7"/>
      <c r="H48" s="7"/>
      <c r="I48" s="7"/>
      <c r="J48" s="8"/>
      <c r="K48" s="9"/>
    </row>
    <row r="49">
      <c r="A49" s="6"/>
      <c r="B49" s="7"/>
      <c r="C49" s="7"/>
      <c r="D49" s="7"/>
      <c r="E49" s="7"/>
      <c r="F49" s="7"/>
      <c r="G49" s="7"/>
      <c r="H49" s="7"/>
      <c r="I49" s="7"/>
      <c r="J49" s="8"/>
      <c r="K49" s="9"/>
    </row>
    <row r="50">
      <c r="A50" s="6"/>
      <c r="B50" s="7"/>
      <c r="C50" s="7"/>
      <c r="D50" s="7"/>
      <c r="E50" s="7"/>
      <c r="F50" s="7"/>
      <c r="G50" s="7"/>
      <c r="H50" s="7"/>
      <c r="I50" s="7"/>
      <c r="J50" s="8"/>
      <c r="K50" s="9"/>
    </row>
    <row r="51">
      <c r="A51" s="6"/>
      <c r="B51" s="7"/>
      <c r="C51" s="7"/>
      <c r="D51" s="7"/>
      <c r="E51" s="7"/>
      <c r="F51" s="7"/>
      <c r="G51" s="7"/>
      <c r="H51" s="7"/>
      <c r="I51" s="7"/>
      <c r="J51" s="8"/>
      <c r="K51" s="9"/>
    </row>
    <row r="52">
      <c r="A52" s="6"/>
      <c r="B52" s="7"/>
      <c r="C52" s="7"/>
      <c r="D52" s="7"/>
      <c r="E52" s="7"/>
      <c r="F52" s="7"/>
      <c r="G52" s="7"/>
      <c r="H52" s="7"/>
      <c r="I52" s="7"/>
      <c r="J52" s="8"/>
      <c r="K52" s="9"/>
    </row>
    <row r="53">
      <c r="A53" s="6"/>
      <c r="B53" s="7"/>
      <c r="C53" s="7"/>
      <c r="D53" s="7"/>
      <c r="E53" s="7"/>
      <c r="F53" s="7"/>
      <c r="G53" s="7"/>
      <c r="H53" s="7"/>
      <c r="I53" s="7"/>
      <c r="J53" s="8"/>
      <c r="K53" s="9"/>
    </row>
    <row r="54">
      <c r="A54" s="6"/>
      <c r="B54" s="7"/>
      <c r="C54" s="7"/>
      <c r="D54" s="7"/>
      <c r="E54" s="7"/>
      <c r="F54" s="7"/>
      <c r="G54" s="7"/>
      <c r="H54" s="7"/>
      <c r="I54" s="7"/>
      <c r="J54" s="8"/>
      <c r="K54" s="9"/>
    </row>
    <row r="55">
      <c r="A55" s="6"/>
      <c r="B55" s="7"/>
      <c r="C55" s="7"/>
      <c r="D55" s="7"/>
      <c r="E55" s="7"/>
      <c r="F55" s="7"/>
      <c r="G55" s="7"/>
      <c r="H55" s="7"/>
      <c r="I55" s="7"/>
      <c r="J55" s="8"/>
      <c r="K55" s="9"/>
    </row>
    <row r="56">
      <c r="A56" s="6"/>
      <c r="B56" s="7"/>
      <c r="C56" s="7"/>
      <c r="D56" s="7"/>
      <c r="E56" s="7"/>
      <c r="F56" s="7"/>
      <c r="G56" s="7"/>
      <c r="H56" s="7"/>
      <c r="I56" s="7"/>
      <c r="J56" s="8"/>
      <c r="K56" s="9"/>
    </row>
    <row r="57">
      <c r="A57" s="6"/>
      <c r="B57" s="7"/>
      <c r="C57" s="7"/>
      <c r="D57" s="7"/>
      <c r="E57" s="7"/>
      <c r="F57" s="7"/>
      <c r="G57" s="7"/>
      <c r="H57" s="7"/>
      <c r="I57" s="7"/>
      <c r="J57" s="8"/>
      <c r="K57" s="9"/>
    </row>
    <row r="58">
      <c r="A58" s="6"/>
      <c r="B58" s="7"/>
      <c r="C58" s="7"/>
      <c r="D58" s="7"/>
      <c r="E58" s="7"/>
      <c r="F58" s="7"/>
      <c r="G58" s="7"/>
      <c r="H58" s="7"/>
      <c r="I58" s="7"/>
      <c r="J58" s="8"/>
      <c r="K58" s="9"/>
    </row>
    <row r="59">
      <c r="A59" s="6"/>
      <c r="B59" s="7"/>
      <c r="C59" s="7"/>
      <c r="D59" s="7"/>
      <c r="E59" s="7"/>
      <c r="F59" s="7"/>
      <c r="G59" s="7"/>
      <c r="H59" s="7"/>
      <c r="I59" s="7"/>
      <c r="J59" s="8"/>
      <c r="K59" s="9"/>
    </row>
    <row r="60">
      <c r="A60" s="6"/>
      <c r="B60" s="7"/>
      <c r="C60" s="7"/>
      <c r="D60" s="7"/>
      <c r="E60" s="7"/>
      <c r="F60" s="7"/>
      <c r="G60" s="7"/>
      <c r="H60" s="7"/>
      <c r="I60" s="7"/>
      <c r="J60" s="8"/>
      <c r="K60" s="9"/>
    </row>
    <row r="61">
      <c r="A61" s="6"/>
      <c r="B61" s="7"/>
      <c r="C61" s="7"/>
      <c r="D61" s="7"/>
      <c r="E61" s="7"/>
      <c r="F61" s="7"/>
      <c r="G61" s="7"/>
      <c r="H61" s="7"/>
      <c r="I61" s="7"/>
      <c r="J61" s="8"/>
      <c r="K61" s="9"/>
    </row>
    <row r="62">
      <c r="A62" s="6"/>
      <c r="B62" s="7"/>
      <c r="C62" s="7"/>
      <c r="D62" s="7"/>
      <c r="E62" s="7"/>
      <c r="F62" s="7"/>
      <c r="G62" s="7"/>
      <c r="H62" s="7"/>
      <c r="I62" s="7"/>
      <c r="J62" s="8"/>
      <c r="K62" s="9"/>
    </row>
    <row r="63">
      <c r="A63" s="6"/>
      <c r="B63" s="7"/>
      <c r="C63" s="7"/>
      <c r="D63" s="7"/>
      <c r="E63" s="7"/>
      <c r="F63" s="7"/>
      <c r="G63" s="7"/>
      <c r="H63" s="7"/>
      <c r="I63" s="7"/>
      <c r="J63" s="8"/>
      <c r="K63" s="9"/>
    </row>
    <row r="64">
      <c r="A64" s="6"/>
      <c r="B64" s="7"/>
      <c r="C64" s="7"/>
      <c r="D64" s="7"/>
      <c r="E64" s="7"/>
      <c r="F64" s="7"/>
      <c r="G64" s="7"/>
      <c r="H64" s="7"/>
      <c r="I64" s="7"/>
      <c r="J64" s="8"/>
      <c r="K64" s="9"/>
    </row>
    <row r="65">
      <c r="A65" s="6"/>
      <c r="B65" s="7"/>
      <c r="C65" s="7"/>
      <c r="D65" s="7"/>
      <c r="E65" s="7"/>
      <c r="F65" s="7"/>
      <c r="G65" s="7"/>
      <c r="H65" s="7"/>
      <c r="I65" s="7"/>
      <c r="J65" s="8"/>
      <c r="K65" s="9"/>
    </row>
    <row r="66">
      <c r="A66" s="6"/>
      <c r="B66" s="7"/>
      <c r="C66" s="7"/>
      <c r="D66" s="7"/>
      <c r="E66" s="7"/>
      <c r="F66" s="7"/>
      <c r="G66" s="7"/>
      <c r="H66" s="7"/>
      <c r="I66" s="7"/>
      <c r="J66" s="8"/>
      <c r="K66" s="9"/>
    </row>
    <row r="67">
      <c r="A67" s="6"/>
      <c r="B67" s="7"/>
      <c r="C67" s="7"/>
      <c r="D67" s="7"/>
      <c r="E67" s="7"/>
      <c r="F67" s="7"/>
      <c r="G67" s="7"/>
      <c r="H67" s="7"/>
      <c r="I67" s="7"/>
      <c r="J67" s="8"/>
      <c r="K67" s="9"/>
    </row>
    <row r="68">
      <c r="A68" s="6"/>
      <c r="B68" s="7"/>
      <c r="C68" s="7"/>
      <c r="D68" s="7"/>
      <c r="E68" s="7"/>
      <c r="F68" s="7"/>
      <c r="G68" s="7"/>
      <c r="H68" s="7"/>
      <c r="I68" s="7"/>
      <c r="J68" s="8"/>
      <c r="K68" s="9"/>
    </row>
    <row r="69">
      <c r="A69" s="6"/>
      <c r="B69" s="7"/>
      <c r="C69" s="7"/>
      <c r="D69" s="7"/>
      <c r="E69" s="7"/>
      <c r="F69" s="7"/>
      <c r="G69" s="7"/>
      <c r="H69" s="7"/>
      <c r="I69" s="7"/>
      <c r="J69" s="8"/>
      <c r="K69" s="9"/>
    </row>
    <row r="70">
      <c r="A70" s="6"/>
      <c r="B70" s="7"/>
      <c r="C70" s="7"/>
      <c r="D70" s="7"/>
      <c r="E70" s="7"/>
      <c r="F70" s="7"/>
      <c r="G70" s="7"/>
      <c r="H70" s="7"/>
      <c r="I70" s="7"/>
      <c r="J70" s="8"/>
      <c r="K70" s="9"/>
    </row>
    <row r="71">
      <c r="A71" s="6"/>
      <c r="B71" s="7"/>
      <c r="C71" s="7"/>
      <c r="D71" s="7"/>
      <c r="E71" s="7"/>
      <c r="F71" s="7"/>
      <c r="G71" s="7"/>
      <c r="H71" s="7"/>
      <c r="I71" s="7"/>
      <c r="J71" s="8"/>
      <c r="K71" s="9"/>
    </row>
    <row r="72">
      <c r="A72" s="6"/>
      <c r="B72" s="7"/>
      <c r="C72" s="7"/>
      <c r="D72" s="7"/>
      <c r="E72" s="7"/>
      <c r="F72" s="7"/>
      <c r="G72" s="7"/>
      <c r="H72" s="7"/>
      <c r="I72" s="7"/>
      <c r="J72" s="8"/>
      <c r="K72" s="9"/>
    </row>
    <row r="73">
      <c r="A73" s="6"/>
      <c r="B73" s="7"/>
      <c r="C73" s="7"/>
      <c r="D73" s="7"/>
      <c r="E73" s="7"/>
      <c r="F73" s="7"/>
      <c r="G73" s="7"/>
      <c r="H73" s="7"/>
      <c r="I73" s="7"/>
      <c r="J73" s="8"/>
      <c r="K73" s="9"/>
    </row>
    <row r="74">
      <c r="A74" s="6"/>
      <c r="B74" s="7"/>
      <c r="C74" s="7"/>
      <c r="D74" s="7"/>
      <c r="E74" s="7"/>
      <c r="F74" s="7"/>
      <c r="G74" s="7"/>
      <c r="H74" s="7"/>
      <c r="I74" s="7"/>
      <c r="J74" s="8"/>
      <c r="K74" s="9"/>
    </row>
    <row r="75">
      <c r="A75" s="6"/>
      <c r="B75" s="7"/>
      <c r="C75" s="7"/>
      <c r="D75" s="7"/>
      <c r="E75" s="7"/>
      <c r="F75" s="7"/>
      <c r="G75" s="7"/>
      <c r="H75" s="7"/>
      <c r="I75" s="7"/>
      <c r="J75" s="8"/>
      <c r="K75" s="9"/>
    </row>
    <row r="76">
      <c r="A76" s="6"/>
      <c r="B76" s="7"/>
      <c r="C76" s="7"/>
      <c r="D76" s="7"/>
      <c r="E76" s="7"/>
      <c r="F76" s="7"/>
      <c r="G76" s="7"/>
      <c r="H76" s="7"/>
      <c r="I76" s="7"/>
      <c r="J76" s="8"/>
      <c r="K76" s="9"/>
    </row>
    <row r="77">
      <c r="A77" s="6"/>
      <c r="B77" s="7"/>
      <c r="C77" s="7"/>
      <c r="D77" s="7"/>
      <c r="E77" s="7"/>
      <c r="F77" s="7"/>
      <c r="G77" s="7"/>
      <c r="H77" s="7"/>
      <c r="I77" s="7"/>
      <c r="J77" s="8"/>
      <c r="K77" s="9"/>
    </row>
    <row r="78">
      <c r="A78" s="6"/>
      <c r="B78" s="7"/>
      <c r="C78" s="7"/>
      <c r="D78" s="7"/>
      <c r="E78" s="7"/>
      <c r="F78" s="7"/>
      <c r="G78" s="7"/>
      <c r="H78" s="7"/>
      <c r="I78" s="7"/>
      <c r="J78" s="8"/>
      <c r="K78" s="9"/>
    </row>
    <row r="79">
      <c r="A79" s="6"/>
      <c r="B79" s="7"/>
      <c r="C79" s="7"/>
      <c r="D79" s="7"/>
      <c r="E79" s="7"/>
      <c r="F79" s="7"/>
      <c r="G79" s="7"/>
      <c r="H79" s="7"/>
      <c r="I79" s="7"/>
      <c r="J79" s="8"/>
      <c r="K79" s="9"/>
    </row>
    <row r="80">
      <c r="A80" s="6"/>
      <c r="B80" s="7"/>
      <c r="C80" s="7"/>
      <c r="D80" s="7"/>
      <c r="E80" s="7"/>
      <c r="F80" s="7"/>
      <c r="G80" s="7"/>
      <c r="H80" s="7"/>
      <c r="I80" s="7"/>
      <c r="J80" s="8"/>
      <c r="K80" s="9"/>
    </row>
    <row r="81">
      <c r="A81" s="6"/>
      <c r="B81" s="7"/>
      <c r="C81" s="7"/>
      <c r="D81" s="7"/>
      <c r="E81" s="7"/>
      <c r="F81" s="7"/>
      <c r="G81" s="7"/>
      <c r="H81" s="7"/>
      <c r="I81" s="7"/>
      <c r="J81" s="8"/>
      <c r="K81" s="9"/>
    </row>
    <row r="82">
      <c r="A82" s="6"/>
      <c r="B82" s="7"/>
      <c r="C82" s="7"/>
      <c r="D82" s="7"/>
      <c r="E82" s="7"/>
      <c r="F82" s="7"/>
      <c r="G82" s="7"/>
      <c r="H82" s="7"/>
      <c r="I82" s="7"/>
      <c r="J82" s="8"/>
      <c r="K82" s="9"/>
    </row>
    <row r="83">
      <c r="A83" s="6"/>
      <c r="B83" s="7"/>
      <c r="C83" s="7"/>
      <c r="D83" s="7"/>
      <c r="E83" s="7"/>
      <c r="F83" s="7"/>
      <c r="G83" s="7"/>
      <c r="H83" s="7"/>
      <c r="I83" s="7"/>
      <c r="J83" s="8"/>
      <c r="K83" s="9"/>
    </row>
    <row r="84">
      <c r="A84" s="6"/>
      <c r="B84" s="7"/>
      <c r="C84" s="7"/>
      <c r="D84" s="7"/>
      <c r="E84" s="7"/>
      <c r="F84" s="7"/>
      <c r="G84" s="7"/>
      <c r="H84" s="7"/>
      <c r="I84" s="7"/>
      <c r="J84" s="8"/>
      <c r="K84" s="9"/>
    </row>
    <row r="85">
      <c r="A85" s="6"/>
      <c r="B85" s="7"/>
      <c r="C85" s="7"/>
      <c r="D85" s="7"/>
      <c r="E85" s="7"/>
      <c r="F85" s="7"/>
      <c r="G85" s="7"/>
      <c r="H85" s="7"/>
      <c r="I85" s="7"/>
      <c r="J85" s="8"/>
      <c r="K85" s="9"/>
    </row>
    <row r="86">
      <c r="A86" s="6"/>
      <c r="B86" s="7"/>
      <c r="C86" s="7"/>
      <c r="D86" s="7"/>
      <c r="E86" s="7"/>
      <c r="F86" s="7"/>
      <c r="G86" s="7"/>
      <c r="H86" s="7"/>
      <c r="I86" s="7"/>
      <c r="J86" s="8"/>
      <c r="K86" s="9"/>
    </row>
    <row r="87">
      <c r="A87" s="6"/>
      <c r="B87" s="7"/>
      <c r="C87" s="7"/>
      <c r="D87" s="7"/>
      <c r="E87" s="7"/>
      <c r="F87" s="7"/>
      <c r="G87" s="7"/>
      <c r="H87" s="7"/>
      <c r="I87" s="7"/>
      <c r="J87" s="8"/>
      <c r="K87" s="9"/>
    </row>
    <row r="88">
      <c r="A88" s="6"/>
      <c r="B88" s="7"/>
      <c r="C88" s="7"/>
      <c r="D88" s="7"/>
      <c r="E88" s="7"/>
      <c r="F88" s="7"/>
      <c r="G88" s="7"/>
      <c r="H88" s="7"/>
      <c r="I88" s="7"/>
      <c r="J88" s="8"/>
      <c r="K88" s="9"/>
    </row>
    <row r="89">
      <c r="A89" s="6"/>
      <c r="B89" s="7"/>
      <c r="C89" s="7"/>
      <c r="D89" s="7"/>
      <c r="E89" s="7"/>
      <c r="F89" s="7"/>
      <c r="G89" s="7"/>
      <c r="H89" s="7"/>
      <c r="I89" s="7"/>
      <c r="J89" s="8"/>
      <c r="K89" s="9"/>
    </row>
    <row r="90">
      <c r="A90" s="6"/>
      <c r="B90" s="7"/>
      <c r="C90" s="7"/>
      <c r="D90" s="7"/>
      <c r="E90" s="7"/>
      <c r="F90" s="7"/>
      <c r="G90" s="7"/>
      <c r="H90" s="7"/>
      <c r="I90" s="7"/>
      <c r="J90" s="8"/>
      <c r="K90" s="9"/>
    </row>
    <row r="91">
      <c r="A91" s="6"/>
      <c r="B91" s="7"/>
      <c r="C91" s="7"/>
      <c r="D91" s="7"/>
      <c r="E91" s="7"/>
      <c r="F91" s="7"/>
      <c r="G91" s="7"/>
      <c r="H91" s="7"/>
      <c r="I91" s="7"/>
      <c r="J91" s="8"/>
      <c r="K91" s="9"/>
    </row>
    <row r="92">
      <c r="A92" s="6"/>
      <c r="B92" s="7"/>
      <c r="C92" s="7"/>
      <c r="D92" s="7"/>
      <c r="E92" s="7"/>
      <c r="F92" s="7"/>
      <c r="G92" s="7"/>
      <c r="H92" s="7"/>
      <c r="I92" s="7"/>
      <c r="J92" s="8"/>
      <c r="K92" s="9"/>
    </row>
    <row r="93">
      <c r="A93" s="6"/>
      <c r="B93" s="7"/>
      <c r="C93" s="7"/>
      <c r="D93" s="7"/>
      <c r="E93" s="7"/>
      <c r="F93" s="7"/>
      <c r="G93" s="7"/>
      <c r="H93" s="7"/>
      <c r="I93" s="7"/>
      <c r="J93" s="8"/>
      <c r="K93" s="9"/>
    </row>
    <row r="94">
      <c r="A94" s="6"/>
      <c r="B94" s="7"/>
      <c r="C94" s="7"/>
      <c r="D94" s="7"/>
      <c r="E94" s="7"/>
      <c r="F94" s="7"/>
      <c r="G94" s="7"/>
      <c r="H94" s="7"/>
      <c r="I94" s="7"/>
      <c r="J94" s="8"/>
      <c r="K94" s="9"/>
    </row>
    <row r="95">
      <c r="A95" s="6"/>
      <c r="B95" s="7"/>
      <c r="C95" s="7"/>
      <c r="D95" s="7"/>
      <c r="E95" s="7"/>
      <c r="F95" s="7"/>
      <c r="G95" s="7"/>
      <c r="H95" s="7"/>
      <c r="I95" s="7"/>
      <c r="J95" s="8"/>
      <c r="K95" s="9"/>
    </row>
    <row r="96">
      <c r="A96" s="6"/>
      <c r="B96" s="7"/>
      <c r="C96" s="7"/>
      <c r="D96" s="7"/>
      <c r="E96" s="7"/>
      <c r="F96" s="7"/>
      <c r="G96" s="7"/>
      <c r="H96" s="7"/>
      <c r="I96" s="7"/>
      <c r="J96" s="8"/>
      <c r="K96" s="9"/>
    </row>
    <row r="97">
      <c r="A97" s="6"/>
      <c r="B97" s="7"/>
      <c r="C97" s="7"/>
      <c r="D97" s="7"/>
      <c r="E97" s="7"/>
      <c r="F97" s="7"/>
      <c r="G97" s="7"/>
      <c r="H97" s="7"/>
      <c r="I97" s="7"/>
      <c r="J97" s="8"/>
      <c r="K97" s="9"/>
    </row>
    <row r="98">
      <c r="A98" s="6"/>
      <c r="B98" s="7"/>
      <c r="C98" s="7"/>
      <c r="D98" s="7"/>
      <c r="E98" s="7"/>
      <c r="F98" s="7"/>
      <c r="G98" s="7"/>
      <c r="H98" s="7"/>
      <c r="I98" s="7"/>
      <c r="J98" s="8"/>
      <c r="K98" s="9"/>
    </row>
    <row r="99">
      <c r="A99" s="6"/>
      <c r="B99" s="7"/>
      <c r="C99" s="7"/>
      <c r="D99" s="7"/>
      <c r="E99" s="7"/>
      <c r="F99" s="7"/>
      <c r="G99" s="7"/>
      <c r="H99" s="7"/>
      <c r="I99" s="7"/>
      <c r="J99" s="8"/>
      <c r="K99" s="9"/>
    </row>
    <row r="100">
      <c r="A100" s="6"/>
      <c r="B100" s="7"/>
      <c r="C100" s="7"/>
      <c r="D100" s="7"/>
      <c r="E100" s="7"/>
      <c r="F100" s="7"/>
      <c r="G100" s="7"/>
      <c r="H100" s="7"/>
      <c r="I100" s="7"/>
      <c r="J100" s="8"/>
      <c r="K100" s="9"/>
    </row>
    <row r="101">
      <c r="A101" s="6"/>
      <c r="B101" s="7"/>
      <c r="C101" s="7"/>
      <c r="D101" s="7"/>
      <c r="E101" s="7"/>
      <c r="F101" s="7"/>
      <c r="G101" s="7"/>
      <c r="H101" s="7"/>
      <c r="I101" s="7"/>
      <c r="J101" s="8"/>
      <c r="K101" s="9"/>
    </row>
    <row r="102">
      <c r="A102" s="6"/>
      <c r="B102" s="7"/>
      <c r="C102" s="7"/>
      <c r="D102" s="7"/>
      <c r="E102" s="7"/>
      <c r="F102" s="7"/>
      <c r="G102" s="7"/>
      <c r="H102" s="7"/>
      <c r="I102" s="7"/>
      <c r="J102" s="8"/>
      <c r="K102" s="9"/>
    </row>
    <row r="103">
      <c r="A103" s="6"/>
      <c r="B103" s="7"/>
      <c r="C103" s="7"/>
      <c r="D103" s="7"/>
      <c r="E103" s="7"/>
      <c r="F103" s="7"/>
      <c r="G103" s="7"/>
      <c r="H103" s="7"/>
      <c r="I103" s="7"/>
      <c r="J103" s="8"/>
      <c r="K103" s="9"/>
    </row>
    <row r="104">
      <c r="A104" s="6"/>
      <c r="B104" s="7"/>
      <c r="C104" s="7"/>
      <c r="D104" s="7"/>
      <c r="E104" s="7"/>
      <c r="F104" s="7"/>
      <c r="G104" s="7"/>
      <c r="H104" s="7"/>
      <c r="I104" s="7"/>
      <c r="J104" s="8"/>
      <c r="K104" s="9"/>
    </row>
    <row r="105">
      <c r="A105" s="6"/>
      <c r="B105" s="7"/>
      <c r="C105" s="7"/>
      <c r="D105" s="7"/>
      <c r="E105" s="7"/>
      <c r="F105" s="7"/>
      <c r="G105" s="7"/>
      <c r="H105" s="7"/>
      <c r="I105" s="7"/>
      <c r="J105" s="8"/>
      <c r="K105" s="9"/>
    </row>
    <row r="106">
      <c r="A106" s="6"/>
      <c r="B106" s="7"/>
      <c r="C106" s="7"/>
      <c r="D106" s="7"/>
      <c r="E106" s="7"/>
      <c r="F106" s="7"/>
      <c r="G106" s="7"/>
      <c r="H106" s="7"/>
      <c r="I106" s="7"/>
      <c r="J106" s="8"/>
      <c r="K106" s="9"/>
    </row>
    <row r="107">
      <c r="A107" s="6"/>
      <c r="B107" s="7"/>
      <c r="C107" s="7"/>
      <c r="D107" s="7"/>
      <c r="E107" s="7"/>
      <c r="F107" s="7"/>
      <c r="G107" s="7"/>
      <c r="H107" s="7"/>
      <c r="I107" s="7"/>
      <c r="J107" s="8"/>
      <c r="K107" s="9"/>
    </row>
    <row r="108">
      <c r="A108" s="6"/>
      <c r="B108" s="7"/>
      <c r="C108" s="7"/>
      <c r="D108" s="7"/>
      <c r="E108" s="7"/>
      <c r="F108" s="7"/>
      <c r="G108" s="7"/>
      <c r="H108" s="7"/>
      <c r="I108" s="7"/>
      <c r="J108" s="8"/>
      <c r="K108" s="9"/>
    </row>
    <row r="109">
      <c r="A109" s="6"/>
      <c r="B109" s="7"/>
      <c r="C109" s="7"/>
      <c r="D109" s="7"/>
      <c r="E109" s="7"/>
      <c r="F109" s="7"/>
      <c r="G109" s="7"/>
      <c r="H109" s="7"/>
      <c r="I109" s="7"/>
      <c r="J109" s="8"/>
      <c r="K109" s="9"/>
    </row>
    <row r="110">
      <c r="A110" s="6"/>
      <c r="B110" s="7"/>
      <c r="C110" s="7"/>
      <c r="D110" s="7"/>
      <c r="E110" s="7"/>
      <c r="F110" s="7"/>
      <c r="G110" s="7"/>
      <c r="H110" s="7"/>
      <c r="I110" s="7"/>
      <c r="J110" s="8"/>
      <c r="K110" s="9"/>
    </row>
    <row r="111">
      <c r="A111" s="6"/>
      <c r="B111" s="7"/>
      <c r="C111" s="7"/>
      <c r="D111" s="7"/>
      <c r="E111" s="7"/>
      <c r="F111" s="7"/>
      <c r="G111" s="7"/>
      <c r="H111" s="7"/>
      <c r="I111" s="7"/>
      <c r="J111" s="8"/>
      <c r="K111" s="9"/>
    </row>
    <row r="112">
      <c r="A112" s="6"/>
      <c r="B112" s="7"/>
      <c r="C112" s="7"/>
      <c r="D112" s="7"/>
      <c r="E112" s="7"/>
      <c r="F112" s="7"/>
      <c r="G112" s="7"/>
      <c r="H112" s="7"/>
      <c r="I112" s="7"/>
      <c r="J112" s="8"/>
      <c r="K112" s="9"/>
    </row>
    <row r="113">
      <c r="A113" s="6"/>
      <c r="B113" s="7"/>
      <c r="C113" s="7"/>
      <c r="D113" s="7"/>
      <c r="E113" s="7"/>
      <c r="F113" s="7"/>
      <c r="G113" s="7"/>
      <c r="H113" s="7"/>
      <c r="I113" s="7"/>
      <c r="J113" s="8"/>
      <c r="K113" s="9"/>
    </row>
    <row r="114">
      <c r="A114" s="6"/>
      <c r="B114" s="7"/>
      <c r="C114" s="7"/>
      <c r="D114" s="7"/>
      <c r="E114" s="7"/>
      <c r="F114" s="7"/>
      <c r="G114" s="7"/>
      <c r="H114" s="7"/>
      <c r="I114" s="7"/>
      <c r="J114" s="8"/>
      <c r="K114" s="9"/>
    </row>
    <row r="115">
      <c r="A115" s="6"/>
      <c r="B115" s="7"/>
      <c r="C115" s="7"/>
      <c r="D115" s="7"/>
      <c r="E115" s="7"/>
      <c r="F115" s="7"/>
      <c r="G115" s="7"/>
      <c r="H115" s="7"/>
      <c r="I115" s="7"/>
      <c r="J115" s="8"/>
      <c r="K115" s="9"/>
    </row>
    <row r="116">
      <c r="A116" s="6"/>
      <c r="B116" s="7"/>
      <c r="C116" s="7"/>
      <c r="D116" s="7"/>
      <c r="E116" s="7"/>
      <c r="F116" s="7"/>
      <c r="G116" s="7"/>
      <c r="H116" s="7"/>
      <c r="I116" s="7"/>
      <c r="J116" s="8"/>
      <c r="K116" s="9"/>
    </row>
    <row r="117">
      <c r="A117" s="6"/>
      <c r="B117" s="7"/>
      <c r="C117" s="7"/>
      <c r="D117" s="7"/>
      <c r="E117" s="7"/>
      <c r="F117" s="7"/>
      <c r="G117" s="7"/>
      <c r="H117" s="7"/>
      <c r="I117" s="7"/>
      <c r="J117" s="8"/>
      <c r="K117" s="9"/>
    </row>
    <row r="118">
      <c r="A118" s="6"/>
      <c r="B118" s="7"/>
      <c r="C118" s="7"/>
      <c r="D118" s="7"/>
      <c r="E118" s="7"/>
      <c r="F118" s="7"/>
      <c r="G118" s="7"/>
      <c r="H118" s="7"/>
      <c r="I118" s="7"/>
      <c r="J118" s="8"/>
      <c r="K118" s="9"/>
    </row>
    <row r="119">
      <c r="A119" s="6"/>
      <c r="B119" s="7"/>
      <c r="C119" s="7"/>
      <c r="D119" s="7"/>
      <c r="E119" s="7"/>
      <c r="F119" s="7"/>
      <c r="G119" s="7"/>
      <c r="H119" s="7"/>
      <c r="I119" s="7"/>
      <c r="J119" s="8"/>
      <c r="K119" s="9"/>
    </row>
    <row r="120">
      <c r="A120" s="6"/>
      <c r="B120" s="7"/>
      <c r="C120" s="7"/>
      <c r="D120" s="7"/>
      <c r="E120" s="7"/>
      <c r="F120" s="7"/>
      <c r="G120" s="7"/>
      <c r="H120" s="7"/>
      <c r="I120" s="7"/>
      <c r="J120" s="8"/>
      <c r="K120" s="9"/>
    </row>
    <row r="121">
      <c r="A121" s="6"/>
      <c r="B121" s="7"/>
      <c r="C121" s="7"/>
      <c r="D121" s="7"/>
      <c r="E121" s="7"/>
      <c r="F121" s="7"/>
      <c r="G121" s="7"/>
      <c r="H121" s="7"/>
      <c r="I121" s="7"/>
      <c r="J121" s="8"/>
      <c r="K121" s="9"/>
    </row>
    <row r="122">
      <c r="A122" s="6"/>
      <c r="B122" s="7"/>
      <c r="C122" s="7"/>
      <c r="D122" s="7"/>
      <c r="E122" s="7"/>
      <c r="F122" s="7"/>
      <c r="G122" s="7"/>
      <c r="H122" s="7"/>
      <c r="I122" s="7"/>
      <c r="J122" s="8"/>
      <c r="K122" s="9"/>
    </row>
    <row r="123">
      <c r="A123" s="6"/>
      <c r="B123" s="7"/>
      <c r="C123" s="7"/>
      <c r="D123" s="7"/>
      <c r="E123" s="7"/>
      <c r="F123" s="7"/>
      <c r="G123" s="7"/>
      <c r="H123" s="7"/>
      <c r="I123" s="7"/>
      <c r="J123" s="8"/>
      <c r="K123" s="9"/>
    </row>
    <row r="124">
      <c r="A124" s="6"/>
      <c r="B124" s="7"/>
      <c r="C124" s="7"/>
      <c r="D124" s="7"/>
      <c r="E124" s="7"/>
      <c r="F124" s="7"/>
      <c r="G124" s="7"/>
      <c r="H124" s="7"/>
      <c r="I124" s="7"/>
      <c r="J124" s="8"/>
      <c r="K124" s="9"/>
    </row>
    <row r="125">
      <c r="A125" s="6"/>
      <c r="B125" s="7"/>
      <c r="C125" s="7"/>
      <c r="D125" s="7"/>
      <c r="E125" s="7"/>
      <c r="F125" s="7"/>
      <c r="G125" s="7"/>
      <c r="H125" s="7"/>
      <c r="I125" s="7"/>
      <c r="J125" s="8"/>
      <c r="K125" s="9"/>
    </row>
    <row r="126">
      <c r="A126" s="6"/>
      <c r="B126" s="7"/>
      <c r="C126" s="7"/>
      <c r="D126" s="7"/>
      <c r="E126" s="7"/>
      <c r="F126" s="7"/>
      <c r="G126" s="7"/>
      <c r="H126" s="7"/>
      <c r="I126" s="7"/>
      <c r="J126" s="8"/>
      <c r="K126" s="9"/>
    </row>
    <row r="127">
      <c r="A127" s="6"/>
      <c r="B127" s="7"/>
      <c r="C127" s="7"/>
      <c r="D127" s="7"/>
      <c r="E127" s="7"/>
      <c r="F127" s="7"/>
      <c r="G127" s="7"/>
      <c r="H127" s="7"/>
      <c r="I127" s="7"/>
      <c r="J127" s="8"/>
      <c r="K127" s="9"/>
    </row>
    <row r="128">
      <c r="A128" s="6"/>
      <c r="B128" s="7"/>
      <c r="C128" s="7"/>
      <c r="D128" s="7"/>
      <c r="E128" s="7"/>
      <c r="F128" s="7"/>
      <c r="G128" s="7"/>
      <c r="H128" s="7"/>
      <c r="I128" s="7"/>
      <c r="J128" s="8"/>
      <c r="K128" s="9"/>
    </row>
    <row r="129">
      <c r="A129" s="6"/>
      <c r="B129" s="7"/>
      <c r="C129" s="7"/>
      <c r="D129" s="7"/>
      <c r="E129" s="7"/>
      <c r="F129" s="7"/>
      <c r="G129" s="7"/>
      <c r="H129" s="7"/>
      <c r="I129" s="7"/>
      <c r="J129" s="8"/>
      <c r="K129" s="9"/>
    </row>
    <row r="130">
      <c r="A130" s="6"/>
      <c r="B130" s="7"/>
      <c r="C130" s="7"/>
      <c r="D130" s="7"/>
      <c r="E130" s="7"/>
      <c r="F130" s="7"/>
      <c r="G130" s="7"/>
      <c r="H130" s="7"/>
      <c r="I130" s="7"/>
      <c r="J130" s="8"/>
      <c r="K130" s="9"/>
    </row>
    <row r="131">
      <c r="A131" s="6"/>
      <c r="B131" s="7"/>
      <c r="C131" s="7"/>
      <c r="D131" s="7"/>
      <c r="E131" s="7"/>
      <c r="F131" s="7"/>
      <c r="G131" s="7"/>
      <c r="H131" s="7"/>
      <c r="I131" s="7"/>
      <c r="J131" s="8"/>
      <c r="K131" s="9"/>
    </row>
    <row r="132">
      <c r="A132" s="6"/>
      <c r="B132" s="7"/>
      <c r="C132" s="7"/>
      <c r="D132" s="7"/>
      <c r="E132" s="7"/>
      <c r="F132" s="7"/>
      <c r="G132" s="7"/>
      <c r="H132" s="7"/>
      <c r="I132" s="7"/>
      <c r="J132" s="8"/>
      <c r="K132" s="9"/>
    </row>
    <row r="133">
      <c r="A133" s="6"/>
      <c r="B133" s="7"/>
      <c r="C133" s="7"/>
      <c r="D133" s="7"/>
      <c r="E133" s="7"/>
      <c r="F133" s="7"/>
      <c r="G133" s="7"/>
      <c r="H133" s="7"/>
      <c r="I133" s="7"/>
      <c r="J133" s="8"/>
      <c r="K133" s="9"/>
    </row>
    <row r="134">
      <c r="A134" s="6"/>
      <c r="B134" s="7"/>
      <c r="C134" s="7"/>
      <c r="D134" s="7"/>
      <c r="E134" s="7"/>
      <c r="F134" s="7"/>
      <c r="G134" s="7"/>
      <c r="H134" s="7"/>
      <c r="I134" s="7"/>
      <c r="J134" s="8"/>
      <c r="K134" s="9"/>
    </row>
    <row r="135">
      <c r="A135" s="6"/>
      <c r="B135" s="7"/>
      <c r="C135" s="7"/>
      <c r="D135" s="7"/>
      <c r="E135" s="7"/>
      <c r="F135" s="7"/>
      <c r="G135" s="7"/>
      <c r="H135" s="7"/>
      <c r="I135" s="7"/>
      <c r="J135" s="8"/>
      <c r="K135" s="9"/>
    </row>
    <row r="136">
      <c r="A136" s="6"/>
      <c r="B136" s="7"/>
      <c r="C136" s="7"/>
      <c r="D136" s="7"/>
      <c r="E136" s="7"/>
      <c r="F136" s="7"/>
      <c r="G136" s="7"/>
      <c r="H136" s="7"/>
      <c r="I136" s="7"/>
      <c r="J136" s="8"/>
      <c r="K136" s="9"/>
    </row>
    <row r="137">
      <c r="A137" s="6"/>
      <c r="B137" s="7"/>
      <c r="C137" s="7"/>
      <c r="D137" s="7"/>
      <c r="E137" s="7"/>
      <c r="F137" s="7"/>
      <c r="G137" s="7"/>
      <c r="H137" s="7"/>
      <c r="I137" s="7"/>
      <c r="J137" s="8"/>
      <c r="K137" s="9"/>
    </row>
    <row r="138">
      <c r="A138" s="6"/>
      <c r="B138" s="7"/>
      <c r="C138" s="7"/>
      <c r="D138" s="7"/>
      <c r="E138" s="7"/>
      <c r="F138" s="7"/>
      <c r="G138" s="7"/>
      <c r="H138" s="7"/>
      <c r="I138" s="7"/>
      <c r="J138" s="8"/>
      <c r="K138" s="9"/>
    </row>
    <row r="139">
      <c r="A139" s="6"/>
      <c r="B139" s="7"/>
      <c r="C139" s="7"/>
      <c r="D139" s="7"/>
      <c r="E139" s="7"/>
      <c r="F139" s="7"/>
      <c r="G139" s="7"/>
      <c r="H139" s="7"/>
      <c r="I139" s="7"/>
      <c r="J139" s="8"/>
      <c r="K139" s="9"/>
    </row>
    <row r="140">
      <c r="A140" s="6"/>
      <c r="B140" s="7"/>
      <c r="C140" s="7"/>
      <c r="D140" s="7"/>
      <c r="E140" s="7"/>
      <c r="F140" s="7"/>
      <c r="G140" s="7"/>
      <c r="H140" s="7"/>
      <c r="I140" s="7"/>
      <c r="J140" s="8"/>
      <c r="K140" s="9"/>
    </row>
    <row r="141">
      <c r="A141" s="6"/>
      <c r="B141" s="7"/>
      <c r="C141" s="7"/>
      <c r="D141" s="7"/>
      <c r="E141" s="7"/>
      <c r="F141" s="7"/>
      <c r="G141" s="7"/>
      <c r="H141" s="7"/>
      <c r="I141" s="7"/>
      <c r="J141" s="8"/>
      <c r="K141" s="9"/>
    </row>
    <row r="142">
      <c r="A142" s="6"/>
      <c r="B142" s="7"/>
      <c r="C142" s="7"/>
      <c r="D142" s="7"/>
      <c r="E142" s="7"/>
      <c r="F142" s="7"/>
      <c r="G142" s="7"/>
      <c r="H142" s="7"/>
      <c r="I142" s="7"/>
      <c r="J142" s="8"/>
      <c r="K142" s="9"/>
    </row>
    <row r="143">
      <c r="A143" s="6"/>
      <c r="B143" s="7"/>
      <c r="C143" s="7"/>
      <c r="D143" s="7"/>
      <c r="E143" s="7"/>
      <c r="F143" s="7"/>
      <c r="G143" s="7"/>
      <c r="H143" s="7"/>
      <c r="I143" s="7"/>
      <c r="J143" s="8"/>
      <c r="K143" s="9"/>
    </row>
    <row r="144">
      <c r="A144" s="6"/>
      <c r="B144" s="7"/>
      <c r="C144" s="7"/>
      <c r="D144" s="7"/>
      <c r="E144" s="7"/>
      <c r="F144" s="7"/>
      <c r="G144" s="7"/>
      <c r="H144" s="7"/>
      <c r="I144" s="7"/>
      <c r="J144" s="8"/>
      <c r="K144" s="9"/>
    </row>
    <row r="145">
      <c r="A145" s="6"/>
      <c r="B145" s="7"/>
      <c r="C145" s="7"/>
      <c r="D145" s="7"/>
      <c r="E145" s="7"/>
      <c r="F145" s="7"/>
      <c r="G145" s="7"/>
      <c r="H145" s="7"/>
      <c r="I145" s="7"/>
      <c r="J145" s="8"/>
      <c r="K145" s="9"/>
    </row>
    <row r="146">
      <c r="A146" s="6"/>
      <c r="B146" s="7"/>
      <c r="C146" s="7"/>
      <c r="D146" s="7"/>
      <c r="E146" s="7"/>
      <c r="F146" s="7"/>
      <c r="G146" s="7"/>
      <c r="H146" s="7"/>
      <c r="I146" s="7"/>
      <c r="J146" s="8"/>
      <c r="K146" s="9"/>
    </row>
    <row r="147">
      <c r="A147" s="6"/>
      <c r="B147" s="7"/>
      <c r="C147" s="7"/>
      <c r="D147" s="7"/>
      <c r="E147" s="7"/>
      <c r="F147" s="7"/>
      <c r="G147" s="7"/>
      <c r="H147" s="7"/>
      <c r="I147" s="7"/>
      <c r="J147" s="8"/>
      <c r="K147" s="9"/>
    </row>
    <row r="148">
      <c r="A148" s="6"/>
      <c r="B148" s="7"/>
      <c r="C148" s="7"/>
      <c r="D148" s="7"/>
      <c r="E148" s="7"/>
      <c r="F148" s="7"/>
      <c r="G148" s="7"/>
      <c r="H148" s="7"/>
      <c r="I148" s="7"/>
      <c r="J148" s="8"/>
      <c r="K148" s="9"/>
    </row>
    <row r="149">
      <c r="A149" s="6"/>
      <c r="B149" s="7"/>
      <c r="C149" s="7"/>
      <c r="D149" s="7"/>
      <c r="E149" s="7"/>
      <c r="F149" s="7"/>
      <c r="G149" s="7"/>
      <c r="H149" s="7"/>
      <c r="I149" s="7"/>
      <c r="J149" s="8"/>
      <c r="K149" s="9"/>
    </row>
    <row r="150">
      <c r="A150" s="6"/>
      <c r="B150" s="7"/>
      <c r="C150" s="7"/>
      <c r="D150" s="7"/>
      <c r="E150" s="7"/>
      <c r="F150" s="7"/>
      <c r="G150" s="7"/>
      <c r="H150" s="7"/>
      <c r="I150" s="7"/>
      <c r="J150" s="8"/>
      <c r="K150" s="9"/>
    </row>
    <row r="151">
      <c r="A151" s="6"/>
      <c r="B151" s="7"/>
      <c r="C151" s="7"/>
      <c r="D151" s="7"/>
      <c r="E151" s="7"/>
      <c r="F151" s="7"/>
      <c r="G151" s="7"/>
      <c r="H151" s="7"/>
      <c r="I151" s="7"/>
      <c r="J151" s="8"/>
      <c r="K151" s="9"/>
    </row>
    <row r="152">
      <c r="A152" s="6"/>
      <c r="B152" s="7"/>
      <c r="C152" s="7"/>
      <c r="D152" s="7"/>
      <c r="E152" s="7"/>
      <c r="F152" s="7"/>
      <c r="G152" s="7"/>
      <c r="H152" s="7"/>
      <c r="I152" s="7"/>
      <c r="J152" s="8"/>
      <c r="K152" s="9"/>
    </row>
    <row r="153">
      <c r="A153" s="6"/>
      <c r="B153" s="7"/>
      <c r="C153" s="7"/>
      <c r="D153" s="7"/>
      <c r="E153" s="7"/>
      <c r="F153" s="7"/>
      <c r="G153" s="7"/>
      <c r="H153" s="7"/>
      <c r="I153" s="7"/>
      <c r="J153" s="8"/>
      <c r="K153" s="9"/>
    </row>
    <row r="154">
      <c r="A154" s="6"/>
      <c r="B154" s="7"/>
      <c r="C154" s="7"/>
      <c r="D154" s="7"/>
      <c r="E154" s="7"/>
      <c r="F154" s="7"/>
      <c r="G154" s="7"/>
      <c r="H154" s="7"/>
      <c r="I154" s="7"/>
      <c r="J154" s="8"/>
      <c r="K154" s="9"/>
    </row>
    <row r="155">
      <c r="A155" s="6"/>
      <c r="B155" s="7"/>
      <c r="C155" s="7"/>
      <c r="D155" s="7"/>
      <c r="E155" s="7"/>
      <c r="F155" s="7"/>
      <c r="G155" s="7"/>
      <c r="H155" s="7"/>
      <c r="I155" s="7"/>
      <c r="J155" s="8"/>
      <c r="K155" s="9"/>
    </row>
    <row r="156">
      <c r="A156" s="6"/>
      <c r="B156" s="7"/>
      <c r="C156" s="7"/>
      <c r="D156" s="7"/>
      <c r="E156" s="7"/>
      <c r="F156" s="7"/>
      <c r="G156" s="7"/>
      <c r="H156" s="7"/>
      <c r="I156" s="7"/>
      <c r="J156" s="8"/>
      <c r="K156" s="9"/>
    </row>
    <row r="157">
      <c r="A157" s="6"/>
      <c r="B157" s="7"/>
      <c r="C157" s="7"/>
      <c r="D157" s="7"/>
      <c r="E157" s="7"/>
      <c r="F157" s="7"/>
      <c r="G157" s="7"/>
      <c r="H157" s="7"/>
      <c r="I157" s="7"/>
      <c r="J157" s="8"/>
      <c r="K157" s="9"/>
    </row>
    <row r="158">
      <c r="A158" s="6"/>
      <c r="B158" s="7"/>
      <c r="C158" s="7"/>
      <c r="D158" s="7"/>
      <c r="E158" s="7"/>
      <c r="F158" s="7"/>
      <c r="G158" s="7"/>
      <c r="H158" s="7"/>
      <c r="I158" s="7"/>
      <c r="J158" s="8"/>
      <c r="K158" s="9"/>
    </row>
    <row r="159">
      <c r="A159" s="6"/>
      <c r="B159" s="7"/>
      <c r="C159" s="7"/>
      <c r="D159" s="7"/>
      <c r="E159" s="7"/>
      <c r="F159" s="7"/>
      <c r="G159" s="7"/>
      <c r="H159" s="7"/>
      <c r="I159" s="7"/>
      <c r="J159" s="8"/>
      <c r="K159" s="9"/>
    </row>
    <row r="160">
      <c r="A160" s="6"/>
      <c r="B160" s="7"/>
      <c r="C160" s="7"/>
      <c r="D160" s="7"/>
      <c r="E160" s="7"/>
      <c r="F160" s="7"/>
      <c r="G160" s="7"/>
      <c r="H160" s="7"/>
      <c r="I160" s="7"/>
      <c r="J160" s="8"/>
      <c r="K160" s="9"/>
    </row>
    <row r="161">
      <c r="A161" s="6"/>
      <c r="B161" s="7"/>
      <c r="C161" s="7"/>
      <c r="D161" s="7"/>
      <c r="E161" s="7"/>
      <c r="F161" s="7"/>
      <c r="G161" s="7"/>
      <c r="H161" s="7"/>
      <c r="I161" s="7"/>
      <c r="J161" s="8"/>
      <c r="K161" s="9"/>
    </row>
    <row r="162">
      <c r="A162" s="6"/>
      <c r="B162" s="7"/>
      <c r="C162" s="7"/>
      <c r="D162" s="7"/>
      <c r="E162" s="7"/>
      <c r="F162" s="7"/>
      <c r="G162" s="7"/>
      <c r="H162" s="7"/>
      <c r="I162" s="7"/>
      <c r="J162" s="8"/>
      <c r="K162" s="9"/>
    </row>
    <row r="163">
      <c r="A163" s="6"/>
      <c r="B163" s="7"/>
      <c r="C163" s="7"/>
      <c r="D163" s="7"/>
      <c r="E163" s="7"/>
      <c r="F163" s="7"/>
      <c r="G163" s="7"/>
      <c r="H163" s="7"/>
      <c r="I163" s="7"/>
      <c r="J163" s="8"/>
      <c r="K163" s="9"/>
    </row>
    <row r="164">
      <c r="A164" s="6"/>
      <c r="B164" s="7"/>
      <c r="C164" s="7"/>
      <c r="D164" s="7"/>
      <c r="E164" s="7"/>
      <c r="F164" s="7"/>
      <c r="G164" s="7"/>
      <c r="H164" s="7"/>
      <c r="I164" s="7"/>
      <c r="J164" s="8"/>
      <c r="K164" s="9"/>
    </row>
    <row r="165">
      <c r="A165" s="6"/>
      <c r="B165" s="7"/>
      <c r="C165" s="7"/>
      <c r="D165" s="7"/>
      <c r="E165" s="7"/>
      <c r="F165" s="7"/>
      <c r="G165" s="7"/>
      <c r="H165" s="7"/>
      <c r="I165" s="7"/>
      <c r="J165" s="8"/>
      <c r="K165" s="9"/>
    </row>
    <row r="166">
      <c r="A166" s="6"/>
      <c r="B166" s="7"/>
      <c r="C166" s="7"/>
      <c r="D166" s="7"/>
      <c r="E166" s="7"/>
      <c r="F166" s="7"/>
      <c r="G166" s="7"/>
      <c r="H166" s="7"/>
      <c r="I166" s="7"/>
      <c r="J166" s="8"/>
      <c r="K166" s="9"/>
    </row>
    <row r="167">
      <c r="A167" s="6"/>
      <c r="B167" s="7"/>
      <c r="C167" s="7"/>
      <c r="D167" s="7"/>
      <c r="E167" s="7"/>
      <c r="F167" s="7"/>
      <c r="G167" s="7"/>
      <c r="H167" s="7"/>
      <c r="I167" s="7"/>
      <c r="J167" s="8"/>
      <c r="K167" s="9"/>
    </row>
    <row r="168">
      <c r="A168" s="6"/>
      <c r="B168" s="7"/>
      <c r="C168" s="7"/>
      <c r="D168" s="7"/>
      <c r="E168" s="7"/>
      <c r="F168" s="7"/>
      <c r="G168" s="7"/>
      <c r="H168" s="7"/>
      <c r="I168" s="7"/>
      <c r="J168" s="8"/>
      <c r="K168" s="9"/>
    </row>
    <row r="169">
      <c r="A169" s="6"/>
      <c r="B169" s="7"/>
      <c r="C169" s="7"/>
      <c r="D169" s="7"/>
      <c r="E169" s="7"/>
      <c r="F169" s="7"/>
      <c r="G169" s="7"/>
      <c r="H169" s="7"/>
      <c r="I169" s="7"/>
      <c r="J169" s="8"/>
      <c r="K169" s="9"/>
    </row>
    <row r="170">
      <c r="A170" s="6"/>
      <c r="B170" s="7"/>
      <c r="C170" s="7"/>
      <c r="D170" s="7"/>
      <c r="E170" s="7"/>
      <c r="F170" s="7"/>
      <c r="G170" s="7"/>
      <c r="H170" s="7"/>
      <c r="I170" s="7"/>
      <c r="J170" s="8"/>
      <c r="K170" s="9"/>
    </row>
    <row r="171">
      <c r="A171" s="6"/>
      <c r="B171" s="7"/>
      <c r="C171" s="7"/>
      <c r="D171" s="7"/>
      <c r="E171" s="7"/>
      <c r="F171" s="7"/>
      <c r="G171" s="7"/>
      <c r="H171" s="7"/>
      <c r="I171" s="7"/>
      <c r="J171" s="8"/>
      <c r="K171" s="9"/>
    </row>
    <row r="172">
      <c r="A172" s="6"/>
      <c r="B172" s="7"/>
      <c r="C172" s="7"/>
      <c r="D172" s="7"/>
      <c r="E172" s="7"/>
      <c r="F172" s="7"/>
      <c r="G172" s="7"/>
      <c r="H172" s="7"/>
      <c r="I172" s="7"/>
      <c r="J172" s="8"/>
      <c r="K172" s="9"/>
    </row>
    <row r="173">
      <c r="A173" s="6"/>
      <c r="B173" s="7"/>
      <c r="C173" s="7"/>
      <c r="D173" s="7"/>
      <c r="E173" s="7"/>
      <c r="F173" s="7"/>
      <c r="G173" s="7"/>
      <c r="H173" s="7"/>
      <c r="I173" s="7"/>
      <c r="J173" s="8"/>
      <c r="K173" s="9"/>
    </row>
    <row r="174">
      <c r="A174" s="6"/>
      <c r="B174" s="7"/>
      <c r="C174" s="7"/>
      <c r="D174" s="7"/>
      <c r="E174" s="7"/>
      <c r="F174" s="7"/>
      <c r="G174" s="7"/>
      <c r="H174" s="7"/>
      <c r="I174" s="7"/>
      <c r="J174" s="8"/>
      <c r="K174" s="9"/>
    </row>
    <row r="175">
      <c r="A175" s="6"/>
      <c r="B175" s="7"/>
      <c r="C175" s="7"/>
      <c r="D175" s="7"/>
      <c r="E175" s="7"/>
      <c r="F175" s="7"/>
      <c r="G175" s="7"/>
      <c r="H175" s="7"/>
      <c r="I175" s="7"/>
      <c r="J175" s="8"/>
      <c r="K175" s="9"/>
    </row>
    <row r="176">
      <c r="A176" s="6"/>
      <c r="B176" s="7"/>
      <c r="C176" s="7"/>
      <c r="D176" s="7"/>
      <c r="E176" s="7"/>
      <c r="F176" s="7"/>
      <c r="G176" s="7"/>
      <c r="H176" s="7"/>
      <c r="I176" s="7"/>
      <c r="J176" s="8"/>
      <c r="K176" s="9"/>
    </row>
    <row r="177">
      <c r="A177" s="6"/>
      <c r="B177" s="7"/>
      <c r="C177" s="7"/>
      <c r="D177" s="7"/>
      <c r="E177" s="7"/>
      <c r="F177" s="7"/>
      <c r="G177" s="7"/>
      <c r="H177" s="7"/>
      <c r="I177" s="7"/>
      <c r="J177" s="8"/>
      <c r="K177" s="9"/>
    </row>
    <row r="178">
      <c r="A178" s="6"/>
      <c r="B178" s="7"/>
      <c r="C178" s="7"/>
      <c r="D178" s="7"/>
      <c r="E178" s="7"/>
      <c r="F178" s="7"/>
      <c r="G178" s="7"/>
      <c r="H178" s="7"/>
      <c r="I178" s="7"/>
      <c r="J178" s="8"/>
      <c r="K178" s="9"/>
    </row>
    <row r="179">
      <c r="A179" s="6"/>
      <c r="B179" s="7"/>
      <c r="C179" s="7"/>
      <c r="D179" s="7"/>
      <c r="E179" s="7"/>
      <c r="F179" s="7"/>
      <c r="G179" s="7"/>
      <c r="H179" s="7"/>
      <c r="I179" s="7"/>
      <c r="J179" s="8"/>
      <c r="K179" s="9"/>
    </row>
    <row r="180">
      <c r="A180" s="6"/>
      <c r="B180" s="7"/>
      <c r="C180" s="7"/>
      <c r="D180" s="7"/>
      <c r="E180" s="7"/>
      <c r="F180" s="7"/>
      <c r="G180" s="7"/>
      <c r="H180" s="7"/>
      <c r="I180" s="7"/>
      <c r="J180" s="8"/>
      <c r="K180" s="9"/>
    </row>
    <row r="181">
      <c r="A181" s="6"/>
      <c r="B181" s="7"/>
      <c r="C181" s="7"/>
      <c r="D181" s="7"/>
      <c r="E181" s="7"/>
      <c r="F181" s="7"/>
      <c r="G181" s="7"/>
      <c r="H181" s="7"/>
      <c r="I181" s="7"/>
      <c r="J181" s="8"/>
      <c r="K181" s="9"/>
    </row>
    <row r="182">
      <c r="A182" s="6"/>
      <c r="B182" s="7"/>
      <c r="C182" s="7"/>
      <c r="D182" s="7"/>
      <c r="E182" s="7"/>
      <c r="F182" s="7"/>
      <c r="G182" s="7"/>
      <c r="H182" s="7"/>
      <c r="I182" s="7"/>
      <c r="J182" s="8"/>
      <c r="K182" s="9"/>
    </row>
    <row r="183">
      <c r="A183" s="6"/>
      <c r="B183" s="7"/>
      <c r="C183" s="7"/>
      <c r="D183" s="7"/>
      <c r="E183" s="7"/>
      <c r="F183" s="7"/>
      <c r="G183" s="7"/>
      <c r="H183" s="7"/>
      <c r="I183" s="7"/>
      <c r="J183" s="8"/>
      <c r="K183" s="9"/>
    </row>
    <row r="184">
      <c r="A184" s="6"/>
      <c r="B184" s="7"/>
      <c r="C184" s="7"/>
      <c r="D184" s="7"/>
      <c r="E184" s="7"/>
      <c r="F184" s="7"/>
      <c r="G184" s="7"/>
      <c r="H184" s="7"/>
      <c r="I184" s="7"/>
      <c r="J184" s="8"/>
      <c r="K184" s="9"/>
    </row>
    <row r="185">
      <c r="A185" s="6"/>
      <c r="B185" s="7"/>
      <c r="C185" s="7"/>
      <c r="D185" s="7"/>
      <c r="E185" s="7"/>
      <c r="F185" s="7"/>
      <c r="G185" s="7"/>
      <c r="H185" s="7"/>
      <c r="I185" s="7"/>
      <c r="J185" s="8"/>
      <c r="K185" s="9"/>
    </row>
    <row r="186">
      <c r="A186" s="6"/>
      <c r="B186" s="7"/>
      <c r="C186" s="7"/>
      <c r="D186" s="7"/>
      <c r="E186" s="7"/>
      <c r="F186" s="7"/>
      <c r="G186" s="7"/>
      <c r="H186" s="7"/>
      <c r="I186" s="7"/>
      <c r="J186" s="8"/>
      <c r="K186" s="9"/>
    </row>
    <row r="187">
      <c r="A187" s="6"/>
      <c r="B187" s="7"/>
      <c r="C187" s="7"/>
      <c r="D187" s="7"/>
      <c r="E187" s="7"/>
      <c r="F187" s="7"/>
      <c r="G187" s="7"/>
      <c r="H187" s="7"/>
      <c r="I187" s="7"/>
      <c r="J187" s="8"/>
      <c r="K187" s="9"/>
    </row>
    <row r="188">
      <c r="A188" s="6"/>
      <c r="B188" s="7"/>
      <c r="C188" s="7"/>
      <c r="D188" s="7"/>
      <c r="E188" s="7"/>
      <c r="F188" s="7"/>
      <c r="G188" s="7"/>
      <c r="H188" s="7"/>
      <c r="I188" s="7"/>
      <c r="J188" s="8"/>
      <c r="K188" s="9"/>
    </row>
    <row r="189">
      <c r="A189" s="6"/>
      <c r="B189" s="7"/>
      <c r="C189" s="7"/>
      <c r="D189" s="7"/>
      <c r="E189" s="7"/>
      <c r="F189" s="7"/>
      <c r="G189" s="7"/>
      <c r="H189" s="7"/>
      <c r="I189" s="7"/>
      <c r="J189" s="8"/>
      <c r="K189" s="9"/>
    </row>
    <row r="190">
      <c r="A190" s="6"/>
      <c r="B190" s="7"/>
      <c r="C190" s="7"/>
      <c r="D190" s="7"/>
      <c r="E190" s="7"/>
      <c r="F190" s="7"/>
      <c r="G190" s="7"/>
      <c r="H190" s="7"/>
      <c r="I190" s="7"/>
      <c r="J190" s="8"/>
      <c r="K190" s="9"/>
    </row>
    <row r="191">
      <c r="A191" s="6"/>
      <c r="B191" s="7"/>
      <c r="C191" s="7"/>
      <c r="D191" s="7"/>
      <c r="E191" s="7"/>
      <c r="F191" s="7"/>
      <c r="G191" s="7"/>
      <c r="H191" s="7"/>
      <c r="I191" s="7"/>
      <c r="J191" s="8"/>
      <c r="K191" s="9"/>
    </row>
    <row r="192">
      <c r="A192" s="6"/>
      <c r="B192" s="7"/>
      <c r="C192" s="7"/>
      <c r="D192" s="7"/>
      <c r="E192" s="7"/>
      <c r="F192" s="7"/>
      <c r="G192" s="7"/>
      <c r="H192" s="7"/>
      <c r="I192" s="7"/>
      <c r="J192" s="8"/>
      <c r="K192" s="9"/>
    </row>
    <row r="193">
      <c r="A193" s="6"/>
      <c r="B193" s="7"/>
      <c r="C193" s="7"/>
      <c r="D193" s="7"/>
      <c r="E193" s="7"/>
      <c r="F193" s="7"/>
      <c r="G193" s="7"/>
      <c r="H193" s="7"/>
      <c r="I193" s="7"/>
      <c r="J193" s="8"/>
      <c r="K193" s="9"/>
    </row>
    <row r="194">
      <c r="A194" s="6"/>
      <c r="B194" s="7"/>
      <c r="C194" s="7"/>
      <c r="D194" s="7"/>
      <c r="E194" s="7"/>
      <c r="F194" s="7"/>
      <c r="G194" s="7"/>
      <c r="H194" s="7"/>
      <c r="I194" s="7"/>
      <c r="J194" s="8"/>
      <c r="K194" s="9"/>
    </row>
    <row r="195">
      <c r="A195" s="6"/>
      <c r="B195" s="7"/>
      <c r="C195" s="7"/>
      <c r="D195" s="7"/>
      <c r="E195" s="7"/>
      <c r="F195" s="7"/>
      <c r="G195" s="7"/>
      <c r="H195" s="7"/>
      <c r="I195" s="7"/>
      <c r="J195" s="8"/>
      <c r="K195" s="9"/>
    </row>
    <row r="196">
      <c r="A196" s="6"/>
      <c r="B196" s="7"/>
      <c r="C196" s="7"/>
      <c r="D196" s="7"/>
      <c r="E196" s="7"/>
      <c r="F196" s="7"/>
      <c r="G196" s="7"/>
      <c r="H196" s="7"/>
      <c r="I196" s="7"/>
      <c r="J196" s="8"/>
      <c r="K196" s="9"/>
    </row>
    <row r="197">
      <c r="A197" s="6"/>
      <c r="B197" s="7"/>
      <c r="C197" s="7"/>
      <c r="D197" s="7"/>
      <c r="E197" s="7"/>
      <c r="F197" s="7"/>
      <c r="G197" s="7"/>
      <c r="H197" s="7"/>
      <c r="I197" s="7"/>
      <c r="J197" s="8"/>
      <c r="K197" s="9"/>
    </row>
    <row r="198">
      <c r="A198" s="6"/>
      <c r="B198" s="7"/>
      <c r="C198" s="7"/>
      <c r="D198" s="7"/>
      <c r="E198" s="7"/>
      <c r="F198" s="7"/>
      <c r="G198" s="7"/>
      <c r="H198" s="7"/>
      <c r="I198" s="7"/>
      <c r="J198" s="8"/>
      <c r="K198" s="9"/>
    </row>
    <row r="199">
      <c r="A199" s="6"/>
      <c r="B199" s="7"/>
      <c r="C199" s="7"/>
      <c r="D199" s="7"/>
      <c r="E199" s="7"/>
      <c r="F199" s="7"/>
      <c r="G199" s="7"/>
      <c r="H199" s="7"/>
      <c r="I199" s="7"/>
      <c r="J199" s="8"/>
      <c r="K199" s="9"/>
    </row>
    <row r="200">
      <c r="A200" s="6"/>
      <c r="B200" s="7"/>
      <c r="C200" s="7"/>
      <c r="D200" s="7"/>
      <c r="E200" s="7"/>
      <c r="F200" s="7"/>
      <c r="G200" s="7"/>
      <c r="H200" s="7"/>
      <c r="I200" s="7"/>
      <c r="J200" s="8"/>
      <c r="K200" s="9"/>
    </row>
    <row r="201">
      <c r="A201" s="6"/>
      <c r="B201" s="7"/>
      <c r="C201" s="7"/>
      <c r="D201" s="7"/>
      <c r="E201" s="7"/>
      <c r="F201" s="7"/>
      <c r="G201" s="7"/>
      <c r="H201" s="7"/>
      <c r="I201" s="7"/>
      <c r="J201" s="8"/>
      <c r="K201" s="9"/>
    </row>
    <row r="202">
      <c r="A202" s="6"/>
      <c r="B202" s="7"/>
      <c r="C202" s="7"/>
      <c r="D202" s="7"/>
      <c r="E202" s="7"/>
      <c r="F202" s="7"/>
      <c r="G202" s="7"/>
      <c r="H202" s="7"/>
      <c r="I202" s="7"/>
      <c r="J202" s="8"/>
      <c r="K202" s="9"/>
    </row>
    <row r="203">
      <c r="A203" s="6"/>
      <c r="B203" s="7"/>
      <c r="C203" s="7"/>
      <c r="D203" s="7"/>
      <c r="E203" s="7"/>
      <c r="F203" s="7"/>
      <c r="G203" s="7"/>
      <c r="H203" s="7"/>
      <c r="I203" s="7"/>
      <c r="J203" s="8"/>
      <c r="K203" s="9"/>
    </row>
    <row r="204">
      <c r="A204" s="6"/>
      <c r="B204" s="7"/>
      <c r="C204" s="7"/>
      <c r="D204" s="7"/>
      <c r="E204" s="7"/>
      <c r="F204" s="7"/>
      <c r="G204" s="7"/>
      <c r="H204" s="7"/>
      <c r="I204" s="7"/>
      <c r="J204" s="8"/>
      <c r="K204" s="9"/>
    </row>
    <row r="205">
      <c r="A205" s="6"/>
      <c r="B205" s="7"/>
      <c r="C205" s="7"/>
      <c r="D205" s="7"/>
      <c r="E205" s="7"/>
      <c r="F205" s="7"/>
      <c r="G205" s="7"/>
      <c r="H205" s="7"/>
      <c r="I205" s="7"/>
      <c r="J205" s="8"/>
      <c r="K205" s="9"/>
    </row>
    <row r="206">
      <c r="A206" s="6"/>
      <c r="B206" s="7"/>
      <c r="C206" s="7"/>
      <c r="D206" s="7"/>
      <c r="E206" s="7"/>
      <c r="F206" s="7"/>
      <c r="G206" s="7"/>
      <c r="H206" s="7"/>
      <c r="I206" s="7"/>
      <c r="J206" s="8"/>
      <c r="K206" s="9"/>
    </row>
    <row r="207">
      <c r="A207" s="6"/>
      <c r="B207" s="7"/>
      <c r="C207" s="7"/>
      <c r="D207" s="7"/>
      <c r="E207" s="7"/>
      <c r="F207" s="7"/>
      <c r="G207" s="7"/>
      <c r="H207" s="7"/>
      <c r="I207" s="7"/>
      <c r="J207" s="8"/>
      <c r="K207" s="9"/>
    </row>
    <row r="208">
      <c r="A208" s="6"/>
      <c r="B208" s="7"/>
      <c r="C208" s="7"/>
      <c r="D208" s="7"/>
      <c r="E208" s="7"/>
      <c r="F208" s="7"/>
      <c r="G208" s="7"/>
      <c r="H208" s="7"/>
      <c r="I208" s="7"/>
      <c r="J208" s="8"/>
      <c r="K208" s="9"/>
    </row>
    <row r="209">
      <c r="A209" s="6"/>
      <c r="B209" s="7"/>
      <c r="C209" s="7"/>
      <c r="D209" s="7"/>
      <c r="E209" s="7"/>
      <c r="F209" s="7"/>
      <c r="G209" s="7"/>
      <c r="H209" s="7"/>
      <c r="I209" s="7"/>
      <c r="J209" s="8"/>
      <c r="K209" s="9"/>
    </row>
    <row r="210">
      <c r="A210" s="6"/>
      <c r="B210" s="7"/>
      <c r="C210" s="7"/>
      <c r="D210" s="7"/>
      <c r="E210" s="7"/>
      <c r="F210" s="7"/>
      <c r="G210" s="7"/>
      <c r="H210" s="7"/>
      <c r="I210" s="7"/>
      <c r="J210" s="8"/>
      <c r="K210" s="9"/>
    </row>
    <row r="211">
      <c r="A211" s="6"/>
      <c r="B211" s="7"/>
      <c r="C211" s="7"/>
      <c r="D211" s="7"/>
      <c r="E211" s="7"/>
      <c r="F211" s="7"/>
      <c r="G211" s="7"/>
      <c r="H211" s="7"/>
      <c r="I211" s="7"/>
      <c r="J211" s="8"/>
      <c r="K211" s="9"/>
    </row>
    <row r="212">
      <c r="A212" s="6"/>
      <c r="B212" s="7"/>
      <c r="C212" s="7"/>
      <c r="D212" s="7"/>
      <c r="E212" s="7"/>
      <c r="F212" s="7"/>
      <c r="G212" s="7"/>
      <c r="H212" s="7"/>
      <c r="I212" s="7"/>
      <c r="J212" s="8"/>
      <c r="K212" s="9"/>
    </row>
    <row r="213">
      <c r="A213" s="6"/>
      <c r="B213" s="7"/>
      <c r="C213" s="7"/>
      <c r="D213" s="7"/>
      <c r="E213" s="7"/>
      <c r="F213" s="7"/>
      <c r="G213" s="7"/>
      <c r="H213" s="7"/>
      <c r="I213" s="7"/>
      <c r="J213" s="8"/>
      <c r="K213" s="9"/>
    </row>
    <row r="214">
      <c r="A214" s="6"/>
      <c r="B214" s="7"/>
      <c r="C214" s="7"/>
      <c r="D214" s="7"/>
      <c r="E214" s="7"/>
      <c r="F214" s="7"/>
      <c r="G214" s="7"/>
      <c r="H214" s="7"/>
      <c r="I214" s="7"/>
      <c r="J214" s="8"/>
      <c r="K214" s="9"/>
    </row>
    <row r="215">
      <c r="A215" s="6"/>
      <c r="B215" s="7"/>
      <c r="C215" s="7"/>
      <c r="D215" s="7"/>
      <c r="E215" s="7"/>
      <c r="F215" s="7"/>
      <c r="G215" s="7"/>
      <c r="H215" s="7"/>
      <c r="I215" s="7"/>
      <c r="J215" s="8"/>
      <c r="K215" s="9"/>
    </row>
    <row r="216">
      <c r="A216" s="6"/>
      <c r="B216" s="7"/>
      <c r="C216" s="7"/>
      <c r="D216" s="7"/>
      <c r="E216" s="7"/>
      <c r="F216" s="7"/>
      <c r="G216" s="7"/>
      <c r="H216" s="7"/>
      <c r="I216" s="7"/>
      <c r="J216" s="8"/>
      <c r="K216" s="9"/>
    </row>
    <row r="217">
      <c r="A217" s="6"/>
      <c r="B217" s="7"/>
      <c r="C217" s="7"/>
      <c r="D217" s="7"/>
      <c r="E217" s="7"/>
      <c r="F217" s="7"/>
      <c r="G217" s="7"/>
      <c r="H217" s="7"/>
      <c r="I217" s="7"/>
      <c r="J217" s="8"/>
      <c r="K217" s="9"/>
    </row>
    <row r="218">
      <c r="A218" s="6"/>
      <c r="B218" s="7"/>
      <c r="C218" s="7"/>
      <c r="D218" s="7"/>
      <c r="E218" s="7"/>
      <c r="F218" s="7"/>
      <c r="G218" s="7"/>
      <c r="H218" s="7"/>
      <c r="I218" s="7"/>
      <c r="J218" s="8"/>
      <c r="K218" s="9"/>
    </row>
    <row r="219">
      <c r="A219" s="6"/>
      <c r="B219" s="7"/>
      <c r="C219" s="7"/>
      <c r="D219" s="7"/>
      <c r="E219" s="7"/>
      <c r="F219" s="7"/>
      <c r="G219" s="7"/>
      <c r="H219" s="7"/>
      <c r="I219" s="7"/>
      <c r="J219" s="8"/>
      <c r="K219" s="9"/>
    </row>
    <row r="220">
      <c r="A220" s="6"/>
      <c r="B220" s="7"/>
      <c r="C220" s="7"/>
      <c r="D220" s="7"/>
      <c r="E220" s="7"/>
      <c r="F220" s="7"/>
      <c r="G220" s="7"/>
      <c r="H220" s="7"/>
      <c r="I220" s="7"/>
      <c r="J220" s="8"/>
      <c r="K220" s="9"/>
    </row>
    <row r="221">
      <c r="A221" s="6"/>
      <c r="B221" s="7"/>
      <c r="C221" s="7"/>
      <c r="D221" s="7"/>
      <c r="E221" s="7"/>
      <c r="F221" s="7"/>
      <c r="G221" s="7"/>
      <c r="H221" s="7"/>
      <c r="I221" s="7"/>
      <c r="J221" s="8"/>
      <c r="K221" s="9"/>
    </row>
    <row r="222">
      <c r="A222" s="6"/>
      <c r="B222" s="7"/>
      <c r="C222" s="7"/>
      <c r="D222" s="7"/>
      <c r="E222" s="7"/>
      <c r="F222" s="7"/>
      <c r="G222" s="7"/>
      <c r="H222" s="7"/>
      <c r="I222" s="7"/>
      <c r="J222" s="8"/>
      <c r="K222" s="9"/>
    </row>
    <row r="223">
      <c r="A223" s="6"/>
      <c r="B223" s="7"/>
      <c r="C223" s="7"/>
      <c r="D223" s="7"/>
      <c r="E223" s="7"/>
      <c r="F223" s="7"/>
      <c r="G223" s="7"/>
      <c r="H223" s="7"/>
      <c r="I223" s="7"/>
      <c r="J223" s="8"/>
      <c r="K223" s="9"/>
    </row>
    <row r="224">
      <c r="A224" s="6"/>
      <c r="B224" s="7"/>
      <c r="C224" s="7"/>
      <c r="D224" s="7"/>
      <c r="E224" s="7"/>
      <c r="F224" s="7"/>
      <c r="G224" s="7"/>
      <c r="H224" s="7"/>
      <c r="I224" s="7"/>
      <c r="J224" s="8"/>
      <c r="K224" s="9"/>
    </row>
    <row r="225">
      <c r="A225" s="6"/>
      <c r="B225" s="7"/>
      <c r="C225" s="7"/>
      <c r="D225" s="7"/>
      <c r="E225" s="7"/>
      <c r="F225" s="7"/>
      <c r="G225" s="7"/>
      <c r="H225" s="7"/>
      <c r="I225" s="7"/>
      <c r="J225" s="8"/>
      <c r="K225" s="9"/>
    </row>
    <row r="226">
      <c r="A226" s="6"/>
      <c r="B226" s="7"/>
      <c r="C226" s="7"/>
      <c r="D226" s="7"/>
      <c r="E226" s="7"/>
      <c r="F226" s="7"/>
      <c r="G226" s="7"/>
      <c r="H226" s="7"/>
      <c r="I226" s="7"/>
      <c r="J226" s="8"/>
      <c r="K226" s="9"/>
    </row>
    <row r="227">
      <c r="A227" s="6"/>
      <c r="B227" s="7"/>
      <c r="C227" s="7"/>
      <c r="D227" s="7"/>
      <c r="E227" s="7"/>
      <c r="F227" s="7"/>
      <c r="G227" s="7"/>
      <c r="H227" s="7"/>
      <c r="I227" s="7"/>
      <c r="J227" s="8"/>
      <c r="K227" s="9"/>
    </row>
    <row r="228">
      <c r="A228" s="6"/>
      <c r="B228" s="7"/>
      <c r="C228" s="7"/>
      <c r="D228" s="7"/>
      <c r="E228" s="7"/>
      <c r="F228" s="7"/>
      <c r="G228" s="7"/>
      <c r="H228" s="7"/>
      <c r="I228" s="7"/>
      <c r="J228" s="8"/>
      <c r="K228" s="9"/>
    </row>
    <row r="229">
      <c r="A229" s="6"/>
      <c r="B229" s="7"/>
      <c r="C229" s="7"/>
      <c r="D229" s="7"/>
      <c r="E229" s="7"/>
      <c r="F229" s="7"/>
      <c r="G229" s="7"/>
      <c r="H229" s="7"/>
      <c r="I229" s="7"/>
      <c r="J229" s="8"/>
      <c r="K229" s="9"/>
    </row>
    <row r="230">
      <c r="A230" s="6"/>
      <c r="B230" s="7"/>
      <c r="C230" s="7"/>
      <c r="D230" s="7"/>
      <c r="E230" s="7"/>
      <c r="F230" s="7"/>
      <c r="G230" s="7"/>
      <c r="H230" s="7"/>
      <c r="I230" s="7"/>
      <c r="J230" s="8"/>
      <c r="K230" s="9"/>
    </row>
    <row r="231">
      <c r="A231" s="6"/>
      <c r="B231" s="7"/>
      <c r="C231" s="7"/>
      <c r="D231" s="7"/>
      <c r="E231" s="7"/>
      <c r="F231" s="7"/>
      <c r="G231" s="7"/>
      <c r="H231" s="7"/>
      <c r="I231" s="7"/>
      <c r="J231" s="8"/>
      <c r="K231" s="9"/>
    </row>
    <row r="232">
      <c r="A232" s="6"/>
      <c r="B232" s="7"/>
      <c r="C232" s="7"/>
      <c r="D232" s="7"/>
      <c r="E232" s="7"/>
      <c r="F232" s="7"/>
      <c r="G232" s="7"/>
      <c r="H232" s="7"/>
      <c r="I232" s="7"/>
      <c r="J232" s="8"/>
      <c r="K232" s="9"/>
    </row>
    <row r="233">
      <c r="A233" s="6"/>
      <c r="B233" s="7"/>
      <c r="C233" s="7"/>
      <c r="D233" s="7"/>
      <c r="E233" s="7"/>
      <c r="F233" s="7"/>
      <c r="G233" s="7"/>
      <c r="H233" s="7"/>
      <c r="I233" s="7"/>
      <c r="J233" s="8"/>
      <c r="K233" s="9"/>
    </row>
    <row r="234">
      <c r="A234" s="6"/>
      <c r="B234" s="7"/>
      <c r="C234" s="7"/>
      <c r="D234" s="7"/>
      <c r="E234" s="7"/>
      <c r="F234" s="7"/>
      <c r="G234" s="7"/>
      <c r="H234" s="7"/>
      <c r="I234" s="7"/>
      <c r="J234" s="8"/>
      <c r="K234" s="9"/>
    </row>
    <row r="235">
      <c r="A235" s="6"/>
      <c r="B235" s="7"/>
      <c r="C235" s="7"/>
      <c r="D235" s="7"/>
      <c r="E235" s="7"/>
      <c r="F235" s="7"/>
      <c r="G235" s="7"/>
      <c r="H235" s="7"/>
      <c r="I235" s="7"/>
      <c r="J235" s="8"/>
      <c r="K235" s="9"/>
    </row>
    <row r="236">
      <c r="A236" s="6"/>
      <c r="B236" s="7"/>
      <c r="C236" s="7"/>
      <c r="D236" s="7"/>
      <c r="E236" s="7"/>
      <c r="F236" s="7"/>
      <c r="G236" s="7"/>
      <c r="H236" s="7"/>
      <c r="I236" s="7"/>
      <c r="J236" s="8"/>
      <c r="K236" s="9"/>
    </row>
    <row r="237">
      <c r="A237" s="6"/>
      <c r="B237" s="7"/>
      <c r="C237" s="7"/>
      <c r="D237" s="7"/>
      <c r="E237" s="7"/>
      <c r="F237" s="7"/>
      <c r="G237" s="7"/>
      <c r="H237" s="7"/>
      <c r="I237" s="7"/>
      <c r="J237" s="8"/>
      <c r="K237" s="9"/>
    </row>
    <row r="238">
      <c r="A238" s="6"/>
      <c r="B238" s="7"/>
      <c r="C238" s="7"/>
      <c r="D238" s="7"/>
      <c r="E238" s="7"/>
      <c r="F238" s="7"/>
      <c r="G238" s="7"/>
      <c r="H238" s="7"/>
      <c r="I238" s="7"/>
      <c r="J238" s="8"/>
      <c r="K238" s="9"/>
    </row>
    <row r="239">
      <c r="A239" s="6"/>
      <c r="B239" s="7"/>
      <c r="C239" s="7"/>
      <c r="D239" s="7"/>
      <c r="E239" s="7"/>
      <c r="F239" s="7"/>
      <c r="G239" s="7"/>
      <c r="H239" s="7"/>
      <c r="I239" s="7"/>
      <c r="J239" s="8"/>
      <c r="K239" s="9"/>
    </row>
    <row r="240">
      <c r="A240" s="6"/>
      <c r="B240" s="7"/>
      <c r="C240" s="7"/>
      <c r="D240" s="7"/>
      <c r="E240" s="7"/>
      <c r="F240" s="7"/>
      <c r="G240" s="7"/>
      <c r="H240" s="7"/>
      <c r="I240" s="7"/>
      <c r="J240" s="8"/>
      <c r="K240" s="9"/>
    </row>
    <row r="241">
      <c r="A241" s="6"/>
      <c r="B241" s="7"/>
      <c r="C241" s="7"/>
      <c r="D241" s="7"/>
      <c r="E241" s="7"/>
      <c r="F241" s="7"/>
      <c r="G241" s="7"/>
      <c r="H241" s="7"/>
      <c r="I241" s="7"/>
      <c r="J241" s="8"/>
      <c r="K241" s="9"/>
    </row>
    <row r="242">
      <c r="A242" s="6"/>
      <c r="B242" s="7"/>
      <c r="C242" s="7"/>
      <c r="D242" s="7"/>
      <c r="E242" s="7"/>
      <c r="F242" s="7"/>
      <c r="G242" s="7"/>
      <c r="H242" s="7"/>
      <c r="I242" s="7"/>
      <c r="J242" s="8"/>
      <c r="K242" s="9"/>
    </row>
    <row r="243">
      <c r="A243" s="6"/>
      <c r="B243" s="7"/>
      <c r="C243" s="7"/>
      <c r="D243" s="7"/>
      <c r="E243" s="7"/>
      <c r="F243" s="7"/>
      <c r="G243" s="7"/>
      <c r="H243" s="7"/>
      <c r="I243" s="7"/>
      <c r="J243" s="8"/>
      <c r="K243" s="9"/>
    </row>
    <row r="244">
      <c r="A244" s="6"/>
      <c r="B244" s="7"/>
      <c r="C244" s="7"/>
      <c r="D244" s="7"/>
      <c r="E244" s="7"/>
      <c r="F244" s="7"/>
      <c r="G244" s="7"/>
      <c r="H244" s="7"/>
      <c r="I244" s="7"/>
      <c r="J244" s="8"/>
      <c r="K244" s="9"/>
    </row>
    <row r="245">
      <c r="A245" s="6"/>
      <c r="B245" s="7"/>
      <c r="C245" s="7"/>
      <c r="D245" s="7"/>
      <c r="E245" s="7"/>
      <c r="F245" s="7"/>
      <c r="G245" s="7"/>
      <c r="H245" s="7"/>
      <c r="I245" s="7"/>
      <c r="J245" s="8"/>
      <c r="K245" s="9"/>
    </row>
    <row r="246">
      <c r="A246" s="6"/>
      <c r="B246" s="7"/>
      <c r="C246" s="7"/>
      <c r="D246" s="7"/>
      <c r="E246" s="7"/>
      <c r="F246" s="7"/>
      <c r="G246" s="7"/>
      <c r="H246" s="7"/>
      <c r="I246" s="7"/>
      <c r="J246" s="8"/>
      <c r="K246" s="9"/>
    </row>
    <row r="247">
      <c r="A247" s="6"/>
      <c r="B247" s="7"/>
      <c r="C247" s="7"/>
      <c r="D247" s="7"/>
      <c r="E247" s="7"/>
      <c r="F247" s="7"/>
      <c r="G247" s="7"/>
      <c r="H247" s="7"/>
      <c r="I247" s="7"/>
      <c r="J247" s="8"/>
      <c r="K247" s="9"/>
    </row>
    <row r="248">
      <c r="A248" s="6"/>
      <c r="B248" s="7"/>
      <c r="C248" s="7"/>
      <c r="D248" s="7"/>
      <c r="E248" s="7"/>
      <c r="F248" s="7"/>
      <c r="G248" s="7"/>
      <c r="H248" s="7"/>
      <c r="I248" s="7"/>
      <c r="J248" s="8"/>
      <c r="K248" s="9"/>
    </row>
    <row r="249">
      <c r="A249" s="6"/>
      <c r="B249" s="7"/>
      <c r="C249" s="7"/>
      <c r="D249" s="7"/>
      <c r="E249" s="7"/>
      <c r="F249" s="7"/>
      <c r="G249" s="7"/>
      <c r="H249" s="7"/>
      <c r="I249" s="7"/>
      <c r="J249" s="8"/>
      <c r="K249" s="9"/>
    </row>
    <row r="250">
      <c r="A250" s="6"/>
      <c r="B250" s="7"/>
      <c r="C250" s="7"/>
      <c r="D250" s="7"/>
      <c r="E250" s="7"/>
      <c r="F250" s="7"/>
      <c r="G250" s="7"/>
      <c r="H250" s="7"/>
      <c r="I250" s="7"/>
      <c r="J250" s="8"/>
      <c r="K250" s="9"/>
    </row>
    <row r="251">
      <c r="A251" s="6"/>
      <c r="B251" s="7"/>
      <c r="C251" s="7"/>
      <c r="D251" s="7"/>
      <c r="E251" s="7"/>
      <c r="F251" s="7"/>
      <c r="G251" s="7"/>
      <c r="H251" s="7"/>
      <c r="I251" s="7"/>
      <c r="J251" s="8"/>
      <c r="K251" s="9"/>
    </row>
    <row r="252">
      <c r="A252" s="6"/>
      <c r="B252" s="7"/>
      <c r="C252" s="7"/>
      <c r="D252" s="7"/>
      <c r="E252" s="7"/>
      <c r="F252" s="7"/>
      <c r="G252" s="7"/>
      <c r="H252" s="7"/>
      <c r="I252" s="7"/>
      <c r="J252" s="8"/>
      <c r="K252" s="9"/>
    </row>
    <row r="253">
      <c r="A253" s="6"/>
      <c r="B253" s="7"/>
      <c r="C253" s="7"/>
      <c r="D253" s="7"/>
      <c r="E253" s="7"/>
      <c r="F253" s="7"/>
      <c r="G253" s="7"/>
      <c r="H253" s="7"/>
      <c r="I253" s="7"/>
      <c r="J253" s="8"/>
      <c r="K253" s="9"/>
    </row>
    <row r="254">
      <c r="A254" s="6"/>
      <c r="B254" s="7"/>
      <c r="C254" s="7"/>
      <c r="D254" s="7"/>
      <c r="E254" s="7"/>
      <c r="F254" s="7"/>
      <c r="G254" s="7"/>
      <c r="H254" s="7"/>
      <c r="I254" s="7"/>
      <c r="J254" s="8"/>
      <c r="K254" s="9"/>
    </row>
    <row r="255">
      <c r="A255" s="6"/>
      <c r="B255" s="7"/>
      <c r="C255" s="7"/>
      <c r="D255" s="7"/>
      <c r="E255" s="7"/>
      <c r="F255" s="7"/>
      <c r="G255" s="7"/>
      <c r="H255" s="7"/>
      <c r="I255" s="7"/>
      <c r="J255" s="8"/>
      <c r="K255" s="9"/>
    </row>
    <row r="256">
      <c r="A256" s="6"/>
      <c r="B256" s="7"/>
      <c r="C256" s="7"/>
      <c r="D256" s="7"/>
      <c r="E256" s="7"/>
      <c r="F256" s="7"/>
      <c r="G256" s="7"/>
      <c r="H256" s="7"/>
      <c r="I256" s="7"/>
      <c r="J256" s="8"/>
      <c r="K256" s="9"/>
    </row>
    <row r="257">
      <c r="A257" s="6"/>
      <c r="B257" s="7"/>
      <c r="C257" s="7"/>
      <c r="D257" s="7"/>
      <c r="E257" s="7"/>
      <c r="F257" s="7"/>
      <c r="G257" s="7"/>
      <c r="H257" s="7"/>
      <c r="I257" s="7"/>
      <c r="J257" s="8"/>
      <c r="K257" s="9"/>
    </row>
    <row r="258">
      <c r="A258" s="6"/>
      <c r="B258" s="7"/>
      <c r="C258" s="7"/>
      <c r="D258" s="7"/>
      <c r="E258" s="7"/>
      <c r="F258" s="7"/>
      <c r="G258" s="7"/>
      <c r="H258" s="7"/>
      <c r="I258" s="7"/>
      <c r="J258" s="8"/>
      <c r="K258" s="9"/>
    </row>
    <row r="259">
      <c r="A259" s="6"/>
      <c r="B259" s="7"/>
      <c r="C259" s="7"/>
      <c r="D259" s="7"/>
      <c r="E259" s="7"/>
      <c r="F259" s="7"/>
      <c r="G259" s="7"/>
      <c r="H259" s="7"/>
      <c r="I259" s="7"/>
      <c r="J259" s="8"/>
      <c r="K259" s="9"/>
    </row>
    <row r="260">
      <c r="A260" s="6"/>
      <c r="B260" s="7"/>
      <c r="C260" s="7"/>
      <c r="D260" s="7"/>
      <c r="E260" s="7"/>
      <c r="F260" s="7"/>
      <c r="G260" s="7"/>
      <c r="H260" s="7"/>
      <c r="I260" s="7"/>
      <c r="J260" s="8"/>
      <c r="K260" s="9"/>
    </row>
    <row r="261">
      <c r="A261" s="6"/>
      <c r="B261" s="7"/>
      <c r="C261" s="7"/>
      <c r="D261" s="7"/>
      <c r="E261" s="7"/>
      <c r="F261" s="7"/>
      <c r="G261" s="7"/>
      <c r="H261" s="7"/>
      <c r="I261" s="7"/>
      <c r="J261" s="8"/>
      <c r="K261" s="9"/>
    </row>
    <row r="262">
      <c r="A262" s="6"/>
      <c r="B262" s="7"/>
      <c r="C262" s="7"/>
      <c r="D262" s="7"/>
      <c r="E262" s="7"/>
      <c r="F262" s="7"/>
      <c r="G262" s="7"/>
      <c r="H262" s="7"/>
      <c r="I262" s="7"/>
      <c r="J262" s="8"/>
      <c r="K262" s="9"/>
    </row>
    <row r="263">
      <c r="A263" s="6"/>
      <c r="B263" s="7"/>
      <c r="C263" s="7"/>
      <c r="D263" s="7"/>
      <c r="E263" s="7"/>
      <c r="F263" s="7"/>
      <c r="G263" s="7"/>
      <c r="H263" s="7"/>
      <c r="I263" s="7"/>
      <c r="J263" s="8"/>
      <c r="K263" s="9"/>
    </row>
    <row r="264">
      <c r="A264" s="6"/>
      <c r="B264" s="7"/>
      <c r="C264" s="7"/>
      <c r="D264" s="7"/>
      <c r="E264" s="7"/>
      <c r="F264" s="7"/>
      <c r="G264" s="7"/>
      <c r="H264" s="7"/>
      <c r="I264" s="7"/>
      <c r="J264" s="8"/>
      <c r="K264" s="9"/>
    </row>
    <row r="265">
      <c r="A265" s="6"/>
      <c r="B265" s="7"/>
      <c r="C265" s="7"/>
      <c r="D265" s="7"/>
      <c r="E265" s="7"/>
      <c r="F265" s="7"/>
      <c r="G265" s="7"/>
      <c r="H265" s="7"/>
      <c r="I265" s="7"/>
      <c r="J265" s="8"/>
      <c r="K265" s="9"/>
    </row>
    <row r="266">
      <c r="A266" s="6"/>
      <c r="B266" s="7"/>
      <c r="C266" s="7"/>
      <c r="D266" s="7"/>
      <c r="E266" s="7"/>
      <c r="F266" s="7"/>
      <c r="G266" s="7"/>
      <c r="H266" s="7"/>
      <c r="I266" s="7"/>
      <c r="J266" s="8"/>
      <c r="K266" s="9"/>
    </row>
    <row r="267">
      <c r="A267" s="6"/>
      <c r="B267" s="7"/>
      <c r="C267" s="7"/>
      <c r="D267" s="7"/>
      <c r="E267" s="7"/>
      <c r="F267" s="7"/>
      <c r="G267" s="7"/>
      <c r="H267" s="7"/>
      <c r="I267" s="7"/>
      <c r="J267" s="8"/>
      <c r="K267" s="9"/>
    </row>
    <row r="268">
      <c r="A268" s="6"/>
      <c r="B268" s="7"/>
      <c r="C268" s="7"/>
      <c r="D268" s="7"/>
      <c r="E268" s="7"/>
      <c r="F268" s="7"/>
      <c r="G268" s="7"/>
      <c r="H268" s="7"/>
      <c r="I268" s="7"/>
      <c r="J268" s="8"/>
      <c r="K268" s="9"/>
    </row>
    <row r="269">
      <c r="A269" s="6"/>
      <c r="B269" s="7"/>
      <c r="C269" s="7"/>
      <c r="D269" s="7"/>
      <c r="E269" s="7"/>
      <c r="F269" s="7"/>
      <c r="G269" s="7"/>
      <c r="H269" s="7"/>
      <c r="I269" s="7"/>
      <c r="J269" s="8"/>
      <c r="K269" s="9"/>
    </row>
    <row r="270">
      <c r="A270" s="6"/>
      <c r="B270" s="7"/>
      <c r="C270" s="7"/>
      <c r="D270" s="7"/>
      <c r="E270" s="7"/>
      <c r="F270" s="7"/>
      <c r="G270" s="7"/>
      <c r="H270" s="7"/>
      <c r="I270" s="7"/>
      <c r="J270" s="8"/>
      <c r="K270" s="9"/>
    </row>
    <row r="271">
      <c r="A271" s="6"/>
      <c r="B271" s="7"/>
      <c r="C271" s="7"/>
      <c r="D271" s="7"/>
      <c r="E271" s="7"/>
      <c r="F271" s="7"/>
      <c r="G271" s="7"/>
      <c r="H271" s="7"/>
      <c r="I271" s="7"/>
      <c r="J271" s="8"/>
      <c r="K271" s="9"/>
    </row>
    <row r="272">
      <c r="A272" s="6"/>
      <c r="B272" s="7"/>
      <c r="C272" s="7"/>
      <c r="D272" s="7"/>
      <c r="E272" s="7"/>
      <c r="F272" s="7"/>
      <c r="G272" s="7"/>
      <c r="H272" s="7"/>
      <c r="I272" s="7"/>
      <c r="J272" s="8"/>
      <c r="K272" s="9"/>
    </row>
    <row r="273">
      <c r="A273" s="6"/>
      <c r="B273" s="7"/>
      <c r="C273" s="7"/>
      <c r="D273" s="7"/>
      <c r="E273" s="7"/>
      <c r="F273" s="7"/>
      <c r="G273" s="7"/>
      <c r="H273" s="7"/>
      <c r="I273" s="7"/>
      <c r="J273" s="8"/>
      <c r="K273" s="9"/>
    </row>
    <row r="274">
      <c r="A274" s="6"/>
      <c r="B274" s="7"/>
      <c r="C274" s="7"/>
      <c r="D274" s="7"/>
      <c r="E274" s="7"/>
      <c r="F274" s="7"/>
      <c r="G274" s="7"/>
      <c r="H274" s="7"/>
      <c r="I274" s="7"/>
      <c r="J274" s="8"/>
      <c r="K274" s="9"/>
    </row>
    <row r="275">
      <c r="A275" s="6"/>
      <c r="B275" s="7"/>
      <c r="C275" s="7"/>
      <c r="D275" s="7"/>
      <c r="E275" s="7"/>
      <c r="F275" s="7"/>
      <c r="G275" s="7"/>
      <c r="H275" s="7"/>
      <c r="I275" s="7"/>
      <c r="J275" s="8"/>
      <c r="K275" s="9"/>
    </row>
    <row r="276">
      <c r="A276" s="6"/>
      <c r="B276" s="7"/>
      <c r="C276" s="7"/>
      <c r="D276" s="7"/>
      <c r="E276" s="7"/>
      <c r="F276" s="7"/>
      <c r="G276" s="7"/>
      <c r="H276" s="7"/>
      <c r="I276" s="7"/>
      <c r="J276" s="8"/>
      <c r="K276" s="9"/>
    </row>
    <row r="277">
      <c r="A277" s="6"/>
      <c r="B277" s="7"/>
      <c r="C277" s="7"/>
      <c r="D277" s="7"/>
      <c r="E277" s="7"/>
      <c r="F277" s="7"/>
      <c r="G277" s="7"/>
      <c r="H277" s="7"/>
      <c r="I277" s="7"/>
      <c r="J277" s="8"/>
      <c r="K277" s="9"/>
    </row>
    <row r="278">
      <c r="A278" s="6"/>
      <c r="B278" s="7"/>
      <c r="C278" s="7"/>
      <c r="D278" s="7"/>
      <c r="E278" s="7"/>
      <c r="F278" s="7"/>
      <c r="G278" s="7"/>
      <c r="H278" s="7"/>
      <c r="I278" s="7"/>
      <c r="J278" s="8"/>
      <c r="K278" s="9"/>
    </row>
    <row r="279">
      <c r="A279" s="6"/>
      <c r="B279" s="7"/>
      <c r="C279" s="7"/>
      <c r="D279" s="7"/>
      <c r="E279" s="7"/>
      <c r="F279" s="7"/>
      <c r="G279" s="7"/>
      <c r="H279" s="7"/>
      <c r="I279" s="7"/>
      <c r="J279" s="8"/>
      <c r="K279" s="9"/>
    </row>
    <row r="280">
      <c r="A280" s="6"/>
      <c r="B280" s="7"/>
      <c r="C280" s="7"/>
      <c r="D280" s="7"/>
      <c r="E280" s="7"/>
      <c r="F280" s="7"/>
      <c r="G280" s="7"/>
      <c r="H280" s="7"/>
      <c r="I280" s="7"/>
      <c r="J280" s="8"/>
      <c r="K280" s="9"/>
    </row>
    <row r="281">
      <c r="A281" s="6"/>
      <c r="B281" s="7"/>
      <c r="C281" s="7"/>
      <c r="D281" s="7"/>
      <c r="E281" s="7"/>
      <c r="F281" s="7"/>
      <c r="G281" s="7"/>
      <c r="H281" s="7"/>
      <c r="I281" s="7"/>
      <c r="J281" s="8"/>
      <c r="K281" s="9"/>
    </row>
    <row r="282">
      <c r="A282" s="6"/>
      <c r="B282" s="7"/>
      <c r="C282" s="7"/>
      <c r="D282" s="7"/>
      <c r="E282" s="7"/>
      <c r="F282" s="7"/>
      <c r="G282" s="7"/>
      <c r="H282" s="7"/>
      <c r="I282" s="7"/>
      <c r="J282" s="8"/>
      <c r="K282" s="9"/>
    </row>
    <row r="283">
      <c r="A283" s="6"/>
      <c r="B283" s="7"/>
      <c r="C283" s="7"/>
      <c r="D283" s="7"/>
      <c r="E283" s="7"/>
      <c r="F283" s="7"/>
      <c r="G283" s="7"/>
      <c r="H283" s="7"/>
      <c r="I283" s="7"/>
      <c r="J283" s="8"/>
      <c r="K283" s="9"/>
    </row>
    <row r="284">
      <c r="A284" s="6"/>
      <c r="B284" s="7"/>
      <c r="C284" s="7"/>
      <c r="D284" s="7"/>
      <c r="E284" s="7"/>
      <c r="F284" s="7"/>
      <c r="G284" s="7"/>
      <c r="H284" s="7"/>
      <c r="I284" s="7"/>
      <c r="J284" s="8"/>
      <c r="K284" s="9"/>
    </row>
    <row r="285">
      <c r="A285" s="6"/>
      <c r="B285" s="7"/>
      <c r="C285" s="7"/>
      <c r="D285" s="7"/>
      <c r="E285" s="7"/>
      <c r="F285" s="7"/>
      <c r="G285" s="7"/>
      <c r="H285" s="7"/>
      <c r="I285" s="7"/>
      <c r="J285" s="8"/>
      <c r="K285" s="9"/>
    </row>
    <row r="286">
      <c r="A286" s="6"/>
      <c r="B286" s="7"/>
      <c r="C286" s="7"/>
      <c r="D286" s="7"/>
      <c r="E286" s="7"/>
      <c r="F286" s="7"/>
      <c r="G286" s="7"/>
      <c r="H286" s="7"/>
      <c r="I286" s="7"/>
      <c r="J286" s="8"/>
      <c r="K286" s="9"/>
    </row>
    <row r="287">
      <c r="A287" s="6"/>
      <c r="B287" s="7"/>
      <c r="C287" s="7"/>
      <c r="D287" s="7"/>
      <c r="E287" s="7"/>
      <c r="F287" s="7"/>
      <c r="G287" s="7"/>
      <c r="H287" s="7"/>
      <c r="I287" s="7"/>
      <c r="J287" s="8"/>
      <c r="K287" s="9"/>
    </row>
    <row r="288">
      <c r="A288" s="6"/>
      <c r="B288" s="7"/>
      <c r="C288" s="7"/>
      <c r="D288" s="7"/>
      <c r="E288" s="7"/>
      <c r="F288" s="7"/>
      <c r="G288" s="7"/>
      <c r="H288" s="7"/>
      <c r="I288" s="7"/>
      <c r="J288" s="8"/>
      <c r="K288" s="9"/>
    </row>
    <row r="289">
      <c r="A289" s="6"/>
      <c r="B289" s="7"/>
      <c r="C289" s="7"/>
      <c r="D289" s="7"/>
      <c r="E289" s="7"/>
      <c r="F289" s="7"/>
      <c r="G289" s="7"/>
      <c r="H289" s="7"/>
      <c r="I289" s="7"/>
      <c r="J289" s="8"/>
      <c r="K289" s="9"/>
    </row>
    <row r="290">
      <c r="A290" s="6"/>
      <c r="B290" s="7"/>
      <c r="C290" s="7"/>
      <c r="D290" s="7"/>
      <c r="E290" s="7"/>
      <c r="F290" s="7"/>
      <c r="G290" s="7"/>
      <c r="H290" s="7"/>
      <c r="I290" s="7"/>
      <c r="J290" s="8"/>
      <c r="K290" s="9"/>
    </row>
    <row r="291">
      <c r="A291" s="6"/>
      <c r="B291" s="7"/>
      <c r="C291" s="7"/>
      <c r="D291" s="7"/>
      <c r="E291" s="7"/>
      <c r="F291" s="7"/>
      <c r="G291" s="7"/>
      <c r="H291" s="7"/>
      <c r="I291" s="7"/>
      <c r="J291" s="8"/>
      <c r="K291" s="9"/>
    </row>
    <row r="292">
      <c r="A292" s="6"/>
      <c r="B292" s="7"/>
      <c r="C292" s="7"/>
      <c r="D292" s="7"/>
      <c r="E292" s="7"/>
      <c r="F292" s="7"/>
      <c r="G292" s="7"/>
      <c r="H292" s="7"/>
      <c r="I292" s="7"/>
      <c r="J292" s="8"/>
      <c r="K292" s="9"/>
    </row>
    <row r="293">
      <c r="A293" s="6"/>
      <c r="B293" s="7"/>
      <c r="C293" s="7"/>
      <c r="D293" s="7"/>
      <c r="E293" s="7"/>
      <c r="F293" s="7"/>
      <c r="G293" s="7"/>
      <c r="H293" s="7"/>
      <c r="I293" s="7"/>
      <c r="J293" s="8"/>
      <c r="K293" s="9"/>
    </row>
    <row r="294">
      <c r="A294" s="6"/>
      <c r="B294" s="7"/>
      <c r="C294" s="7"/>
      <c r="D294" s="7"/>
      <c r="E294" s="7"/>
      <c r="F294" s="7"/>
      <c r="G294" s="7"/>
      <c r="H294" s="7"/>
      <c r="I294" s="7"/>
      <c r="J294" s="8"/>
      <c r="K294" s="9"/>
    </row>
    <row r="295">
      <c r="A295" s="6"/>
      <c r="B295" s="7"/>
      <c r="C295" s="7"/>
      <c r="D295" s="7"/>
      <c r="E295" s="7"/>
      <c r="F295" s="7"/>
      <c r="G295" s="7"/>
      <c r="H295" s="7"/>
      <c r="I295" s="7"/>
      <c r="J295" s="8"/>
      <c r="K295" s="9"/>
    </row>
    <row r="296">
      <c r="A296" s="6"/>
      <c r="B296" s="7"/>
      <c r="C296" s="7"/>
      <c r="D296" s="7"/>
      <c r="E296" s="7"/>
      <c r="F296" s="7"/>
      <c r="G296" s="7"/>
      <c r="H296" s="7"/>
      <c r="I296" s="7"/>
      <c r="J296" s="8"/>
      <c r="K296" s="9"/>
    </row>
    <row r="297">
      <c r="A297" s="6"/>
      <c r="B297" s="7"/>
      <c r="C297" s="7"/>
      <c r="D297" s="7"/>
      <c r="E297" s="7"/>
      <c r="F297" s="7"/>
      <c r="G297" s="7"/>
      <c r="H297" s="7"/>
      <c r="I297" s="7"/>
      <c r="J297" s="8"/>
      <c r="K297" s="9"/>
    </row>
    <row r="298">
      <c r="A298" s="6"/>
      <c r="B298" s="7"/>
      <c r="C298" s="7"/>
      <c r="D298" s="7"/>
      <c r="E298" s="7"/>
      <c r="F298" s="7"/>
      <c r="G298" s="7"/>
      <c r="H298" s="7"/>
      <c r="I298" s="7"/>
      <c r="J298" s="8"/>
      <c r="K298" s="9"/>
    </row>
    <row r="299">
      <c r="A299" s="6"/>
      <c r="B299" s="7"/>
      <c r="C299" s="7"/>
      <c r="D299" s="7"/>
      <c r="E299" s="7"/>
      <c r="F299" s="7"/>
      <c r="G299" s="7"/>
      <c r="H299" s="7"/>
      <c r="I299" s="7"/>
      <c r="J299" s="8"/>
      <c r="K299" s="9"/>
    </row>
    <row r="300">
      <c r="A300" s="6"/>
      <c r="B300" s="7"/>
      <c r="C300" s="7"/>
      <c r="D300" s="7"/>
      <c r="E300" s="7"/>
      <c r="F300" s="7"/>
      <c r="G300" s="7"/>
      <c r="H300" s="7"/>
      <c r="I300" s="7"/>
      <c r="J300" s="8"/>
      <c r="K300" s="9"/>
    </row>
    <row r="301">
      <c r="A301" s="6"/>
      <c r="B301" s="7"/>
      <c r="C301" s="7"/>
      <c r="D301" s="7"/>
      <c r="E301" s="7"/>
      <c r="F301" s="7"/>
      <c r="G301" s="7"/>
      <c r="H301" s="7"/>
      <c r="I301" s="7"/>
      <c r="J301" s="8"/>
      <c r="K301" s="9"/>
    </row>
    <row r="302">
      <c r="A302" s="6"/>
      <c r="B302" s="7"/>
      <c r="C302" s="7"/>
      <c r="D302" s="7"/>
      <c r="E302" s="7"/>
      <c r="F302" s="7"/>
      <c r="G302" s="7"/>
      <c r="H302" s="7"/>
      <c r="I302" s="7"/>
      <c r="J302" s="8"/>
      <c r="K302" s="9"/>
    </row>
    <row r="303">
      <c r="A303" s="6"/>
      <c r="B303" s="7"/>
      <c r="C303" s="7"/>
      <c r="D303" s="7"/>
      <c r="E303" s="7"/>
      <c r="F303" s="7"/>
      <c r="G303" s="7"/>
      <c r="H303" s="7"/>
      <c r="I303" s="7"/>
      <c r="J303" s="8"/>
      <c r="K303" s="9"/>
    </row>
    <row r="304">
      <c r="A304" s="6"/>
      <c r="B304" s="7"/>
      <c r="C304" s="7"/>
      <c r="D304" s="7"/>
      <c r="E304" s="7"/>
      <c r="F304" s="7"/>
      <c r="G304" s="7"/>
      <c r="H304" s="7"/>
      <c r="I304" s="7"/>
      <c r="J304" s="8"/>
      <c r="K304" s="9"/>
    </row>
    <row r="305">
      <c r="A305" s="6"/>
      <c r="B305" s="7"/>
      <c r="C305" s="7"/>
      <c r="D305" s="7"/>
      <c r="E305" s="7"/>
      <c r="F305" s="7"/>
      <c r="G305" s="7"/>
      <c r="H305" s="7"/>
      <c r="I305" s="7"/>
      <c r="J305" s="8"/>
      <c r="K305" s="9"/>
    </row>
    <row r="306">
      <c r="A306" s="6"/>
      <c r="B306" s="7"/>
      <c r="C306" s="7"/>
      <c r="D306" s="7"/>
      <c r="E306" s="7"/>
      <c r="F306" s="7"/>
      <c r="G306" s="7"/>
      <c r="H306" s="7"/>
      <c r="I306" s="7"/>
      <c r="J306" s="8"/>
      <c r="K306" s="9"/>
    </row>
    <row r="307">
      <c r="A307" s="6"/>
      <c r="B307" s="7"/>
      <c r="C307" s="7"/>
      <c r="D307" s="7"/>
      <c r="E307" s="7"/>
      <c r="F307" s="7"/>
      <c r="G307" s="7"/>
      <c r="H307" s="7"/>
      <c r="I307" s="7"/>
      <c r="J307" s="8"/>
      <c r="K307" s="9"/>
    </row>
    <row r="308">
      <c r="A308" s="6"/>
      <c r="B308" s="7"/>
      <c r="C308" s="7"/>
      <c r="D308" s="7"/>
      <c r="E308" s="7"/>
      <c r="F308" s="7"/>
      <c r="G308" s="7"/>
      <c r="H308" s="7"/>
      <c r="I308" s="7"/>
      <c r="J308" s="8"/>
      <c r="K308" s="9"/>
    </row>
    <row r="309">
      <c r="A309" s="6"/>
      <c r="B309" s="7"/>
      <c r="C309" s="7"/>
      <c r="D309" s="7"/>
      <c r="E309" s="7"/>
      <c r="F309" s="7"/>
      <c r="G309" s="7"/>
      <c r="H309" s="7"/>
      <c r="I309" s="7"/>
      <c r="J309" s="8"/>
      <c r="K309" s="9"/>
    </row>
    <row r="310">
      <c r="A310" s="6"/>
      <c r="B310" s="7"/>
      <c r="C310" s="7"/>
      <c r="D310" s="7"/>
      <c r="E310" s="7"/>
      <c r="F310" s="7"/>
      <c r="G310" s="7"/>
      <c r="H310" s="7"/>
      <c r="I310" s="7"/>
      <c r="J310" s="8"/>
      <c r="K310" s="9"/>
    </row>
    <row r="311">
      <c r="A311" s="6"/>
      <c r="B311" s="7"/>
      <c r="C311" s="7"/>
      <c r="D311" s="7"/>
      <c r="E311" s="7"/>
      <c r="F311" s="7"/>
      <c r="G311" s="7"/>
      <c r="H311" s="7"/>
      <c r="I311" s="7"/>
      <c r="J311" s="8"/>
      <c r="K311" s="9"/>
    </row>
    <row r="312">
      <c r="A312" s="6"/>
      <c r="B312" s="7"/>
      <c r="C312" s="7"/>
      <c r="D312" s="7"/>
      <c r="E312" s="7"/>
      <c r="F312" s="7"/>
      <c r="G312" s="7"/>
      <c r="H312" s="7"/>
      <c r="I312" s="7"/>
      <c r="J312" s="8"/>
      <c r="K312" s="9"/>
    </row>
    <row r="313">
      <c r="A313" s="6"/>
      <c r="B313" s="7"/>
      <c r="C313" s="7"/>
      <c r="D313" s="7"/>
      <c r="E313" s="7"/>
      <c r="F313" s="7"/>
      <c r="G313" s="7"/>
      <c r="H313" s="7"/>
      <c r="I313" s="7"/>
      <c r="J313" s="8"/>
      <c r="K313" s="9"/>
    </row>
    <row r="314">
      <c r="A314" s="6"/>
      <c r="B314" s="7"/>
      <c r="C314" s="7"/>
      <c r="D314" s="7"/>
      <c r="E314" s="7"/>
      <c r="F314" s="7"/>
      <c r="G314" s="7"/>
      <c r="H314" s="7"/>
      <c r="I314" s="7"/>
      <c r="J314" s="8"/>
      <c r="K314" s="9"/>
    </row>
    <row r="315">
      <c r="A315" s="6"/>
      <c r="B315" s="7"/>
      <c r="C315" s="7"/>
      <c r="D315" s="7"/>
      <c r="E315" s="7"/>
      <c r="F315" s="7"/>
      <c r="G315" s="7"/>
      <c r="H315" s="7"/>
      <c r="I315" s="7"/>
      <c r="J315" s="8"/>
      <c r="K315" s="9"/>
    </row>
    <row r="316">
      <c r="A316" s="6"/>
      <c r="B316" s="7"/>
      <c r="C316" s="7"/>
      <c r="D316" s="7"/>
      <c r="E316" s="7"/>
      <c r="F316" s="7"/>
      <c r="G316" s="7"/>
      <c r="H316" s="7"/>
      <c r="I316" s="7"/>
      <c r="J316" s="8"/>
      <c r="K316" s="9"/>
    </row>
    <row r="317">
      <c r="A317" s="6"/>
      <c r="B317" s="7"/>
      <c r="C317" s="7"/>
      <c r="D317" s="7"/>
      <c r="E317" s="7"/>
      <c r="F317" s="7"/>
      <c r="G317" s="7"/>
      <c r="H317" s="7"/>
      <c r="I317" s="7"/>
      <c r="J317" s="8"/>
      <c r="K317" s="9"/>
    </row>
    <row r="318">
      <c r="A318" s="6"/>
      <c r="B318" s="7"/>
      <c r="C318" s="7"/>
      <c r="D318" s="7"/>
      <c r="E318" s="7"/>
      <c r="F318" s="7"/>
      <c r="G318" s="7"/>
      <c r="H318" s="7"/>
      <c r="I318" s="7"/>
      <c r="J318" s="8"/>
      <c r="K318" s="9"/>
    </row>
    <row r="319">
      <c r="A319" s="6"/>
      <c r="B319" s="7"/>
      <c r="C319" s="7"/>
      <c r="D319" s="7"/>
      <c r="E319" s="7"/>
      <c r="F319" s="7"/>
      <c r="G319" s="7"/>
      <c r="H319" s="7"/>
      <c r="I319" s="7"/>
      <c r="J319" s="8"/>
      <c r="K319" s="9"/>
    </row>
    <row r="320">
      <c r="A320" s="6"/>
      <c r="B320" s="7"/>
      <c r="C320" s="7"/>
      <c r="D320" s="7"/>
      <c r="E320" s="7"/>
      <c r="F320" s="7"/>
      <c r="G320" s="7"/>
      <c r="H320" s="7"/>
      <c r="I320" s="7"/>
      <c r="J320" s="8"/>
      <c r="K320" s="9"/>
    </row>
    <row r="321">
      <c r="A321" s="6"/>
      <c r="B321" s="7"/>
      <c r="C321" s="7"/>
      <c r="D321" s="7"/>
      <c r="E321" s="7"/>
      <c r="F321" s="7"/>
      <c r="G321" s="7"/>
      <c r="H321" s="7"/>
      <c r="I321" s="7"/>
      <c r="J321" s="8"/>
      <c r="K321" s="9"/>
    </row>
    <row r="322">
      <c r="A322" s="6"/>
      <c r="B322" s="7"/>
      <c r="C322" s="7"/>
      <c r="D322" s="7"/>
      <c r="E322" s="7"/>
      <c r="F322" s="7"/>
      <c r="G322" s="7"/>
      <c r="H322" s="7"/>
      <c r="I322" s="7"/>
      <c r="J322" s="8"/>
      <c r="K322" s="9"/>
    </row>
    <row r="323">
      <c r="A323" s="6"/>
      <c r="B323" s="7"/>
      <c r="C323" s="7"/>
      <c r="D323" s="7"/>
      <c r="E323" s="7"/>
      <c r="F323" s="7"/>
      <c r="G323" s="7"/>
      <c r="H323" s="7"/>
      <c r="I323" s="7"/>
      <c r="J323" s="8"/>
      <c r="K323" s="9"/>
    </row>
    <row r="324">
      <c r="A324" s="6"/>
      <c r="B324" s="7"/>
      <c r="C324" s="7"/>
      <c r="D324" s="7"/>
      <c r="E324" s="7"/>
      <c r="F324" s="7"/>
      <c r="G324" s="7"/>
      <c r="H324" s="7"/>
      <c r="I324" s="7"/>
      <c r="J324" s="8"/>
      <c r="K324" s="9"/>
    </row>
    <row r="325">
      <c r="A325" s="6"/>
      <c r="B325" s="7"/>
      <c r="C325" s="7"/>
      <c r="D325" s="7"/>
      <c r="E325" s="7"/>
      <c r="F325" s="7"/>
      <c r="G325" s="7"/>
      <c r="H325" s="7"/>
      <c r="I325" s="7"/>
      <c r="J325" s="8"/>
      <c r="K325" s="9"/>
    </row>
    <row r="326">
      <c r="A326" s="6"/>
      <c r="B326" s="7"/>
      <c r="C326" s="7"/>
      <c r="D326" s="7"/>
      <c r="E326" s="7"/>
      <c r="F326" s="7"/>
      <c r="G326" s="7"/>
      <c r="H326" s="7"/>
      <c r="I326" s="7"/>
      <c r="J326" s="8"/>
      <c r="K326" s="9"/>
    </row>
    <row r="327">
      <c r="A327" s="6"/>
      <c r="B327" s="7"/>
      <c r="C327" s="7"/>
      <c r="D327" s="7"/>
      <c r="E327" s="7"/>
      <c r="F327" s="7"/>
      <c r="G327" s="7"/>
      <c r="H327" s="7"/>
      <c r="I327" s="7"/>
      <c r="J327" s="8"/>
      <c r="K327" s="9"/>
    </row>
    <row r="328">
      <c r="A328" s="6"/>
      <c r="B328" s="7"/>
      <c r="C328" s="7"/>
      <c r="D328" s="7"/>
      <c r="E328" s="7"/>
      <c r="F328" s="7"/>
      <c r="G328" s="7"/>
      <c r="H328" s="7"/>
      <c r="I328" s="7"/>
      <c r="J328" s="8"/>
      <c r="K328" s="9"/>
    </row>
    <row r="329">
      <c r="A329" s="6"/>
      <c r="B329" s="7"/>
      <c r="C329" s="7"/>
      <c r="D329" s="7"/>
      <c r="E329" s="7"/>
      <c r="F329" s="7"/>
      <c r="G329" s="7"/>
      <c r="H329" s="7"/>
      <c r="I329" s="7"/>
      <c r="J329" s="8"/>
      <c r="K329" s="9"/>
    </row>
    <row r="330">
      <c r="A330" s="6"/>
      <c r="B330" s="7"/>
      <c r="C330" s="7"/>
      <c r="D330" s="7"/>
      <c r="E330" s="7"/>
      <c r="F330" s="7"/>
      <c r="G330" s="7"/>
      <c r="H330" s="7"/>
      <c r="I330" s="7"/>
      <c r="J330" s="8"/>
      <c r="K330" s="9"/>
    </row>
    <row r="331">
      <c r="A331" s="6"/>
      <c r="B331" s="7"/>
      <c r="C331" s="7"/>
      <c r="D331" s="7"/>
      <c r="E331" s="7"/>
      <c r="F331" s="7"/>
      <c r="G331" s="7"/>
      <c r="H331" s="7"/>
      <c r="I331" s="7"/>
      <c r="J331" s="8"/>
      <c r="K331" s="9"/>
    </row>
    <row r="332">
      <c r="A332" s="6"/>
      <c r="B332" s="7"/>
      <c r="C332" s="7"/>
      <c r="D332" s="7"/>
      <c r="E332" s="7"/>
      <c r="F332" s="7"/>
      <c r="G332" s="7"/>
      <c r="H332" s="7"/>
      <c r="I332" s="7"/>
      <c r="J332" s="8"/>
      <c r="K332" s="9"/>
    </row>
    <row r="333">
      <c r="A333" s="6"/>
      <c r="B333" s="7"/>
      <c r="C333" s="7"/>
      <c r="D333" s="7"/>
      <c r="E333" s="7"/>
      <c r="F333" s="7"/>
      <c r="G333" s="7"/>
      <c r="H333" s="7"/>
      <c r="I333" s="7"/>
      <c r="J333" s="8"/>
      <c r="K333" s="9"/>
    </row>
    <row r="334">
      <c r="A334" s="6"/>
      <c r="B334" s="7"/>
      <c r="C334" s="7"/>
      <c r="D334" s="7"/>
      <c r="E334" s="7"/>
      <c r="F334" s="7"/>
      <c r="G334" s="7"/>
      <c r="H334" s="7"/>
      <c r="I334" s="7"/>
      <c r="J334" s="8"/>
      <c r="K334" s="9"/>
    </row>
    <row r="335">
      <c r="A335" s="6"/>
      <c r="B335" s="7"/>
      <c r="C335" s="7"/>
      <c r="D335" s="7"/>
      <c r="E335" s="7"/>
      <c r="F335" s="7"/>
      <c r="G335" s="7"/>
      <c r="H335" s="7"/>
      <c r="I335" s="7"/>
      <c r="J335" s="8"/>
      <c r="K335" s="9"/>
    </row>
    <row r="336">
      <c r="A336" s="6"/>
      <c r="B336" s="7"/>
      <c r="C336" s="7"/>
      <c r="D336" s="7"/>
      <c r="E336" s="7"/>
      <c r="F336" s="7"/>
      <c r="G336" s="7"/>
      <c r="H336" s="7"/>
      <c r="I336" s="7"/>
      <c r="J336" s="8"/>
      <c r="K336" s="9"/>
    </row>
    <row r="337">
      <c r="A337" s="6"/>
      <c r="B337" s="7"/>
      <c r="C337" s="7"/>
      <c r="D337" s="7"/>
      <c r="E337" s="7"/>
      <c r="F337" s="7"/>
      <c r="G337" s="7"/>
      <c r="H337" s="7"/>
      <c r="I337" s="7"/>
      <c r="J337" s="8"/>
      <c r="K337" s="9"/>
    </row>
    <row r="338">
      <c r="A338" s="6"/>
      <c r="B338" s="7"/>
      <c r="C338" s="7"/>
      <c r="D338" s="7"/>
      <c r="E338" s="7"/>
      <c r="F338" s="7"/>
      <c r="G338" s="7"/>
      <c r="H338" s="7"/>
      <c r="I338" s="7"/>
      <c r="J338" s="8"/>
      <c r="K338" s="9"/>
    </row>
    <row r="339">
      <c r="A339" s="6"/>
      <c r="B339" s="7"/>
      <c r="C339" s="7"/>
      <c r="D339" s="7"/>
      <c r="E339" s="7"/>
      <c r="F339" s="7"/>
      <c r="G339" s="7"/>
      <c r="H339" s="7"/>
      <c r="I339" s="7"/>
      <c r="J339" s="8"/>
      <c r="K339" s="9"/>
    </row>
    <row r="340">
      <c r="A340" s="6"/>
      <c r="B340" s="7"/>
      <c r="C340" s="7"/>
      <c r="D340" s="7"/>
      <c r="E340" s="7"/>
      <c r="F340" s="7"/>
      <c r="G340" s="7"/>
      <c r="H340" s="7"/>
      <c r="I340" s="7"/>
      <c r="J340" s="8"/>
      <c r="K340" s="9"/>
    </row>
    <row r="341">
      <c r="A341" s="6"/>
      <c r="B341" s="7"/>
      <c r="C341" s="7"/>
      <c r="D341" s="7"/>
      <c r="E341" s="7"/>
      <c r="F341" s="7"/>
      <c r="G341" s="7"/>
      <c r="H341" s="7"/>
      <c r="I341" s="7"/>
      <c r="J341" s="8"/>
      <c r="K341" s="9"/>
    </row>
    <row r="342">
      <c r="A342" s="6"/>
      <c r="B342" s="7"/>
      <c r="C342" s="7"/>
      <c r="D342" s="7"/>
      <c r="E342" s="7"/>
      <c r="F342" s="7"/>
      <c r="G342" s="7"/>
      <c r="H342" s="7"/>
      <c r="I342" s="7"/>
      <c r="J342" s="8"/>
      <c r="K342" s="9"/>
    </row>
    <row r="343">
      <c r="A343" s="6"/>
      <c r="B343" s="7"/>
      <c r="C343" s="7"/>
      <c r="D343" s="7"/>
      <c r="E343" s="7"/>
      <c r="F343" s="7"/>
      <c r="G343" s="7"/>
      <c r="H343" s="7"/>
      <c r="I343" s="7"/>
      <c r="J343" s="8"/>
      <c r="K343" s="9"/>
    </row>
    <row r="344">
      <c r="A344" s="6"/>
      <c r="B344" s="7"/>
      <c r="C344" s="7"/>
      <c r="D344" s="7"/>
      <c r="E344" s="7"/>
      <c r="F344" s="7"/>
      <c r="G344" s="7"/>
      <c r="H344" s="7"/>
      <c r="I344" s="7"/>
      <c r="J344" s="8"/>
      <c r="K344" s="9"/>
    </row>
    <row r="345">
      <c r="A345" s="6"/>
      <c r="B345" s="7"/>
      <c r="C345" s="7"/>
      <c r="D345" s="7"/>
      <c r="E345" s="7"/>
      <c r="F345" s="7"/>
      <c r="G345" s="7"/>
      <c r="H345" s="7"/>
      <c r="I345" s="7"/>
      <c r="J345" s="8"/>
      <c r="K345" s="9"/>
    </row>
    <row r="346">
      <c r="A346" s="6"/>
      <c r="B346" s="7"/>
      <c r="C346" s="7"/>
      <c r="D346" s="7"/>
      <c r="E346" s="7"/>
      <c r="F346" s="7"/>
      <c r="G346" s="7"/>
      <c r="H346" s="7"/>
      <c r="I346" s="7"/>
      <c r="J346" s="8"/>
      <c r="K346" s="9"/>
    </row>
    <row r="347">
      <c r="A347" s="6"/>
      <c r="B347" s="7"/>
      <c r="C347" s="7"/>
      <c r="D347" s="7"/>
      <c r="E347" s="7"/>
      <c r="F347" s="7"/>
      <c r="G347" s="7"/>
      <c r="H347" s="7"/>
      <c r="I347" s="7"/>
      <c r="J347" s="8"/>
      <c r="K347" s="9"/>
    </row>
    <row r="348">
      <c r="A348" s="6"/>
      <c r="B348" s="7"/>
      <c r="C348" s="7"/>
      <c r="D348" s="7"/>
      <c r="E348" s="7"/>
      <c r="F348" s="7"/>
      <c r="G348" s="7"/>
      <c r="H348" s="7"/>
      <c r="I348" s="7"/>
      <c r="J348" s="8"/>
      <c r="K348" s="9"/>
    </row>
    <row r="349">
      <c r="A349" s="6"/>
      <c r="B349" s="7"/>
      <c r="C349" s="7"/>
      <c r="D349" s="7"/>
      <c r="E349" s="7"/>
      <c r="F349" s="7"/>
      <c r="G349" s="7"/>
      <c r="H349" s="7"/>
      <c r="I349" s="7"/>
      <c r="J349" s="8"/>
      <c r="K349" s="9"/>
    </row>
    <row r="350">
      <c r="A350" s="6"/>
      <c r="B350" s="7"/>
      <c r="C350" s="7"/>
      <c r="D350" s="7"/>
      <c r="E350" s="7"/>
      <c r="F350" s="7"/>
      <c r="G350" s="7"/>
      <c r="H350" s="7"/>
      <c r="I350" s="7"/>
      <c r="J350" s="8"/>
      <c r="K350" s="9"/>
    </row>
    <row r="351">
      <c r="A351" s="6"/>
      <c r="B351" s="7"/>
      <c r="C351" s="7"/>
      <c r="D351" s="7"/>
      <c r="E351" s="7"/>
      <c r="F351" s="7"/>
      <c r="G351" s="7"/>
      <c r="H351" s="7"/>
      <c r="I351" s="7"/>
      <c r="J351" s="8"/>
      <c r="K351" s="9"/>
    </row>
    <row r="352">
      <c r="A352" s="6"/>
      <c r="B352" s="7"/>
      <c r="C352" s="7"/>
      <c r="D352" s="7"/>
      <c r="E352" s="7"/>
      <c r="F352" s="7"/>
      <c r="G352" s="7"/>
      <c r="H352" s="7"/>
      <c r="I352" s="7"/>
      <c r="J352" s="8"/>
      <c r="K352" s="9"/>
    </row>
    <row r="353">
      <c r="A353" s="6"/>
      <c r="B353" s="7"/>
      <c r="C353" s="7"/>
      <c r="D353" s="7"/>
      <c r="E353" s="7"/>
      <c r="F353" s="7"/>
      <c r="G353" s="7"/>
      <c r="H353" s="7"/>
      <c r="I353" s="7"/>
      <c r="J353" s="8"/>
      <c r="K353" s="9"/>
    </row>
    <row r="354">
      <c r="A354" s="6"/>
      <c r="B354" s="7"/>
      <c r="C354" s="7"/>
      <c r="D354" s="7"/>
      <c r="E354" s="7"/>
      <c r="F354" s="7"/>
      <c r="G354" s="7"/>
      <c r="H354" s="7"/>
      <c r="I354" s="7"/>
      <c r="J354" s="8"/>
      <c r="K354" s="9"/>
    </row>
    <row r="355">
      <c r="A355" s="6"/>
      <c r="B355" s="7"/>
      <c r="C355" s="7"/>
      <c r="D355" s="7"/>
      <c r="E355" s="7"/>
      <c r="F355" s="7"/>
      <c r="G355" s="7"/>
      <c r="H355" s="7"/>
      <c r="I355" s="7"/>
      <c r="J355" s="8"/>
      <c r="K355" s="9"/>
    </row>
    <row r="356">
      <c r="A356" s="6"/>
      <c r="B356" s="7"/>
      <c r="C356" s="7"/>
      <c r="D356" s="7"/>
      <c r="E356" s="7"/>
      <c r="F356" s="7"/>
      <c r="G356" s="7"/>
      <c r="H356" s="7"/>
      <c r="I356" s="7"/>
      <c r="J356" s="8"/>
      <c r="K356" s="9"/>
    </row>
    <row r="357">
      <c r="A357" s="6"/>
      <c r="B357" s="7"/>
      <c r="C357" s="7"/>
      <c r="D357" s="7"/>
      <c r="E357" s="7"/>
      <c r="F357" s="7"/>
      <c r="G357" s="7"/>
      <c r="H357" s="7"/>
      <c r="I357" s="7"/>
      <c r="J357" s="8"/>
      <c r="K357" s="9"/>
    </row>
    <row r="358">
      <c r="A358" s="6"/>
      <c r="B358" s="7"/>
      <c r="C358" s="7"/>
      <c r="D358" s="7"/>
      <c r="E358" s="7"/>
      <c r="F358" s="7"/>
      <c r="G358" s="7"/>
      <c r="H358" s="7"/>
      <c r="I358" s="7"/>
      <c r="J358" s="8"/>
      <c r="K358" s="9"/>
    </row>
    <row r="359">
      <c r="A359" s="6"/>
      <c r="B359" s="7"/>
      <c r="C359" s="7"/>
      <c r="D359" s="7"/>
      <c r="E359" s="7"/>
      <c r="F359" s="7"/>
      <c r="G359" s="7"/>
      <c r="H359" s="7"/>
      <c r="I359" s="7"/>
      <c r="J359" s="8"/>
      <c r="K359" s="9"/>
    </row>
    <row r="360">
      <c r="A360" s="6"/>
      <c r="B360" s="7"/>
      <c r="C360" s="7"/>
      <c r="D360" s="7"/>
      <c r="E360" s="7"/>
      <c r="F360" s="7"/>
      <c r="G360" s="7"/>
      <c r="H360" s="7"/>
      <c r="I360" s="7"/>
      <c r="J360" s="8"/>
      <c r="K360" s="9"/>
    </row>
    <row r="361">
      <c r="A361" s="6"/>
      <c r="B361" s="7"/>
      <c r="C361" s="7"/>
      <c r="D361" s="7"/>
      <c r="E361" s="7"/>
      <c r="F361" s="7"/>
      <c r="G361" s="7"/>
      <c r="H361" s="7"/>
      <c r="I361" s="7"/>
      <c r="J361" s="8"/>
      <c r="K361" s="9"/>
    </row>
    <row r="362">
      <c r="A362" s="6"/>
      <c r="B362" s="7"/>
      <c r="C362" s="7"/>
      <c r="D362" s="7"/>
      <c r="E362" s="7"/>
      <c r="F362" s="7"/>
      <c r="G362" s="7"/>
      <c r="H362" s="7"/>
      <c r="I362" s="7"/>
      <c r="J362" s="8"/>
      <c r="K362" s="9"/>
    </row>
    <row r="363">
      <c r="A363" s="6"/>
      <c r="B363" s="7"/>
      <c r="C363" s="7"/>
      <c r="D363" s="7"/>
      <c r="E363" s="7"/>
      <c r="F363" s="7"/>
      <c r="G363" s="7"/>
      <c r="H363" s="7"/>
      <c r="I363" s="7"/>
      <c r="J363" s="8"/>
      <c r="K363" s="9"/>
    </row>
    <row r="364">
      <c r="A364" s="6"/>
      <c r="B364" s="7"/>
      <c r="C364" s="7"/>
      <c r="D364" s="7"/>
      <c r="E364" s="7"/>
      <c r="F364" s="7"/>
      <c r="G364" s="7"/>
      <c r="H364" s="7"/>
      <c r="I364" s="7"/>
      <c r="J364" s="8"/>
      <c r="K364" s="9"/>
    </row>
    <row r="365">
      <c r="A365" s="6"/>
      <c r="B365" s="7"/>
      <c r="C365" s="7"/>
      <c r="D365" s="7"/>
      <c r="E365" s="7"/>
      <c r="F365" s="7"/>
      <c r="G365" s="7"/>
      <c r="H365" s="7"/>
      <c r="I365" s="7"/>
      <c r="J365" s="8"/>
      <c r="K365" s="9"/>
    </row>
    <row r="366">
      <c r="A366" s="6"/>
      <c r="B366" s="7"/>
      <c r="C366" s="7"/>
      <c r="D366" s="7"/>
      <c r="E366" s="7"/>
      <c r="F366" s="7"/>
      <c r="G366" s="7"/>
      <c r="H366" s="7"/>
      <c r="I366" s="7"/>
      <c r="J366" s="8"/>
      <c r="K366" s="9"/>
    </row>
    <row r="367">
      <c r="A367" s="6"/>
      <c r="B367" s="7"/>
      <c r="C367" s="7"/>
      <c r="D367" s="7"/>
      <c r="E367" s="7"/>
      <c r="F367" s="7"/>
      <c r="G367" s="7"/>
      <c r="H367" s="7"/>
      <c r="I367" s="7"/>
      <c r="J367" s="8"/>
      <c r="K367" s="9"/>
    </row>
    <row r="368">
      <c r="A368" s="6"/>
      <c r="B368" s="7"/>
      <c r="C368" s="7"/>
      <c r="D368" s="7"/>
      <c r="E368" s="7"/>
      <c r="F368" s="7"/>
      <c r="G368" s="7"/>
      <c r="H368" s="7"/>
      <c r="I368" s="7"/>
      <c r="J368" s="8"/>
      <c r="K368" s="9"/>
    </row>
    <row r="369">
      <c r="A369" s="6"/>
      <c r="B369" s="7"/>
      <c r="C369" s="7"/>
      <c r="D369" s="7"/>
      <c r="E369" s="7"/>
      <c r="F369" s="7"/>
      <c r="G369" s="7"/>
      <c r="H369" s="7"/>
      <c r="I369" s="7"/>
      <c r="J369" s="8"/>
      <c r="K369" s="9"/>
    </row>
    <row r="370">
      <c r="A370" s="6"/>
      <c r="B370" s="7"/>
      <c r="C370" s="7"/>
      <c r="D370" s="7"/>
      <c r="E370" s="7"/>
      <c r="F370" s="7"/>
      <c r="G370" s="7"/>
      <c r="H370" s="7"/>
      <c r="I370" s="7"/>
      <c r="J370" s="8"/>
      <c r="K370" s="9"/>
    </row>
    <row r="371">
      <c r="A371" s="6"/>
      <c r="B371" s="7"/>
      <c r="C371" s="7"/>
      <c r="D371" s="7"/>
      <c r="E371" s="7"/>
      <c r="F371" s="7"/>
      <c r="G371" s="7"/>
      <c r="H371" s="7"/>
      <c r="I371" s="7"/>
      <c r="J371" s="8"/>
      <c r="K371" s="9"/>
    </row>
    <row r="372">
      <c r="A372" s="6"/>
      <c r="B372" s="7"/>
      <c r="C372" s="7"/>
      <c r="D372" s="7"/>
      <c r="E372" s="7"/>
      <c r="F372" s="7"/>
      <c r="G372" s="7"/>
      <c r="H372" s="7"/>
      <c r="I372" s="7"/>
      <c r="J372" s="8"/>
      <c r="K372" s="9"/>
    </row>
    <row r="373">
      <c r="A373" s="6"/>
      <c r="B373" s="7"/>
      <c r="C373" s="7"/>
      <c r="D373" s="7"/>
      <c r="E373" s="7"/>
      <c r="F373" s="7"/>
      <c r="G373" s="7"/>
      <c r="H373" s="7"/>
      <c r="I373" s="7"/>
      <c r="J373" s="8"/>
      <c r="K373" s="9"/>
    </row>
    <row r="374">
      <c r="A374" s="6"/>
      <c r="B374" s="7"/>
      <c r="C374" s="7"/>
      <c r="D374" s="7"/>
      <c r="E374" s="7"/>
      <c r="F374" s="7"/>
      <c r="G374" s="7"/>
      <c r="H374" s="7"/>
      <c r="I374" s="7"/>
      <c r="J374" s="8"/>
      <c r="K374" s="9"/>
    </row>
    <row r="375">
      <c r="A375" s="6"/>
      <c r="B375" s="7"/>
      <c r="C375" s="7"/>
      <c r="D375" s="7"/>
      <c r="E375" s="7"/>
      <c r="F375" s="7"/>
      <c r="G375" s="7"/>
      <c r="H375" s="7"/>
      <c r="I375" s="7"/>
      <c r="J375" s="8"/>
      <c r="K375" s="9"/>
    </row>
    <row r="376">
      <c r="A376" s="6"/>
      <c r="B376" s="7"/>
      <c r="C376" s="7"/>
      <c r="D376" s="7"/>
      <c r="E376" s="7"/>
      <c r="F376" s="7"/>
      <c r="G376" s="7"/>
      <c r="H376" s="7"/>
      <c r="I376" s="7"/>
      <c r="J376" s="8"/>
      <c r="K376" s="9"/>
    </row>
    <row r="377">
      <c r="A377" s="6"/>
      <c r="B377" s="7"/>
      <c r="C377" s="7"/>
      <c r="D377" s="7"/>
      <c r="E377" s="7"/>
      <c r="F377" s="7"/>
      <c r="G377" s="7"/>
      <c r="H377" s="7"/>
      <c r="I377" s="7"/>
      <c r="J377" s="8"/>
      <c r="K377" s="9"/>
    </row>
    <row r="378">
      <c r="A378" s="6"/>
      <c r="B378" s="7"/>
      <c r="C378" s="7"/>
      <c r="D378" s="7"/>
      <c r="E378" s="7"/>
      <c r="F378" s="7"/>
      <c r="G378" s="7"/>
      <c r="H378" s="7"/>
      <c r="I378" s="7"/>
      <c r="J378" s="8"/>
      <c r="K378" s="9"/>
    </row>
    <row r="379">
      <c r="A379" s="6"/>
      <c r="B379" s="7"/>
      <c r="C379" s="7"/>
      <c r="D379" s="7"/>
      <c r="E379" s="7"/>
      <c r="F379" s="7"/>
      <c r="G379" s="7"/>
      <c r="H379" s="7"/>
      <c r="I379" s="7"/>
      <c r="J379" s="8"/>
      <c r="K379" s="9"/>
    </row>
    <row r="380">
      <c r="A380" s="6"/>
      <c r="B380" s="7"/>
      <c r="C380" s="7"/>
      <c r="D380" s="7"/>
      <c r="E380" s="7"/>
      <c r="F380" s="7"/>
      <c r="G380" s="7"/>
      <c r="H380" s="7"/>
      <c r="I380" s="7"/>
      <c r="J380" s="8"/>
      <c r="K380" s="9"/>
    </row>
    <row r="381">
      <c r="A381" s="6"/>
      <c r="B381" s="7"/>
      <c r="C381" s="7"/>
      <c r="D381" s="7"/>
      <c r="E381" s="7"/>
      <c r="F381" s="7"/>
      <c r="G381" s="7"/>
      <c r="H381" s="7"/>
      <c r="I381" s="7"/>
      <c r="J381" s="8"/>
      <c r="K381" s="9"/>
    </row>
    <row r="382">
      <c r="A382" s="6"/>
      <c r="B382" s="7"/>
      <c r="C382" s="7"/>
      <c r="D382" s="7"/>
      <c r="E382" s="7"/>
      <c r="F382" s="7"/>
      <c r="G382" s="7"/>
      <c r="H382" s="7"/>
      <c r="I382" s="7"/>
      <c r="J382" s="8"/>
      <c r="K382" s="9"/>
    </row>
    <row r="383">
      <c r="A383" s="6"/>
      <c r="B383" s="7"/>
      <c r="C383" s="7"/>
      <c r="D383" s="7"/>
      <c r="E383" s="7"/>
      <c r="F383" s="7"/>
      <c r="G383" s="7"/>
      <c r="H383" s="7"/>
      <c r="I383" s="7"/>
      <c r="J383" s="8"/>
      <c r="K383" s="9"/>
    </row>
    <row r="384">
      <c r="A384" s="6"/>
      <c r="B384" s="7"/>
      <c r="C384" s="7"/>
      <c r="D384" s="7"/>
      <c r="E384" s="7"/>
      <c r="F384" s="7"/>
      <c r="G384" s="7"/>
      <c r="H384" s="7"/>
      <c r="I384" s="7"/>
      <c r="J384" s="8"/>
      <c r="K384" s="9"/>
    </row>
    <row r="385">
      <c r="A385" s="6"/>
      <c r="B385" s="7"/>
      <c r="C385" s="7"/>
      <c r="D385" s="7"/>
      <c r="E385" s="7"/>
      <c r="F385" s="7"/>
      <c r="G385" s="7"/>
      <c r="H385" s="7"/>
      <c r="I385" s="7"/>
      <c r="J385" s="8"/>
      <c r="K385" s="9"/>
    </row>
    <row r="386">
      <c r="A386" s="6"/>
      <c r="B386" s="7"/>
      <c r="C386" s="7"/>
      <c r="D386" s="7"/>
      <c r="E386" s="7"/>
      <c r="F386" s="7"/>
      <c r="G386" s="7"/>
      <c r="H386" s="7"/>
      <c r="I386" s="7"/>
      <c r="J386" s="8"/>
      <c r="K386" s="9"/>
    </row>
    <row r="387">
      <c r="A387" s="6"/>
      <c r="B387" s="7"/>
      <c r="C387" s="7"/>
      <c r="D387" s="7"/>
      <c r="E387" s="7"/>
      <c r="F387" s="7"/>
      <c r="G387" s="7"/>
      <c r="H387" s="7"/>
      <c r="I387" s="7"/>
      <c r="J387" s="8"/>
      <c r="K387" s="9"/>
    </row>
    <row r="388">
      <c r="A388" s="6"/>
      <c r="B388" s="7"/>
      <c r="C388" s="7"/>
      <c r="D388" s="7"/>
      <c r="E388" s="7"/>
      <c r="F388" s="7"/>
      <c r="G388" s="7"/>
      <c r="H388" s="7"/>
      <c r="I388" s="7"/>
      <c r="J388" s="8"/>
      <c r="K388" s="9"/>
    </row>
    <row r="389">
      <c r="A389" s="6"/>
      <c r="B389" s="7"/>
      <c r="C389" s="7"/>
      <c r="D389" s="7"/>
      <c r="E389" s="7"/>
      <c r="F389" s="7"/>
      <c r="G389" s="7"/>
      <c r="H389" s="7"/>
      <c r="I389" s="7"/>
      <c r="J389" s="8"/>
      <c r="K389" s="9"/>
    </row>
    <row r="390">
      <c r="A390" s="6"/>
      <c r="B390" s="7"/>
      <c r="C390" s="7"/>
      <c r="D390" s="7"/>
      <c r="E390" s="7"/>
      <c r="F390" s="7"/>
      <c r="G390" s="7"/>
      <c r="H390" s="7"/>
      <c r="I390" s="7"/>
      <c r="J390" s="8"/>
      <c r="K390" s="9"/>
    </row>
    <row r="391">
      <c r="A391" s="6"/>
      <c r="B391" s="7"/>
      <c r="C391" s="7"/>
      <c r="D391" s="7"/>
      <c r="E391" s="7"/>
      <c r="F391" s="7"/>
      <c r="G391" s="7"/>
      <c r="H391" s="7"/>
      <c r="I391" s="7"/>
      <c r="J391" s="8"/>
      <c r="K391" s="9"/>
    </row>
    <row r="392">
      <c r="A392" s="6"/>
      <c r="B392" s="7"/>
      <c r="C392" s="7"/>
      <c r="D392" s="7"/>
      <c r="E392" s="7"/>
      <c r="F392" s="7"/>
      <c r="G392" s="7"/>
      <c r="H392" s="7"/>
      <c r="I392" s="7"/>
      <c r="J392" s="8"/>
      <c r="K392" s="9"/>
    </row>
    <row r="393">
      <c r="A393" s="6"/>
      <c r="B393" s="7"/>
      <c r="C393" s="7"/>
      <c r="D393" s="7"/>
      <c r="E393" s="7"/>
      <c r="F393" s="7"/>
      <c r="G393" s="7"/>
      <c r="H393" s="7"/>
      <c r="I393" s="7"/>
      <c r="J393" s="8"/>
      <c r="K393" s="9"/>
    </row>
    <row r="394">
      <c r="A394" s="6"/>
      <c r="B394" s="7"/>
      <c r="C394" s="7"/>
      <c r="D394" s="7"/>
      <c r="E394" s="7"/>
      <c r="F394" s="7"/>
      <c r="G394" s="7"/>
      <c r="H394" s="7"/>
      <c r="I394" s="7"/>
      <c r="J394" s="8"/>
      <c r="K394" s="9"/>
    </row>
    <row r="395">
      <c r="A395" s="6"/>
      <c r="B395" s="7"/>
      <c r="C395" s="7"/>
      <c r="D395" s="7"/>
      <c r="E395" s="7"/>
      <c r="F395" s="7"/>
      <c r="G395" s="7"/>
      <c r="H395" s="7"/>
      <c r="I395" s="7"/>
      <c r="J395" s="8"/>
      <c r="K395" s="9"/>
    </row>
    <row r="396">
      <c r="A396" s="6"/>
      <c r="B396" s="7"/>
      <c r="C396" s="7"/>
      <c r="D396" s="7"/>
      <c r="E396" s="7"/>
      <c r="F396" s="7"/>
      <c r="G396" s="7"/>
      <c r="H396" s="7"/>
      <c r="I396" s="7"/>
      <c r="J396" s="8"/>
      <c r="K396" s="9"/>
    </row>
    <row r="397">
      <c r="A397" s="6"/>
      <c r="B397" s="7"/>
      <c r="C397" s="7"/>
      <c r="D397" s="7"/>
      <c r="E397" s="7"/>
      <c r="F397" s="7"/>
      <c r="G397" s="7"/>
      <c r="H397" s="7"/>
      <c r="I397" s="7"/>
      <c r="J397" s="8"/>
      <c r="K397" s="9"/>
    </row>
    <row r="398">
      <c r="A398" s="6"/>
      <c r="B398" s="7"/>
      <c r="C398" s="7"/>
      <c r="D398" s="7"/>
      <c r="E398" s="7"/>
      <c r="F398" s="7"/>
      <c r="G398" s="7"/>
      <c r="H398" s="7"/>
      <c r="I398" s="7"/>
      <c r="J398" s="8"/>
      <c r="K398" s="9"/>
    </row>
    <row r="399">
      <c r="A399" s="6"/>
      <c r="B399" s="7"/>
      <c r="C399" s="7"/>
      <c r="D399" s="7"/>
      <c r="E399" s="7"/>
      <c r="F399" s="7"/>
      <c r="G399" s="7"/>
      <c r="H399" s="7"/>
      <c r="I399" s="7"/>
      <c r="J399" s="8"/>
      <c r="K399" s="9"/>
    </row>
    <row r="400">
      <c r="A400" s="6"/>
      <c r="B400" s="7"/>
      <c r="C400" s="7"/>
      <c r="D400" s="7"/>
      <c r="E400" s="7"/>
      <c r="F400" s="7"/>
      <c r="G400" s="7"/>
      <c r="H400" s="7"/>
      <c r="I400" s="7"/>
      <c r="J400" s="8"/>
      <c r="K400" s="9"/>
    </row>
    <row r="401">
      <c r="A401" s="6"/>
      <c r="B401" s="7"/>
      <c r="C401" s="7"/>
      <c r="D401" s="7"/>
      <c r="E401" s="7"/>
      <c r="F401" s="7"/>
      <c r="G401" s="7"/>
      <c r="H401" s="7"/>
      <c r="I401" s="7"/>
      <c r="J401" s="8"/>
      <c r="K401" s="9"/>
    </row>
    <row r="402">
      <c r="A402" s="6"/>
      <c r="B402" s="7"/>
      <c r="C402" s="7"/>
      <c r="D402" s="7"/>
      <c r="E402" s="7"/>
      <c r="F402" s="7"/>
      <c r="G402" s="7"/>
      <c r="H402" s="7"/>
      <c r="I402" s="7"/>
      <c r="J402" s="8"/>
      <c r="K402" s="9"/>
    </row>
    <row r="403">
      <c r="A403" s="6"/>
      <c r="B403" s="7"/>
      <c r="C403" s="7"/>
      <c r="D403" s="7"/>
      <c r="E403" s="7"/>
      <c r="F403" s="7"/>
      <c r="G403" s="7"/>
      <c r="H403" s="7"/>
      <c r="I403" s="7"/>
      <c r="J403" s="8"/>
      <c r="K403" s="9"/>
    </row>
    <row r="404">
      <c r="A404" s="6"/>
      <c r="B404" s="7"/>
      <c r="C404" s="7"/>
      <c r="D404" s="7"/>
      <c r="E404" s="7"/>
      <c r="F404" s="7"/>
      <c r="G404" s="7"/>
      <c r="H404" s="7"/>
      <c r="I404" s="7"/>
      <c r="J404" s="8"/>
      <c r="K404" s="9"/>
    </row>
    <row r="405">
      <c r="A405" s="6"/>
      <c r="B405" s="7"/>
      <c r="C405" s="7"/>
      <c r="D405" s="7"/>
      <c r="E405" s="7"/>
      <c r="F405" s="7"/>
      <c r="G405" s="7"/>
      <c r="H405" s="7"/>
      <c r="I405" s="7"/>
      <c r="J405" s="8"/>
      <c r="K405" s="9"/>
    </row>
    <row r="406">
      <c r="A406" s="6"/>
      <c r="B406" s="7"/>
      <c r="C406" s="7"/>
      <c r="D406" s="7"/>
      <c r="E406" s="7"/>
      <c r="F406" s="7"/>
      <c r="G406" s="7"/>
      <c r="H406" s="7"/>
      <c r="I406" s="7"/>
      <c r="J406" s="8"/>
      <c r="K406" s="9"/>
    </row>
    <row r="407">
      <c r="A407" s="6"/>
      <c r="B407" s="7"/>
      <c r="C407" s="7"/>
      <c r="D407" s="7"/>
      <c r="E407" s="7"/>
      <c r="F407" s="7"/>
      <c r="G407" s="7"/>
      <c r="H407" s="7"/>
      <c r="I407" s="7"/>
      <c r="J407" s="8"/>
      <c r="K407" s="9"/>
    </row>
    <row r="408">
      <c r="A408" s="6"/>
      <c r="B408" s="7"/>
      <c r="C408" s="7"/>
      <c r="D408" s="7"/>
      <c r="E408" s="7"/>
      <c r="F408" s="7"/>
      <c r="G408" s="7"/>
      <c r="H408" s="7"/>
      <c r="I408" s="7"/>
      <c r="J408" s="8"/>
      <c r="K408" s="9"/>
    </row>
    <row r="409">
      <c r="A409" s="6"/>
      <c r="B409" s="7"/>
      <c r="C409" s="7"/>
      <c r="D409" s="7"/>
      <c r="E409" s="7"/>
      <c r="F409" s="7"/>
      <c r="G409" s="7"/>
      <c r="H409" s="7"/>
      <c r="I409" s="7"/>
      <c r="J409" s="8"/>
      <c r="K409" s="9"/>
    </row>
    <row r="410">
      <c r="A410" s="6"/>
      <c r="B410" s="7"/>
      <c r="C410" s="7"/>
      <c r="D410" s="7"/>
      <c r="E410" s="7"/>
      <c r="F410" s="7"/>
      <c r="G410" s="7"/>
      <c r="H410" s="7"/>
      <c r="I410" s="7"/>
      <c r="J410" s="8"/>
      <c r="K410" s="9"/>
    </row>
    <row r="411">
      <c r="A411" s="6"/>
      <c r="B411" s="7"/>
      <c r="C411" s="7"/>
      <c r="D411" s="7"/>
      <c r="E411" s="7"/>
      <c r="F411" s="7"/>
      <c r="G411" s="7"/>
      <c r="H411" s="7"/>
      <c r="I411" s="7"/>
      <c r="J411" s="8"/>
      <c r="K411" s="9"/>
    </row>
    <row r="412">
      <c r="A412" s="6"/>
      <c r="B412" s="7"/>
      <c r="C412" s="7"/>
      <c r="D412" s="7"/>
      <c r="E412" s="7"/>
      <c r="F412" s="7"/>
      <c r="G412" s="7"/>
      <c r="H412" s="7"/>
      <c r="I412" s="7"/>
      <c r="J412" s="8"/>
      <c r="K412" s="9"/>
    </row>
    <row r="413">
      <c r="A413" s="6"/>
      <c r="B413" s="7"/>
      <c r="C413" s="7"/>
      <c r="D413" s="7"/>
      <c r="E413" s="7"/>
      <c r="F413" s="7"/>
      <c r="G413" s="7"/>
      <c r="H413" s="7"/>
      <c r="I413" s="7"/>
      <c r="J413" s="8"/>
      <c r="K413" s="9"/>
    </row>
    <row r="414">
      <c r="A414" s="6"/>
      <c r="B414" s="7"/>
      <c r="C414" s="7"/>
      <c r="D414" s="7"/>
      <c r="E414" s="7"/>
      <c r="F414" s="7"/>
      <c r="G414" s="7"/>
      <c r="H414" s="7"/>
      <c r="I414" s="7"/>
      <c r="J414" s="8"/>
      <c r="K414" s="9"/>
    </row>
    <row r="415">
      <c r="A415" s="6"/>
      <c r="B415" s="7"/>
      <c r="C415" s="7"/>
      <c r="D415" s="7"/>
      <c r="E415" s="7"/>
      <c r="F415" s="7"/>
      <c r="G415" s="7"/>
      <c r="H415" s="7"/>
      <c r="I415" s="7"/>
      <c r="J415" s="8"/>
      <c r="K415" s="9"/>
    </row>
    <row r="416">
      <c r="A416" s="6"/>
      <c r="B416" s="7"/>
      <c r="C416" s="7"/>
      <c r="D416" s="7"/>
      <c r="E416" s="7"/>
      <c r="F416" s="7"/>
      <c r="G416" s="7"/>
      <c r="H416" s="7"/>
      <c r="I416" s="7"/>
      <c r="J416" s="8"/>
      <c r="K416" s="9"/>
    </row>
    <row r="417">
      <c r="A417" s="6"/>
      <c r="B417" s="7"/>
      <c r="C417" s="7"/>
      <c r="D417" s="7"/>
      <c r="E417" s="7"/>
      <c r="F417" s="7"/>
      <c r="G417" s="7"/>
      <c r="H417" s="7"/>
      <c r="I417" s="7"/>
      <c r="J417" s="8"/>
      <c r="K417" s="9"/>
    </row>
    <row r="418">
      <c r="A418" s="6"/>
      <c r="B418" s="7"/>
      <c r="C418" s="7"/>
      <c r="D418" s="7"/>
      <c r="E418" s="7"/>
      <c r="F418" s="7"/>
      <c r="G418" s="7"/>
      <c r="H418" s="7"/>
      <c r="I418" s="7"/>
      <c r="J418" s="8"/>
      <c r="K418" s="9"/>
    </row>
    <row r="419">
      <c r="A419" s="6"/>
      <c r="B419" s="7"/>
      <c r="C419" s="7"/>
      <c r="D419" s="7"/>
      <c r="E419" s="7"/>
      <c r="F419" s="7"/>
      <c r="G419" s="7"/>
      <c r="H419" s="7"/>
      <c r="I419" s="7"/>
      <c r="J419" s="8"/>
      <c r="K419" s="9"/>
    </row>
    <row r="420">
      <c r="A420" s="6"/>
      <c r="B420" s="7"/>
      <c r="C420" s="7"/>
      <c r="D420" s="7"/>
      <c r="E420" s="7"/>
      <c r="F420" s="7"/>
      <c r="G420" s="7"/>
      <c r="H420" s="7"/>
      <c r="I420" s="7"/>
      <c r="J420" s="8"/>
      <c r="K420" s="9"/>
    </row>
    <row r="421">
      <c r="A421" s="6"/>
      <c r="B421" s="7"/>
      <c r="C421" s="7"/>
      <c r="D421" s="7"/>
      <c r="E421" s="7"/>
      <c r="F421" s="7"/>
      <c r="G421" s="7"/>
      <c r="H421" s="7"/>
      <c r="I421" s="7"/>
      <c r="J421" s="8"/>
      <c r="K421" s="9"/>
    </row>
    <row r="422">
      <c r="A422" s="6"/>
      <c r="B422" s="7"/>
      <c r="C422" s="7"/>
      <c r="D422" s="7"/>
      <c r="E422" s="7"/>
      <c r="F422" s="7"/>
      <c r="G422" s="7"/>
      <c r="H422" s="7"/>
      <c r="I422" s="7"/>
      <c r="J422" s="8"/>
      <c r="K422" s="9"/>
    </row>
    <row r="423">
      <c r="A423" s="6"/>
      <c r="B423" s="7"/>
      <c r="C423" s="7"/>
      <c r="D423" s="7"/>
      <c r="E423" s="7"/>
      <c r="F423" s="7"/>
      <c r="G423" s="7"/>
      <c r="H423" s="7"/>
      <c r="I423" s="7"/>
      <c r="J423" s="8"/>
      <c r="K423" s="9"/>
    </row>
    <row r="424">
      <c r="A424" s="6"/>
      <c r="B424" s="7"/>
      <c r="C424" s="7"/>
      <c r="D424" s="7"/>
      <c r="E424" s="7"/>
      <c r="F424" s="7"/>
      <c r="G424" s="7"/>
      <c r="H424" s="7"/>
      <c r="I424" s="7"/>
      <c r="J424" s="8"/>
      <c r="K424" s="9"/>
    </row>
    <row r="425">
      <c r="A425" s="6"/>
      <c r="B425" s="7"/>
      <c r="C425" s="7"/>
      <c r="D425" s="7"/>
      <c r="E425" s="7"/>
      <c r="F425" s="7"/>
      <c r="G425" s="7"/>
      <c r="H425" s="7"/>
      <c r="I425" s="7"/>
      <c r="J425" s="8"/>
      <c r="K425" s="9"/>
    </row>
    <row r="426">
      <c r="A426" s="6"/>
      <c r="B426" s="7"/>
      <c r="C426" s="7"/>
      <c r="D426" s="7"/>
      <c r="E426" s="7"/>
      <c r="F426" s="7"/>
      <c r="G426" s="7"/>
      <c r="H426" s="7"/>
      <c r="I426" s="7"/>
      <c r="J426" s="8"/>
      <c r="K426" s="9"/>
    </row>
    <row r="427">
      <c r="A427" s="6"/>
      <c r="B427" s="7"/>
      <c r="C427" s="7"/>
      <c r="D427" s="7"/>
      <c r="E427" s="7"/>
      <c r="F427" s="7"/>
      <c r="G427" s="7"/>
      <c r="H427" s="7"/>
      <c r="I427" s="7"/>
      <c r="J427" s="8"/>
      <c r="K427" s="9"/>
    </row>
    <row r="428">
      <c r="A428" s="6"/>
      <c r="B428" s="7"/>
      <c r="C428" s="7"/>
      <c r="D428" s="7"/>
      <c r="E428" s="7"/>
      <c r="F428" s="7"/>
      <c r="G428" s="7"/>
      <c r="H428" s="7"/>
      <c r="I428" s="7"/>
      <c r="J428" s="8"/>
      <c r="K428" s="9"/>
    </row>
    <row r="429">
      <c r="A429" s="6"/>
      <c r="B429" s="7"/>
      <c r="C429" s="7"/>
      <c r="D429" s="7"/>
      <c r="E429" s="7"/>
      <c r="F429" s="7"/>
      <c r="G429" s="7"/>
      <c r="H429" s="7"/>
      <c r="I429" s="7"/>
      <c r="J429" s="8"/>
      <c r="K429" s="9"/>
    </row>
    <row r="430">
      <c r="A430" s="6"/>
      <c r="B430" s="7"/>
      <c r="C430" s="7"/>
      <c r="D430" s="7"/>
      <c r="E430" s="7"/>
      <c r="F430" s="7"/>
      <c r="G430" s="7"/>
      <c r="H430" s="7"/>
      <c r="I430" s="7"/>
      <c r="J430" s="8"/>
      <c r="K430" s="9"/>
    </row>
    <row r="431">
      <c r="A431" s="6"/>
      <c r="B431" s="7"/>
      <c r="C431" s="7"/>
      <c r="D431" s="7"/>
      <c r="E431" s="7"/>
      <c r="F431" s="7"/>
      <c r="G431" s="7"/>
      <c r="H431" s="7"/>
      <c r="I431" s="7"/>
      <c r="J431" s="8"/>
      <c r="K431" s="9"/>
    </row>
    <row r="432">
      <c r="A432" s="6"/>
      <c r="B432" s="7"/>
      <c r="C432" s="7"/>
      <c r="D432" s="7"/>
      <c r="E432" s="7"/>
      <c r="F432" s="7"/>
      <c r="G432" s="7"/>
      <c r="H432" s="7"/>
      <c r="I432" s="7"/>
      <c r="J432" s="8"/>
      <c r="K432" s="9"/>
    </row>
    <row r="433">
      <c r="A433" s="6"/>
      <c r="B433" s="7"/>
      <c r="C433" s="7"/>
      <c r="D433" s="7"/>
      <c r="E433" s="7"/>
      <c r="F433" s="7"/>
      <c r="G433" s="7"/>
      <c r="H433" s="7"/>
      <c r="I433" s="7"/>
      <c r="J433" s="8"/>
      <c r="K433" s="9"/>
    </row>
    <row r="434">
      <c r="A434" s="6"/>
      <c r="B434" s="7"/>
      <c r="C434" s="7"/>
      <c r="D434" s="7"/>
      <c r="E434" s="7"/>
      <c r="F434" s="7"/>
      <c r="G434" s="7"/>
      <c r="H434" s="7"/>
      <c r="I434" s="7"/>
      <c r="J434" s="8"/>
      <c r="K434" s="9"/>
    </row>
    <row r="435">
      <c r="A435" s="6"/>
      <c r="B435" s="7"/>
      <c r="C435" s="7"/>
      <c r="D435" s="7"/>
      <c r="E435" s="7"/>
      <c r="F435" s="7"/>
      <c r="G435" s="7"/>
      <c r="H435" s="7"/>
      <c r="I435" s="7"/>
      <c r="J435" s="8"/>
      <c r="K435" s="9"/>
    </row>
    <row r="436">
      <c r="A436" s="6"/>
      <c r="B436" s="7"/>
      <c r="C436" s="7"/>
      <c r="D436" s="7"/>
      <c r="E436" s="7"/>
      <c r="F436" s="7"/>
      <c r="G436" s="7"/>
      <c r="H436" s="7"/>
      <c r="I436" s="7"/>
      <c r="J436" s="8"/>
      <c r="K436" s="9"/>
    </row>
    <row r="437">
      <c r="A437" s="6"/>
      <c r="B437" s="7"/>
      <c r="C437" s="7"/>
      <c r="D437" s="7"/>
      <c r="E437" s="7"/>
      <c r="F437" s="7"/>
      <c r="G437" s="7"/>
      <c r="H437" s="7"/>
      <c r="I437" s="7"/>
      <c r="J437" s="8"/>
      <c r="K437" s="9"/>
    </row>
    <row r="438">
      <c r="A438" s="6"/>
      <c r="B438" s="7"/>
      <c r="C438" s="7"/>
      <c r="D438" s="7"/>
      <c r="E438" s="7"/>
      <c r="F438" s="7"/>
      <c r="G438" s="7"/>
      <c r="H438" s="7"/>
      <c r="I438" s="7"/>
      <c r="J438" s="8"/>
      <c r="K438" s="9"/>
    </row>
    <row r="439">
      <c r="A439" s="6"/>
      <c r="B439" s="7"/>
      <c r="C439" s="7"/>
      <c r="D439" s="7"/>
      <c r="E439" s="7"/>
      <c r="F439" s="7"/>
      <c r="G439" s="7"/>
      <c r="H439" s="7"/>
      <c r="I439" s="7"/>
      <c r="J439" s="8"/>
      <c r="K439" s="9"/>
    </row>
    <row r="440">
      <c r="A440" s="6"/>
      <c r="B440" s="7"/>
      <c r="C440" s="7"/>
      <c r="D440" s="7"/>
      <c r="E440" s="7"/>
      <c r="F440" s="7"/>
      <c r="G440" s="7"/>
      <c r="H440" s="7"/>
      <c r="I440" s="7"/>
      <c r="J440" s="8"/>
      <c r="K440" s="9"/>
    </row>
    <row r="441">
      <c r="A441" s="6"/>
      <c r="B441" s="7"/>
      <c r="C441" s="7"/>
      <c r="D441" s="7"/>
      <c r="E441" s="7"/>
      <c r="F441" s="7"/>
      <c r="G441" s="7"/>
      <c r="H441" s="7"/>
      <c r="I441" s="7"/>
      <c r="J441" s="8"/>
      <c r="K441" s="9"/>
    </row>
    <row r="442">
      <c r="A442" s="6"/>
      <c r="B442" s="7"/>
      <c r="C442" s="7"/>
      <c r="D442" s="7"/>
      <c r="E442" s="7"/>
      <c r="F442" s="7"/>
      <c r="G442" s="7"/>
      <c r="H442" s="7"/>
      <c r="I442" s="7"/>
      <c r="J442" s="8"/>
      <c r="K442" s="9"/>
    </row>
    <row r="443">
      <c r="A443" s="6"/>
      <c r="B443" s="7"/>
      <c r="C443" s="7"/>
      <c r="D443" s="7"/>
      <c r="E443" s="7"/>
      <c r="F443" s="7"/>
      <c r="G443" s="7"/>
      <c r="H443" s="7"/>
      <c r="I443" s="7"/>
      <c r="J443" s="8"/>
      <c r="K443" s="9"/>
    </row>
    <row r="444">
      <c r="A444" s="6"/>
      <c r="B444" s="7"/>
      <c r="C444" s="7"/>
      <c r="D444" s="7"/>
      <c r="E444" s="7"/>
      <c r="F444" s="7"/>
      <c r="G444" s="7"/>
      <c r="H444" s="7"/>
      <c r="I444" s="7"/>
      <c r="J444" s="8"/>
      <c r="K444" s="9"/>
    </row>
    <row r="445">
      <c r="A445" s="6"/>
      <c r="B445" s="7"/>
      <c r="C445" s="7"/>
      <c r="D445" s="7"/>
      <c r="E445" s="7"/>
      <c r="F445" s="7"/>
      <c r="G445" s="7"/>
      <c r="H445" s="7"/>
      <c r="I445" s="7"/>
      <c r="J445" s="8"/>
      <c r="K445" s="9"/>
    </row>
    <row r="446">
      <c r="A446" s="6"/>
      <c r="B446" s="7"/>
      <c r="C446" s="7"/>
      <c r="D446" s="7"/>
      <c r="E446" s="7"/>
      <c r="F446" s="7"/>
      <c r="G446" s="7"/>
      <c r="H446" s="7"/>
      <c r="I446" s="7"/>
      <c r="J446" s="8"/>
      <c r="K446" s="9"/>
    </row>
    <row r="447">
      <c r="A447" s="6"/>
      <c r="B447" s="7"/>
      <c r="C447" s="7"/>
      <c r="D447" s="7"/>
      <c r="E447" s="7"/>
      <c r="F447" s="7"/>
      <c r="G447" s="7"/>
      <c r="H447" s="7"/>
      <c r="I447" s="7"/>
      <c r="J447" s="8"/>
      <c r="K447" s="9"/>
    </row>
    <row r="448">
      <c r="A448" s="6"/>
      <c r="B448" s="7"/>
      <c r="C448" s="7"/>
      <c r="D448" s="7"/>
      <c r="E448" s="7"/>
      <c r="F448" s="7"/>
      <c r="G448" s="7"/>
      <c r="H448" s="7"/>
      <c r="I448" s="7"/>
      <c r="J448" s="8"/>
      <c r="K448" s="9"/>
    </row>
    <row r="449">
      <c r="A449" s="6"/>
      <c r="B449" s="7"/>
      <c r="C449" s="7"/>
      <c r="D449" s="7"/>
      <c r="E449" s="7"/>
      <c r="F449" s="7"/>
      <c r="G449" s="7"/>
      <c r="H449" s="7"/>
      <c r="I449" s="7"/>
      <c r="J449" s="8"/>
      <c r="K449" s="9"/>
    </row>
    <row r="450">
      <c r="A450" s="6"/>
      <c r="B450" s="7"/>
      <c r="C450" s="7"/>
      <c r="D450" s="7"/>
      <c r="E450" s="7"/>
      <c r="F450" s="7"/>
      <c r="G450" s="7"/>
      <c r="H450" s="7"/>
      <c r="I450" s="7"/>
      <c r="J450" s="8"/>
      <c r="K450" s="9"/>
    </row>
    <row r="451">
      <c r="A451" s="6"/>
      <c r="B451" s="7"/>
      <c r="C451" s="7"/>
      <c r="D451" s="7"/>
      <c r="E451" s="7"/>
      <c r="F451" s="7"/>
      <c r="G451" s="7"/>
      <c r="H451" s="7"/>
      <c r="I451" s="7"/>
      <c r="J451" s="8"/>
      <c r="K451" s="9"/>
    </row>
    <row r="452">
      <c r="A452" s="6"/>
      <c r="B452" s="7"/>
      <c r="C452" s="7"/>
      <c r="D452" s="7"/>
      <c r="E452" s="7"/>
      <c r="F452" s="7"/>
      <c r="G452" s="7"/>
      <c r="H452" s="7"/>
      <c r="I452" s="7"/>
      <c r="J452" s="8"/>
      <c r="K452" s="9"/>
    </row>
    <row r="453">
      <c r="A453" s="6"/>
      <c r="B453" s="7"/>
      <c r="C453" s="7"/>
      <c r="D453" s="7"/>
      <c r="E453" s="7"/>
      <c r="F453" s="7"/>
      <c r="G453" s="7"/>
      <c r="H453" s="7"/>
      <c r="I453" s="7"/>
      <c r="J453" s="8"/>
      <c r="K453" s="9"/>
    </row>
    <row r="454">
      <c r="A454" s="6"/>
      <c r="B454" s="7"/>
      <c r="C454" s="7"/>
      <c r="D454" s="7"/>
      <c r="E454" s="7"/>
      <c r="F454" s="7"/>
      <c r="G454" s="7"/>
      <c r="H454" s="7"/>
      <c r="I454" s="7"/>
      <c r="J454" s="8"/>
      <c r="K454" s="9"/>
    </row>
    <row r="455">
      <c r="A455" s="6"/>
      <c r="B455" s="7"/>
      <c r="C455" s="7"/>
      <c r="D455" s="7"/>
      <c r="E455" s="7"/>
      <c r="F455" s="7"/>
      <c r="G455" s="7"/>
      <c r="H455" s="7"/>
      <c r="I455" s="7"/>
      <c r="J455" s="8"/>
      <c r="K455" s="9"/>
    </row>
    <row r="456">
      <c r="A456" s="6"/>
      <c r="B456" s="7"/>
      <c r="C456" s="7"/>
      <c r="D456" s="7"/>
      <c r="E456" s="7"/>
      <c r="F456" s="7"/>
      <c r="G456" s="7"/>
      <c r="H456" s="7"/>
      <c r="I456" s="7"/>
      <c r="J456" s="8"/>
      <c r="K456" s="9"/>
    </row>
    <row r="457">
      <c r="A457" s="6"/>
      <c r="B457" s="7"/>
      <c r="C457" s="7"/>
      <c r="D457" s="7"/>
      <c r="E457" s="7"/>
      <c r="F457" s="7"/>
      <c r="G457" s="7"/>
      <c r="H457" s="7"/>
      <c r="I457" s="7"/>
      <c r="J457" s="8"/>
      <c r="K457" s="9"/>
    </row>
    <row r="458">
      <c r="A458" s="6"/>
      <c r="B458" s="7"/>
      <c r="C458" s="7"/>
      <c r="D458" s="7"/>
      <c r="E458" s="7"/>
      <c r="F458" s="7"/>
      <c r="G458" s="7"/>
      <c r="H458" s="7"/>
      <c r="I458" s="7"/>
      <c r="J458" s="8"/>
      <c r="K458" s="9"/>
    </row>
    <row r="459">
      <c r="A459" s="6"/>
      <c r="B459" s="7"/>
      <c r="C459" s="7"/>
      <c r="D459" s="7"/>
      <c r="E459" s="7"/>
      <c r="F459" s="7"/>
      <c r="G459" s="7"/>
      <c r="H459" s="7"/>
      <c r="I459" s="7"/>
      <c r="J459" s="8"/>
      <c r="K459" s="9"/>
    </row>
    <row r="460">
      <c r="A460" s="6"/>
      <c r="B460" s="7"/>
      <c r="C460" s="7"/>
      <c r="D460" s="7"/>
      <c r="E460" s="7"/>
      <c r="F460" s="7"/>
      <c r="G460" s="7"/>
      <c r="H460" s="7"/>
      <c r="I460" s="7"/>
      <c r="J460" s="8"/>
      <c r="K460" s="9"/>
    </row>
    <row r="461">
      <c r="A461" s="6"/>
      <c r="B461" s="7"/>
      <c r="C461" s="7"/>
      <c r="D461" s="7"/>
      <c r="E461" s="7"/>
      <c r="F461" s="7"/>
      <c r="G461" s="7"/>
      <c r="H461" s="7"/>
      <c r="I461" s="7"/>
      <c r="J461" s="8"/>
      <c r="K461" s="9"/>
    </row>
    <row r="462">
      <c r="A462" s="6"/>
      <c r="B462" s="7"/>
      <c r="C462" s="7"/>
      <c r="D462" s="7"/>
      <c r="E462" s="7"/>
      <c r="F462" s="7"/>
      <c r="G462" s="7"/>
      <c r="H462" s="7"/>
      <c r="I462" s="7"/>
      <c r="J462" s="8"/>
      <c r="K462" s="9"/>
    </row>
    <row r="463">
      <c r="A463" s="6"/>
      <c r="B463" s="7"/>
      <c r="C463" s="7"/>
      <c r="D463" s="7"/>
      <c r="E463" s="7"/>
      <c r="F463" s="7"/>
      <c r="G463" s="7"/>
      <c r="H463" s="7"/>
      <c r="I463" s="7"/>
      <c r="J463" s="8"/>
      <c r="K463" s="9"/>
    </row>
    <row r="464">
      <c r="A464" s="6"/>
      <c r="B464" s="7"/>
      <c r="C464" s="7"/>
      <c r="D464" s="7"/>
      <c r="E464" s="7"/>
      <c r="F464" s="7"/>
      <c r="G464" s="7"/>
      <c r="H464" s="7"/>
      <c r="I464" s="7"/>
      <c r="J464" s="8"/>
      <c r="K464" s="9"/>
    </row>
    <row r="465">
      <c r="A465" s="6"/>
      <c r="B465" s="7"/>
      <c r="C465" s="7"/>
      <c r="D465" s="7"/>
      <c r="E465" s="7"/>
      <c r="F465" s="7"/>
      <c r="G465" s="7"/>
      <c r="H465" s="7"/>
      <c r="I465" s="7"/>
      <c r="J465" s="8"/>
      <c r="K465" s="9"/>
    </row>
    <row r="466">
      <c r="A466" s="6"/>
      <c r="B466" s="7"/>
      <c r="C466" s="7"/>
      <c r="D466" s="7"/>
      <c r="E466" s="7"/>
      <c r="F466" s="7"/>
      <c r="G466" s="7"/>
      <c r="H466" s="7"/>
      <c r="I466" s="7"/>
      <c r="J466" s="8"/>
      <c r="K466" s="9"/>
    </row>
    <row r="467">
      <c r="A467" s="6"/>
      <c r="B467" s="7"/>
      <c r="C467" s="7"/>
      <c r="D467" s="7"/>
      <c r="E467" s="7"/>
      <c r="F467" s="7"/>
      <c r="G467" s="7"/>
      <c r="H467" s="7"/>
      <c r="I467" s="7"/>
      <c r="J467" s="8"/>
      <c r="K467" s="9"/>
    </row>
    <row r="468">
      <c r="A468" s="6"/>
      <c r="B468" s="7"/>
      <c r="C468" s="7"/>
      <c r="D468" s="7"/>
      <c r="E468" s="7"/>
      <c r="F468" s="7"/>
      <c r="G468" s="7"/>
      <c r="H468" s="7"/>
      <c r="I468" s="7"/>
      <c r="J468" s="8"/>
      <c r="K468" s="9"/>
    </row>
    <row r="469">
      <c r="A469" s="6"/>
      <c r="B469" s="7"/>
      <c r="C469" s="7"/>
      <c r="D469" s="7"/>
      <c r="E469" s="7"/>
      <c r="F469" s="7"/>
      <c r="G469" s="7"/>
      <c r="H469" s="7"/>
      <c r="I469" s="7"/>
      <c r="J469" s="8"/>
      <c r="K469" s="9"/>
    </row>
    <row r="470">
      <c r="A470" s="6"/>
      <c r="B470" s="7"/>
      <c r="C470" s="7"/>
      <c r="D470" s="7"/>
      <c r="E470" s="7"/>
      <c r="F470" s="7"/>
      <c r="G470" s="7"/>
      <c r="H470" s="7"/>
      <c r="I470" s="7"/>
      <c r="J470" s="8"/>
      <c r="K470" s="9"/>
    </row>
    <row r="471">
      <c r="A471" s="6"/>
      <c r="B471" s="7"/>
      <c r="C471" s="7"/>
      <c r="D471" s="7"/>
      <c r="E471" s="7"/>
      <c r="F471" s="7"/>
      <c r="G471" s="7"/>
      <c r="H471" s="7"/>
      <c r="I471" s="7"/>
      <c r="J471" s="8"/>
      <c r="K471" s="9"/>
    </row>
    <row r="472">
      <c r="A472" s="6"/>
      <c r="B472" s="7"/>
      <c r="C472" s="7"/>
      <c r="D472" s="7"/>
      <c r="E472" s="7"/>
      <c r="F472" s="7"/>
      <c r="G472" s="7"/>
      <c r="H472" s="7"/>
      <c r="I472" s="7"/>
      <c r="J472" s="8"/>
      <c r="K472" s="9"/>
    </row>
    <row r="473">
      <c r="A473" s="6"/>
      <c r="B473" s="7"/>
      <c r="C473" s="7"/>
      <c r="D473" s="7"/>
      <c r="E473" s="7"/>
      <c r="F473" s="7"/>
      <c r="G473" s="7"/>
      <c r="H473" s="7"/>
      <c r="I473" s="7"/>
      <c r="J473" s="8"/>
      <c r="K473" s="9"/>
    </row>
    <row r="474">
      <c r="A474" s="6"/>
      <c r="B474" s="7"/>
      <c r="C474" s="7"/>
      <c r="D474" s="7"/>
      <c r="E474" s="7"/>
      <c r="F474" s="7"/>
      <c r="G474" s="7"/>
      <c r="H474" s="7"/>
      <c r="I474" s="7"/>
      <c r="J474" s="8"/>
      <c r="K474" s="9"/>
    </row>
    <row r="475">
      <c r="A475" s="6"/>
      <c r="B475" s="7"/>
      <c r="C475" s="7"/>
      <c r="D475" s="7"/>
      <c r="E475" s="7"/>
      <c r="F475" s="7"/>
      <c r="G475" s="7"/>
      <c r="H475" s="7"/>
      <c r="I475" s="7"/>
      <c r="J475" s="8"/>
      <c r="K475" s="9"/>
    </row>
    <row r="476">
      <c r="A476" s="6"/>
      <c r="B476" s="7"/>
      <c r="C476" s="7"/>
      <c r="D476" s="7"/>
      <c r="E476" s="7"/>
      <c r="F476" s="7"/>
      <c r="G476" s="7"/>
      <c r="H476" s="7"/>
      <c r="I476" s="7"/>
      <c r="J476" s="8"/>
      <c r="K476" s="9"/>
    </row>
    <row r="477">
      <c r="A477" s="6"/>
      <c r="B477" s="7"/>
      <c r="C477" s="7"/>
      <c r="D477" s="7"/>
      <c r="E477" s="7"/>
      <c r="F477" s="7"/>
      <c r="G477" s="7"/>
      <c r="H477" s="7"/>
      <c r="I477" s="7"/>
      <c r="J477" s="8"/>
      <c r="K477" s="9"/>
    </row>
    <row r="478">
      <c r="A478" s="6"/>
      <c r="B478" s="7"/>
      <c r="C478" s="7"/>
      <c r="D478" s="7"/>
      <c r="E478" s="7"/>
      <c r="F478" s="7"/>
      <c r="G478" s="7"/>
      <c r="H478" s="7"/>
      <c r="I478" s="7"/>
      <c r="J478" s="8"/>
      <c r="K478" s="9"/>
    </row>
    <row r="479">
      <c r="A479" s="6"/>
      <c r="B479" s="7"/>
      <c r="C479" s="7"/>
      <c r="D479" s="7"/>
      <c r="E479" s="7"/>
      <c r="F479" s="7"/>
      <c r="G479" s="7"/>
      <c r="H479" s="7"/>
      <c r="I479" s="7"/>
      <c r="J479" s="8"/>
      <c r="K479" s="9"/>
    </row>
    <row r="480">
      <c r="A480" s="6"/>
      <c r="B480" s="7"/>
      <c r="C480" s="7"/>
      <c r="D480" s="7"/>
      <c r="E480" s="7"/>
      <c r="F480" s="7"/>
      <c r="G480" s="7"/>
      <c r="H480" s="7"/>
      <c r="I480" s="7"/>
      <c r="J480" s="8"/>
      <c r="K480" s="9"/>
    </row>
    <row r="481">
      <c r="A481" s="6"/>
      <c r="B481" s="7"/>
      <c r="C481" s="7"/>
      <c r="D481" s="7"/>
      <c r="E481" s="7"/>
      <c r="F481" s="7"/>
      <c r="G481" s="7"/>
      <c r="H481" s="7"/>
      <c r="I481" s="7"/>
      <c r="J481" s="8"/>
      <c r="K481" s="9"/>
    </row>
    <row r="482">
      <c r="A482" s="6"/>
      <c r="B482" s="7"/>
      <c r="C482" s="7"/>
      <c r="D482" s="7"/>
      <c r="E482" s="7"/>
      <c r="F482" s="7"/>
      <c r="G482" s="7"/>
      <c r="H482" s="7"/>
      <c r="I482" s="7"/>
      <c r="J482" s="8"/>
      <c r="K482" s="9"/>
    </row>
    <row r="483">
      <c r="A483" s="6"/>
      <c r="B483" s="7"/>
      <c r="C483" s="7"/>
      <c r="D483" s="7"/>
      <c r="E483" s="7"/>
      <c r="F483" s="7"/>
      <c r="G483" s="7"/>
      <c r="H483" s="7"/>
      <c r="I483" s="7"/>
      <c r="J483" s="8"/>
      <c r="K483" s="9"/>
    </row>
    <row r="484">
      <c r="A484" s="6"/>
      <c r="B484" s="7"/>
      <c r="C484" s="7"/>
      <c r="D484" s="7"/>
      <c r="E484" s="7"/>
      <c r="F484" s="7"/>
      <c r="G484" s="7"/>
      <c r="H484" s="7"/>
      <c r="I484" s="7"/>
      <c r="J484" s="8"/>
      <c r="K484" s="9"/>
    </row>
    <row r="485">
      <c r="A485" s="6"/>
      <c r="B485" s="7"/>
      <c r="C485" s="7"/>
      <c r="D485" s="7"/>
      <c r="E485" s="7"/>
      <c r="F485" s="7"/>
      <c r="G485" s="7"/>
      <c r="H485" s="7"/>
      <c r="I485" s="7"/>
      <c r="J485" s="8"/>
      <c r="K485" s="9"/>
    </row>
    <row r="486">
      <c r="A486" s="6"/>
      <c r="B486" s="7"/>
      <c r="C486" s="7"/>
      <c r="D486" s="7"/>
      <c r="E486" s="7"/>
      <c r="F486" s="7"/>
      <c r="G486" s="7"/>
      <c r="H486" s="7"/>
      <c r="I486" s="7"/>
      <c r="J486" s="8"/>
      <c r="K486" s="9"/>
    </row>
    <row r="487">
      <c r="A487" s="6"/>
      <c r="B487" s="7"/>
      <c r="C487" s="7"/>
      <c r="D487" s="7"/>
      <c r="E487" s="7"/>
      <c r="F487" s="7"/>
      <c r="G487" s="7"/>
      <c r="H487" s="7"/>
      <c r="I487" s="7"/>
      <c r="J487" s="8"/>
      <c r="K487" s="9"/>
    </row>
    <row r="488">
      <c r="A488" s="6"/>
      <c r="B488" s="7"/>
      <c r="C488" s="7"/>
      <c r="D488" s="7"/>
      <c r="E488" s="7"/>
      <c r="F488" s="7"/>
      <c r="G488" s="7"/>
      <c r="H488" s="7"/>
      <c r="I488" s="7"/>
      <c r="J488" s="8"/>
      <c r="K488" s="9"/>
    </row>
    <row r="489">
      <c r="A489" s="6"/>
      <c r="B489" s="7"/>
      <c r="C489" s="7"/>
      <c r="D489" s="7"/>
      <c r="E489" s="7"/>
      <c r="F489" s="7"/>
      <c r="G489" s="7"/>
      <c r="H489" s="7"/>
      <c r="I489" s="7"/>
      <c r="J489" s="8"/>
      <c r="K489" s="9"/>
    </row>
    <row r="490">
      <c r="A490" s="6"/>
      <c r="B490" s="7"/>
      <c r="C490" s="7"/>
      <c r="D490" s="7"/>
      <c r="E490" s="7"/>
      <c r="F490" s="7"/>
      <c r="G490" s="7"/>
      <c r="H490" s="7"/>
      <c r="I490" s="7"/>
      <c r="J490" s="8"/>
      <c r="K490" s="9"/>
    </row>
    <row r="491">
      <c r="A491" s="6"/>
      <c r="B491" s="7"/>
      <c r="C491" s="7"/>
      <c r="D491" s="7"/>
      <c r="E491" s="7"/>
      <c r="F491" s="7"/>
      <c r="G491" s="7"/>
      <c r="H491" s="7"/>
      <c r="I491" s="7"/>
      <c r="J491" s="8"/>
      <c r="K491" s="9"/>
    </row>
    <row r="492">
      <c r="A492" s="6"/>
      <c r="B492" s="7"/>
      <c r="C492" s="7"/>
      <c r="D492" s="7"/>
      <c r="E492" s="7"/>
      <c r="F492" s="7"/>
      <c r="G492" s="7"/>
      <c r="H492" s="7"/>
      <c r="I492" s="7"/>
      <c r="J492" s="8"/>
      <c r="K492" s="9"/>
    </row>
    <row r="493">
      <c r="A493" s="6"/>
      <c r="B493" s="7"/>
      <c r="C493" s="7"/>
      <c r="D493" s="7"/>
      <c r="E493" s="7"/>
      <c r="F493" s="7"/>
      <c r="G493" s="7"/>
      <c r="H493" s="7"/>
      <c r="I493" s="7"/>
      <c r="J493" s="8"/>
      <c r="K493" s="9"/>
    </row>
    <row r="494">
      <c r="A494" s="6"/>
      <c r="B494" s="7"/>
      <c r="C494" s="7"/>
      <c r="D494" s="7"/>
      <c r="E494" s="7"/>
      <c r="F494" s="7"/>
      <c r="G494" s="7"/>
      <c r="H494" s="7"/>
      <c r="I494" s="7"/>
      <c r="J494" s="8"/>
      <c r="K494" s="9"/>
    </row>
    <row r="495">
      <c r="A495" s="6"/>
      <c r="B495" s="7"/>
      <c r="C495" s="7"/>
      <c r="D495" s="7"/>
      <c r="E495" s="7"/>
      <c r="F495" s="7"/>
      <c r="G495" s="7"/>
      <c r="H495" s="7"/>
      <c r="I495" s="7"/>
      <c r="J495" s="8"/>
      <c r="K495" s="9"/>
    </row>
    <row r="496">
      <c r="A496" s="6"/>
      <c r="B496" s="7"/>
      <c r="C496" s="7"/>
      <c r="D496" s="7"/>
      <c r="E496" s="7"/>
      <c r="F496" s="7"/>
      <c r="G496" s="7"/>
      <c r="H496" s="7"/>
      <c r="I496" s="7"/>
      <c r="J496" s="8"/>
      <c r="K496" s="9"/>
    </row>
    <row r="497">
      <c r="A497" s="6"/>
      <c r="B497" s="7"/>
      <c r="C497" s="7"/>
      <c r="D497" s="7"/>
      <c r="E497" s="7"/>
      <c r="F497" s="7"/>
      <c r="G497" s="7"/>
      <c r="H497" s="7"/>
      <c r="I497" s="7"/>
      <c r="J497" s="8"/>
      <c r="K497" s="9"/>
    </row>
    <row r="498">
      <c r="A498" s="6"/>
      <c r="B498" s="7"/>
      <c r="C498" s="7"/>
      <c r="D498" s="7"/>
      <c r="E498" s="7"/>
      <c r="F498" s="7"/>
      <c r="G498" s="7"/>
      <c r="H498" s="7"/>
      <c r="I498" s="7"/>
      <c r="J498" s="8"/>
      <c r="K498" s="9"/>
    </row>
    <row r="499">
      <c r="A499" s="6"/>
      <c r="B499" s="7"/>
      <c r="C499" s="7"/>
      <c r="D499" s="7"/>
      <c r="E499" s="7"/>
      <c r="F499" s="7"/>
      <c r="G499" s="7"/>
      <c r="H499" s="7"/>
      <c r="I499" s="7"/>
      <c r="J499" s="8"/>
      <c r="K499" s="9"/>
    </row>
    <row r="500">
      <c r="A500" s="6"/>
      <c r="B500" s="7"/>
      <c r="C500" s="7"/>
      <c r="D500" s="7"/>
      <c r="E500" s="7"/>
      <c r="F500" s="7"/>
      <c r="G500" s="7"/>
      <c r="H500" s="7"/>
      <c r="I500" s="7"/>
      <c r="J500" s="8"/>
      <c r="K500" s="9"/>
    </row>
    <row r="501">
      <c r="A501" s="6"/>
      <c r="B501" s="7"/>
      <c r="C501" s="7"/>
      <c r="D501" s="7"/>
      <c r="E501" s="7"/>
      <c r="F501" s="7"/>
      <c r="G501" s="7"/>
      <c r="H501" s="7"/>
      <c r="I501" s="7"/>
      <c r="J501" s="8"/>
      <c r="K501" s="9"/>
    </row>
    <row r="502">
      <c r="A502" s="6"/>
      <c r="B502" s="7"/>
      <c r="C502" s="7"/>
      <c r="D502" s="7"/>
      <c r="E502" s="7"/>
      <c r="F502" s="7"/>
      <c r="G502" s="7"/>
      <c r="H502" s="7"/>
      <c r="I502" s="7"/>
      <c r="J502" s="8"/>
      <c r="K502" s="9"/>
    </row>
    <row r="503">
      <c r="A503" s="6"/>
      <c r="B503" s="7"/>
      <c r="C503" s="7"/>
      <c r="D503" s="7"/>
      <c r="E503" s="7"/>
      <c r="F503" s="7"/>
      <c r="G503" s="7"/>
      <c r="H503" s="7"/>
      <c r="I503" s="7"/>
      <c r="J503" s="8"/>
      <c r="K503" s="9"/>
    </row>
    <row r="504">
      <c r="A504" s="6"/>
      <c r="B504" s="7"/>
      <c r="C504" s="7"/>
      <c r="D504" s="7"/>
      <c r="E504" s="7"/>
      <c r="F504" s="7"/>
      <c r="G504" s="7"/>
      <c r="H504" s="7"/>
      <c r="I504" s="7"/>
      <c r="J504" s="8"/>
      <c r="K504" s="9"/>
    </row>
    <row r="505">
      <c r="A505" s="6"/>
      <c r="B505" s="7"/>
      <c r="C505" s="7"/>
      <c r="D505" s="7"/>
      <c r="E505" s="7"/>
      <c r="F505" s="7"/>
      <c r="G505" s="7"/>
      <c r="H505" s="7"/>
      <c r="I505" s="7"/>
      <c r="J505" s="8"/>
      <c r="K505" s="9"/>
    </row>
    <row r="506">
      <c r="A506" s="6"/>
      <c r="B506" s="7"/>
      <c r="C506" s="7"/>
      <c r="D506" s="7"/>
      <c r="E506" s="7"/>
      <c r="F506" s="7"/>
      <c r="G506" s="7"/>
      <c r="H506" s="7"/>
      <c r="I506" s="7"/>
      <c r="J506" s="8"/>
      <c r="K506" s="9"/>
    </row>
    <row r="507">
      <c r="A507" s="6"/>
      <c r="B507" s="7"/>
      <c r="C507" s="7"/>
      <c r="D507" s="7"/>
      <c r="E507" s="7"/>
      <c r="F507" s="7"/>
      <c r="G507" s="7"/>
      <c r="H507" s="7"/>
      <c r="I507" s="7"/>
      <c r="J507" s="8"/>
      <c r="K507" s="9"/>
    </row>
    <row r="508">
      <c r="A508" s="6"/>
      <c r="B508" s="7"/>
      <c r="C508" s="7"/>
      <c r="D508" s="7"/>
      <c r="E508" s="7"/>
      <c r="F508" s="7"/>
      <c r="G508" s="7"/>
      <c r="H508" s="7"/>
      <c r="I508" s="7"/>
      <c r="J508" s="8"/>
      <c r="K508" s="9"/>
    </row>
    <row r="509">
      <c r="A509" s="6"/>
      <c r="B509" s="7"/>
      <c r="C509" s="7"/>
      <c r="D509" s="7"/>
      <c r="E509" s="7"/>
      <c r="F509" s="7"/>
      <c r="G509" s="7"/>
      <c r="H509" s="7"/>
      <c r="I509" s="7"/>
      <c r="J509" s="8"/>
      <c r="K509" s="9"/>
    </row>
    <row r="510">
      <c r="A510" s="6"/>
      <c r="B510" s="7"/>
      <c r="C510" s="7"/>
      <c r="D510" s="7"/>
      <c r="E510" s="7"/>
      <c r="F510" s="7"/>
      <c r="G510" s="7"/>
      <c r="H510" s="7"/>
      <c r="I510" s="7"/>
      <c r="J510" s="8"/>
      <c r="K510" s="9"/>
    </row>
    <row r="511">
      <c r="A511" s="6"/>
      <c r="B511" s="7"/>
      <c r="C511" s="7"/>
      <c r="D511" s="7"/>
      <c r="E511" s="7"/>
      <c r="F511" s="7"/>
      <c r="G511" s="7"/>
      <c r="H511" s="7"/>
      <c r="I511" s="7"/>
      <c r="J511" s="8"/>
      <c r="K511" s="9"/>
    </row>
    <row r="512">
      <c r="A512" s="6"/>
      <c r="B512" s="7"/>
      <c r="C512" s="7"/>
      <c r="D512" s="7"/>
      <c r="E512" s="7"/>
      <c r="F512" s="7"/>
      <c r="G512" s="7"/>
      <c r="H512" s="7"/>
      <c r="I512" s="7"/>
      <c r="J512" s="8"/>
      <c r="K512" s="9"/>
    </row>
    <row r="513">
      <c r="A513" s="6"/>
      <c r="B513" s="7"/>
      <c r="C513" s="7"/>
      <c r="D513" s="7"/>
      <c r="E513" s="7"/>
      <c r="F513" s="7"/>
      <c r="G513" s="7"/>
      <c r="H513" s="7"/>
      <c r="I513" s="7"/>
      <c r="J513" s="8"/>
      <c r="K513" s="9"/>
    </row>
    <row r="514">
      <c r="A514" s="6"/>
      <c r="B514" s="7"/>
      <c r="C514" s="7"/>
      <c r="D514" s="7"/>
      <c r="E514" s="7"/>
      <c r="F514" s="7"/>
      <c r="G514" s="7"/>
      <c r="H514" s="7"/>
      <c r="I514" s="7"/>
      <c r="J514" s="8"/>
      <c r="K514" s="9"/>
    </row>
    <row r="515">
      <c r="A515" s="6"/>
      <c r="B515" s="7"/>
      <c r="C515" s="7"/>
      <c r="D515" s="7"/>
      <c r="E515" s="7"/>
      <c r="F515" s="7"/>
      <c r="G515" s="7"/>
      <c r="H515" s="7"/>
      <c r="I515" s="7"/>
      <c r="J515" s="8"/>
      <c r="K515" s="9"/>
    </row>
    <row r="516">
      <c r="A516" s="6"/>
      <c r="B516" s="7"/>
      <c r="C516" s="7"/>
      <c r="D516" s="7"/>
      <c r="E516" s="7"/>
      <c r="F516" s="7"/>
      <c r="G516" s="7"/>
      <c r="H516" s="7"/>
      <c r="I516" s="7"/>
      <c r="J516" s="8"/>
      <c r="K516" s="9"/>
    </row>
    <row r="517">
      <c r="A517" s="6"/>
      <c r="B517" s="7"/>
      <c r="C517" s="7"/>
      <c r="D517" s="7"/>
      <c r="E517" s="7"/>
      <c r="F517" s="7"/>
      <c r="G517" s="7"/>
      <c r="H517" s="7"/>
      <c r="I517" s="7"/>
      <c r="J517" s="8"/>
      <c r="K517" s="9"/>
    </row>
    <row r="518">
      <c r="A518" s="6"/>
      <c r="B518" s="7"/>
      <c r="C518" s="7"/>
      <c r="D518" s="7"/>
      <c r="E518" s="7"/>
      <c r="F518" s="7"/>
      <c r="G518" s="7"/>
      <c r="H518" s="7"/>
      <c r="I518" s="7"/>
      <c r="J518" s="8"/>
      <c r="K518" s="9"/>
    </row>
    <row r="519">
      <c r="A519" s="6"/>
      <c r="B519" s="7"/>
      <c r="C519" s="7"/>
      <c r="D519" s="7"/>
      <c r="E519" s="7"/>
      <c r="F519" s="7"/>
      <c r="G519" s="7"/>
      <c r="H519" s="7"/>
      <c r="I519" s="7"/>
      <c r="J519" s="8"/>
      <c r="K519" s="9"/>
    </row>
    <row r="520">
      <c r="A520" s="6"/>
      <c r="B520" s="7"/>
      <c r="C520" s="7"/>
      <c r="D520" s="7"/>
      <c r="E520" s="7"/>
      <c r="F520" s="7"/>
      <c r="G520" s="7"/>
      <c r="H520" s="7"/>
      <c r="I520" s="7"/>
      <c r="J520" s="8"/>
      <c r="K520" s="9"/>
    </row>
    <row r="521">
      <c r="A521" s="6"/>
      <c r="B521" s="7"/>
      <c r="C521" s="7"/>
      <c r="D521" s="7"/>
      <c r="E521" s="7"/>
      <c r="F521" s="7"/>
      <c r="G521" s="7"/>
      <c r="H521" s="7"/>
      <c r="I521" s="7"/>
      <c r="J521" s="8"/>
      <c r="K521" s="9"/>
    </row>
    <row r="522">
      <c r="A522" s="6"/>
      <c r="B522" s="7"/>
      <c r="C522" s="7"/>
      <c r="D522" s="7"/>
      <c r="E522" s="7"/>
      <c r="F522" s="7"/>
      <c r="G522" s="7"/>
      <c r="H522" s="7"/>
      <c r="I522" s="7"/>
      <c r="J522" s="8"/>
      <c r="K522" s="9"/>
    </row>
    <row r="523">
      <c r="A523" s="6"/>
      <c r="B523" s="7"/>
      <c r="C523" s="7"/>
      <c r="D523" s="7"/>
      <c r="E523" s="7"/>
      <c r="F523" s="7"/>
      <c r="G523" s="7"/>
      <c r="H523" s="7"/>
      <c r="I523" s="7"/>
      <c r="J523" s="8"/>
      <c r="K523" s="9"/>
    </row>
    <row r="524">
      <c r="A524" s="6"/>
      <c r="B524" s="7"/>
      <c r="C524" s="7"/>
      <c r="D524" s="7"/>
      <c r="E524" s="7"/>
      <c r="F524" s="7"/>
      <c r="G524" s="7"/>
      <c r="H524" s="7"/>
      <c r="I524" s="7"/>
      <c r="J524" s="8"/>
      <c r="K524" s="9"/>
    </row>
    <row r="525">
      <c r="A525" s="6"/>
      <c r="B525" s="7"/>
      <c r="C525" s="7"/>
      <c r="D525" s="7"/>
      <c r="E525" s="7"/>
      <c r="F525" s="7"/>
      <c r="G525" s="7"/>
      <c r="H525" s="7"/>
      <c r="I525" s="7"/>
      <c r="J525" s="8"/>
      <c r="K525" s="9"/>
    </row>
    <row r="526">
      <c r="A526" s="6"/>
      <c r="B526" s="7"/>
      <c r="C526" s="7"/>
      <c r="D526" s="7"/>
      <c r="E526" s="7"/>
      <c r="F526" s="7"/>
      <c r="G526" s="7"/>
      <c r="H526" s="7"/>
      <c r="I526" s="7"/>
      <c r="J526" s="8"/>
      <c r="K526" s="9"/>
    </row>
    <row r="527">
      <c r="A527" s="6"/>
      <c r="B527" s="7"/>
      <c r="C527" s="7"/>
      <c r="D527" s="7"/>
      <c r="E527" s="7"/>
      <c r="F527" s="7"/>
      <c r="G527" s="7"/>
      <c r="H527" s="7"/>
      <c r="I527" s="7"/>
      <c r="J527" s="8"/>
      <c r="K527" s="9"/>
    </row>
    <row r="528">
      <c r="A528" s="6"/>
      <c r="B528" s="7"/>
      <c r="C528" s="7"/>
      <c r="D528" s="7"/>
      <c r="E528" s="7"/>
      <c r="F528" s="7"/>
      <c r="G528" s="7"/>
      <c r="H528" s="7"/>
      <c r="I528" s="7"/>
      <c r="J528" s="8"/>
      <c r="K528" s="9"/>
    </row>
    <row r="529">
      <c r="A529" s="6"/>
      <c r="B529" s="7"/>
      <c r="C529" s="7"/>
      <c r="D529" s="7"/>
      <c r="E529" s="7"/>
      <c r="F529" s="7"/>
      <c r="G529" s="7"/>
      <c r="H529" s="7"/>
      <c r="I529" s="7"/>
      <c r="J529" s="8"/>
      <c r="K529" s="9"/>
    </row>
    <row r="530">
      <c r="A530" s="6"/>
      <c r="B530" s="7"/>
      <c r="C530" s="7"/>
      <c r="D530" s="7"/>
      <c r="E530" s="7"/>
      <c r="F530" s="7"/>
      <c r="G530" s="7"/>
      <c r="H530" s="7"/>
      <c r="I530" s="7"/>
      <c r="J530" s="8"/>
      <c r="K530" s="9"/>
    </row>
    <row r="531">
      <c r="A531" s="6"/>
      <c r="B531" s="7"/>
      <c r="C531" s="7"/>
      <c r="D531" s="7"/>
      <c r="E531" s="7"/>
      <c r="F531" s="7"/>
      <c r="G531" s="7"/>
      <c r="H531" s="7"/>
      <c r="I531" s="7"/>
      <c r="J531" s="8"/>
      <c r="K531" s="9"/>
    </row>
    <row r="532">
      <c r="A532" s="6"/>
      <c r="B532" s="7"/>
      <c r="C532" s="7"/>
      <c r="D532" s="7"/>
      <c r="E532" s="7"/>
      <c r="F532" s="7"/>
      <c r="G532" s="7"/>
      <c r="H532" s="7"/>
      <c r="I532" s="7"/>
      <c r="J532" s="8"/>
      <c r="K532" s="9"/>
    </row>
    <row r="533">
      <c r="A533" s="6"/>
      <c r="B533" s="7"/>
      <c r="C533" s="7"/>
      <c r="D533" s="7"/>
      <c r="E533" s="7"/>
      <c r="F533" s="7"/>
      <c r="G533" s="7"/>
      <c r="H533" s="7"/>
      <c r="I533" s="7"/>
      <c r="J533" s="8"/>
      <c r="K533" s="9"/>
    </row>
    <row r="534">
      <c r="A534" s="6"/>
      <c r="B534" s="7"/>
      <c r="C534" s="7"/>
      <c r="D534" s="7"/>
      <c r="E534" s="7"/>
      <c r="F534" s="7"/>
      <c r="G534" s="7"/>
      <c r="H534" s="7"/>
      <c r="I534" s="7"/>
      <c r="J534" s="8"/>
      <c r="K534" s="9"/>
    </row>
    <row r="535">
      <c r="A535" s="6"/>
      <c r="B535" s="7"/>
      <c r="C535" s="7"/>
      <c r="D535" s="7"/>
      <c r="E535" s="7"/>
      <c r="F535" s="7"/>
      <c r="G535" s="7"/>
      <c r="H535" s="7"/>
      <c r="I535" s="7"/>
      <c r="J535" s="8"/>
      <c r="K535" s="9"/>
    </row>
    <row r="536">
      <c r="A536" s="6"/>
      <c r="B536" s="7"/>
      <c r="C536" s="7"/>
      <c r="D536" s="7"/>
      <c r="E536" s="7"/>
      <c r="F536" s="7"/>
      <c r="G536" s="7"/>
      <c r="H536" s="7"/>
      <c r="I536" s="7"/>
      <c r="J536" s="8"/>
      <c r="K536" s="9"/>
    </row>
    <row r="537">
      <c r="A537" s="6"/>
      <c r="B537" s="7"/>
      <c r="C537" s="7"/>
      <c r="D537" s="7"/>
      <c r="E537" s="7"/>
      <c r="F537" s="7"/>
      <c r="G537" s="7"/>
      <c r="H537" s="7"/>
      <c r="I537" s="7"/>
      <c r="J537" s="8"/>
      <c r="K537" s="9"/>
    </row>
    <row r="538">
      <c r="A538" s="6"/>
      <c r="B538" s="7"/>
      <c r="C538" s="7"/>
      <c r="D538" s="7"/>
      <c r="E538" s="7"/>
      <c r="F538" s="7"/>
      <c r="G538" s="7"/>
      <c r="H538" s="7"/>
      <c r="I538" s="7"/>
      <c r="J538" s="8"/>
      <c r="K538" s="9"/>
    </row>
    <row r="539">
      <c r="A539" s="6"/>
      <c r="B539" s="7"/>
      <c r="C539" s="7"/>
      <c r="D539" s="7"/>
      <c r="E539" s="7"/>
      <c r="F539" s="7"/>
      <c r="G539" s="7"/>
      <c r="H539" s="7"/>
      <c r="I539" s="7"/>
      <c r="J539" s="8"/>
      <c r="K539" s="9"/>
    </row>
    <row r="540">
      <c r="A540" s="6"/>
      <c r="B540" s="7"/>
      <c r="C540" s="7"/>
      <c r="D540" s="7"/>
      <c r="E540" s="7"/>
      <c r="F540" s="7"/>
      <c r="G540" s="7"/>
      <c r="H540" s="7"/>
      <c r="I540" s="7"/>
      <c r="J540" s="8"/>
      <c r="K540" s="9"/>
    </row>
    <row r="541">
      <c r="A541" s="6"/>
      <c r="B541" s="7"/>
      <c r="C541" s="7"/>
      <c r="D541" s="7"/>
      <c r="E541" s="7"/>
      <c r="F541" s="7"/>
      <c r="G541" s="7"/>
      <c r="H541" s="7"/>
      <c r="I541" s="7"/>
      <c r="J541" s="8"/>
      <c r="K541" s="9"/>
    </row>
    <row r="542">
      <c r="A542" s="6"/>
      <c r="B542" s="7"/>
      <c r="C542" s="7"/>
      <c r="D542" s="7"/>
      <c r="E542" s="7"/>
      <c r="F542" s="7"/>
      <c r="G542" s="7"/>
      <c r="H542" s="7"/>
      <c r="I542" s="7"/>
      <c r="J542" s="8"/>
      <c r="K542" s="9"/>
    </row>
    <row r="543">
      <c r="A543" s="6"/>
      <c r="B543" s="7"/>
      <c r="C543" s="7"/>
      <c r="D543" s="7"/>
      <c r="E543" s="7"/>
      <c r="F543" s="7"/>
      <c r="G543" s="7"/>
      <c r="H543" s="7"/>
      <c r="I543" s="7"/>
      <c r="J543" s="8"/>
      <c r="K543" s="9"/>
    </row>
    <row r="544">
      <c r="A544" s="6"/>
      <c r="B544" s="7"/>
      <c r="C544" s="7"/>
      <c r="D544" s="7"/>
      <c r="E544" s="7"/>
      <c r="F544" s="7"/>
      <c r="G544" s="7"/>
      <c r="H544" s="7"/>
      <c r="I544" s="7"/>
      <c r="J544" s="8"/>
      <c r="K544" s="9"/>
    </row>
    <row r="545">
      <c r="A545" s="6"/>
      <c r="B545" s="7"/>
      <c r="C545" s="7"/>
      <c r="D545" s="7"/>
      <c r="E545" s="7"/>
      <c r="F545" s="7"/>
      <c r="G545" s="7"/>
      <c r="H545" s="7"/>
      <c r="I545" s="7"/>
      <c r="J545" s="8"/>
      <c r="K545" s="9"/>
    </row>
    <row r="546">
      <c r="A546" s="6"/>
      <c r="B546" s="7"/>
      <c r="C546" s="7"/>
      <c r="D546" s="7"/>
      <c r="E546" s="7"/>
      <c r="F546" s="7"/>
      <c r="G546" s="7"/>
      <c r="H546" s="7"/>
      <c r="I546" s="7"/>
      <c r="J546" s="8"/>
      <c r="K546" s="9"/>
    </row>
    <row r="547">
      <c r="A547" s="6"/>
      <c r="B547" s="7"/>
      <c r="C547" s="7"/>
      <c r="D547" s="7"/>
      <c r="E547" s="7"/>
      <c r="F547" s="7"/>
      <c r="G547" s="7"/>
      <c r="H547" s="7"/>
      <c r="I547" s="7"/>
      <c r="J547" s="8"/>
      <c r="K547" s="9"/>
    </row>
    <row r="548">
      <c r="A548" s="6"/>
      <c r="B548" s="7"/>
      <c r="C548" s="7"/>
      <c r="D548" s="7"/>
      <c r="E548" s="7"/>
      <c r="F548" s="7"/>
      <c r="G548" s="7"/>
      <c r="H548" s="7"/>
      <c r="I548" s="7"/>
      <c r="J548" s="8"/>
      <c r="K548" s="9"/>
    </row>
    <row r="549">
      <c r="A549" s="6"/>
      <c r="B549" s="7"/>
      <c r="C549" s="7"/>
      <c r="D549" s="7"/>
      <c r="E549" s="7"/>
      <c r="F549" s="7"/>
      <c r="G549" s="7"/>
      <c r="H549" s="7"/>
      <c r="I549" s="7"/>
      <c r="J549" s="8"/>
      <c r="K549" s="9"/>
    </row>
    <row r="550">
      <c r="A550" s="6"/>
      <c r="B550" s="7"/>
      <c r="C550" s="7"/>
      <c r="D550" s="7"/>
      <c r="E550" s="7"/>
      <c r="F550" s="7"/>
      <c r="G550" s="7"/>
      <c r="H550" s="7"/>
      <c r="I550" s="7"/>
      <c r="J550" s="8"/>
      <c r="K550" s="9"/>
    </row>
    <row r="551">
      <c r="A551" s="6"/>
      <c r="B551" s="7"/>
      <c r="C551" s="7"/>
      <c r="D551" s="7"/>
      <c r="E551" s="7"/>
      <c r="F551" s="7"/>
      <c r="G551" s="7"/>
      <c r="H551" s="7"/>
      <c r="I551" s="7"/>
      <c r="J551" s="8"/>
      <c r="K551" s="9"/>
    </row>
    <row r="552">
      <c r="A552" s="6"/>
      <c r="B552" s="7"/>
      <c r="C552" s="7"/>
      <c r="D552" s="7"/>
      <c r="E552" s="7"/>
      <c r="F552" s="7"/>
      <c r="G552" s="7"/>
      <c r="H552" s="7"/>
      <c r="I552" s="7"/>
      <c r="J552" s="8"/>
      <c r="K552" s="9"/>
    </row>
    <row r="553">
      <c r="A553" s="6"/>
      <c r="B553" s="7"/>
      <c r="C553" s="7"/>
      <c r="D553" s="7"/>
      <c r="E553" s="7"/>
      <c r="F553" s="7"/>
      <c r="G553" s="7"/>
      <c r="H553" s="7"/>
      <c r="I553" s="7"/>
      <c r="J553" s="8"/>
      <c r="K553" s="9"/>
    </row>
    <row r="554">
      <c r="A554" s="6"/>
      <c r="B554" s="7"/>
      <c r="C554" s="7"/>
      <c r="D554" s="7"/>
      <c r="E554" s="7"/>
      <c r="F554" s="7"/>
      <c r="G554" s="7"/>
      <c r="H554" s="7"/>
      <c r="I554" s="7"/>
      <c r="J554" s="8"/>
      <c r="K554" s="9"/>
    </row>
    <row r="555">
      <c r="A555" s="6"/>
      <c r="B555" s="7"/>
      <c r="C555" s="7"/>
      <c r="D555" s="7"/>
      <c r="E555" s="7"/>
      <c r="F555" s="7"/>
      <c r="G555" s="7"/>
      <c r="H555" s="7"/>
      <c r="I555" s="7"/>
      <c r="J555" s="8"/>
      <c r="K555" s="9"/>
    </row>
    <row r="556">
      <c r="A556" s="6"/>
      <c r="B556" s="7"/>
      <c r="C556" s="7"/>
      <c r="D556" s="7"/>
      <c r="E556" s="7"/>
      <c r="F556" s="7"/>
      <c r="G556" s="7"/>
      <c r="H556" s="7"/>
      <c r="I556" s="7"/>
      <c r="J556" s="8"/>
      <c r="K556" s="9"/>
    </row>
    <row r="557">
      <c r="A557" s="6"/>
      <c r="B557" s="7"/>
      <c r="C557" s="7"/>
      <c r="D557" s="7"/>
      <c r="E557" s="7"/>
      <c r="F557" s="7"/>
      <c r="G557" s="7"/>
      <c r="H557" s="7"/>
      <c r="I557" s="7"/>
      <c r="J557" s="8"/>
      <c r="K557" s="9"/>
    </row>
    <row r="558">
      <c r="A558" s="6"/>
      <c r="B558" s="7"/>
      <c r="C558" s="7"/>
      <c r="D558" s="7"/>
      <c r="E558" s="7"/>
      <c r="F558" s="7"/>
      <c r="G558" s="7"/>
      <c r="H558" s="7"/>
      <c r="I558" s="7"/>
      <c r="J558" s="8"/>
      <c r="K558" s="9"/>
    </row>
    <row r="559">
      <c r="A559" s="6"/>
      <c r="B559" s="7"/>
      <c r="C559" s="7"/>
      <c r="D559" s="7"/>
      <c r="E559" s="7"/>
      <c r="F559" s="7"/>
      <c r="G559" s="7"/>
      <c r="H559" s="7"/>
      <c r="I559" s="7"/>
      <c r="J559" s="8"/>
      <c r="K559" s="9"/>
    </row>
    <row r="560">
      <c r="A560" s="6"/>
      <c r="B560" s="7"/>
      <c r="C560" s="7"/>
      <c r="D560" s="7"/>
      <c r="E560" s="7"/>
      <c r="F560" s="7"/>
      <c r="G560" s="7"/>
      <c r="H560" s="7"/>
      <c r="I560" s="7"/>
      <c r="J560" s="8"/>
      <c r="K560" s="9"/>
    </row>
    <row r="561">
      <c r="A561" s="6"/>
      <c r="B561" s="7"/>
      <c r="C561" s="7"/>
      <c r="D561" s="7"/>
      <c r="E561" s="7"/>
      <c r="F561" s="7"/>
      <c r="G561" s="7"/>
      <c r="H561" s="7"/>
      <c r="I561" s="7"/>
      <c r="J561" s="8"/>
      <c r="K561" s="9"/>
    </row>
    <row r="562">
      <c r="A562" s="6"/>
      <c r="B562" s="7"/>
      <c r="C562" s="7"/>
      <c r="D562" s="7"/>
      <c r="E562" s="7"/>
      <c r="F562" s="7"/>
      <c r="G562" s="7"/>
      <c r="H562" s="7"/>
      <c r="I562" s="7"/>
      <c r="J562" s="8"/>
      <c r="K562" s="9"/>
    </row>
    <row r="563">
      <c r="A563" s="6"/>
      <c r="B563" s="7"/>
      <c r="C563" s="7"/>
      <c r="D563" s="7"/>
      <c r="E563" s="7"/>
      <c r="F563" s="7"/>
      <c r="G563" s="7"/>
      <c r="H563" s="7"/>
      <c r="I563" s="7"/>
      <c r="J563" s="8"/>
      <c r="K563" s="9"/>
    </row>
    <row r="564">
      <c r="A564" s="6"/>
      <c r="B564" s="7"/>
      <c r="C564" s="7"/>
      <c r="D564" s="7"/>
      <c r="E564" s="7"/>
      <c r="F564" s="7"/>
      <c r="G564" s="7"/>
      <c r="H564" s="7"/>
      <c r="I564" s="7"/>
      <c r="J564" s="8"/>
      <c r="K564" s="9"/>
    </row>
    <row r="565">
      <c r="A565" s="6"/>
      <c r="B565" s="7"/>
      <c r="C565" s="7"/>
      <c r="D565" s="7"/>
      <c r="E565" s="7"/>
      <c r="F565" s="7"/>
      <c r="G565" s="7"/>
      <c r="H565" s="7"/>
      <c r="I565" s="7"/>
      <c r="J565" s="8"/>
      <c r="K565" s="9"/>
    </row>
    <row r="566">
      <c r="A566" s="6"/>
      <c r="B566" s="7"/>
      <c r="C566" s="7"/>
      <c r="D566" s="7"/>
      <c r="E566" s="7"/>
      <c r="F566" s="7"/>
      <c r="G566" s="7"/>
      <c r="H566" s="7"/>
      <c r="I566" s="7"/>
      <c r="J566" s="8"/>
      <c r="K566" s="9"/>
    </row>
    <row r="567">
      <c r="A567" s="6"/>
      <c r="B567" s="7"/>
      <c r="C567" s="7"/>
      <c r="D567" s="7"/>
      <c r="E567" s="7"/>
      <c r="F567" s="7"/>
      <c r="G567" s="7"/>
      <c r="H567" s="7"/>
      <c r="I567" s="7"/>
      <c r="J567" s="8"/>
      <c r="K567" s="9"/>
    </row>
    <row r="568">
      <c r="A568" s="6"/>
      <c r="B568" s="7"/>
      <c r="C568" s="7"/>
      <c r="D568" s="7"/>
      <c r="E568" s="7"/>
      <c r="F568" s="7"/>
      <c r="G568" s="7"/>
      <c r="H568" s="7"/>
      <c r="I568" s="7"/>
      <c r="J568" s="8"/>
      <c r="K568" s="9"/>
    </row>
    <row r="569">
      <c r="A569" s="6"/>
      <c r="B569" s="7"/>
      <c r="C569" s="7"/>
      <c r="D569" s="7"/>
      <c r="E569" s="7"/>
      <c r="F569" s="7"/>
      <c r="G569" s="7"/>
      <c r="H569" s="7"/>
      <c r="I569" s="7"/>
      <c r="J569" s="8"/>
      <c r="K569" s="9"/>
    </row>
    <row r="570">
      <c r="A570" s="6"/>
      <c r="B570" s="7"/>
      <c r="C570" s="7"/>
      <c r="D570" s="7"/>
      <c r="E570" s="7"/>
      <c r="F570" s="7"/>
      <c r="G570" s="7"/>
      <c r="H570" s="7"/>
      <c r="I570" s="7"/>
      <c r="J570" s="8"/>
      <c r="K570" s="9"/>
    </row>
    <row r="571">
      <c r="A571" s="6"/>
      <c r="B571" s="7"/>
      <c r="C571" s="7"/>
      <c r="D571" s="7"/>
      <c r="E571" s="7"/>
      <c r="F571" s="7"/>
      <c r="G571" s="7"/>
      <c r="H571" s="7"/>
      <c r="I571" s="7"/>
      <c r="J571" s="8"/>
      <c r="K571" s="9"/>
    </row>
    <row r="572">
      <c r="A572" s="6"/>
      <c r="B572" s="7"/>
      <c r="C572" s="7"/>
      <c r="D572" s="7"/>
      <c r="E572" s="7"/>
      <c r="F572" s="7"/>
      <c r="G572" s="7"/>
      <c r="H572" s="7"/>
      <c r="I572" s="7"/>
      <c r="J572" s="8"/>
      <c r="K572" s="9"/>
    </row>
    <row r="573">
      <c r="A573" s="6"/>
      <c r="B573" s="7"/>
      <c r="C573" s="7"/>
      <c r="D573" s="7"/>
      <c r="E573" s="7"/>
      <c r="F573" s="7"/>
      <c r="G573" s="7"/>
      <c r="H573" s="7"/>
      <c r="I573" s="7"/>
      <c r="J573" s="8"/>
      <c r="K573" s="9"/>
    </row>
    <row r="574">
      <c r="A574" s="6"/>
      <c r="B574" s="7"/>
      <c r="C574" s="7"/>
      <c r="D574" s="7"/>
      <c r="E574" s="7"/>
      <c r="F574" s="7"/>
      <c r="G574" s="7"/>
      <c r="H574" s="7"/>
      <c r="I574" s="7"/>
      <c r="J574" s="8"/>
      <c r="K574" s="9"/>
    </row>
    <row r="575">
      <c r="A575" s="6"/>
      <c r="B575" s="7"/>
      <c r="C575" s="7"/>
      <c r="D575" s="7"/>
      <c r="E575" s="7"/>
      <c r="F575" s="7"/>
      <c r="G575" s="7"/>
      <c r="H575" s="7"/>
      <c r="I575" s="7"/>
      <c r="J575" s="8"/>
      <c r="K575" s="9"/>
    </row>
    <row r="576">
      <c r="A576" s="6"/>
      <c r="B576" s="7"/>
      <c r="C576" s="7"/>
      <c r="D576" s="7"/>
      <c r="E576" s="7"/>
      <c r="F576" s="7"/>
      <c r="G576" s="7"/>
      <c r="H576" s="7"/>
      <c r="I576" s="7"/>
      <c r="J576" s="8"/>
      <c r="K576" s="9"/>
    </row>
    <row r="577">
      <c r="A577" s="6"/>
      <c r="B577" s="7"/>
      <c r="C577" s="7"/>
      <c r="D577" s="7"/>
      <c r="E577" s="7"/>
      <c r="F577" s="7"/>
      <c r="G577" s="7"/>
      <c r="H577" s="7"/>
      <c r="I577" s="7"/>
      <c r="J577" s="8"/>
      <c r="K577" s="9"/>
    </row>
    <row r="578">
      <c r="A578" s="6"/>
      <c r="B578" s="7"/>
      <c r="C578" s="7"/>
      <c r="D578" s="7"/>
      <c r="E578" s="7"/>
      <c r="F578" s="7"/>
      <c r="G578" s="7"/>
      <c r="H578" s="7"/>
      <c r="I578" s="7"/>
      <c r="J578" s="8"/>
      <c r="K578" s="9"/>
    </row>
    <row r="579">
      <c r="A579" s="6"/>
      <c r="B579" s="7"/>
      <c r="C579" s="7"/>
      <c r="D579" s="7"/>
      <c r="E579" s="7"/>
      <c r="F579" s="7"/>
      <c r="G579" s="7"/>
      <c r="H579" s="7"/>
      <c r="I579" s="7"/>
      <c r="J579" s="8"/>
      <c r="K579" s="9"/>
    </row>
    <row r="580">
      <c r="A580" s="6"/>
      <c r="B580" s="7"/>
      <c r="C580" s="7"/>
      <c r="D580" s="7"/>
      <c r="E580" s="7"/>
      <c r="F580" s="7"/>
      <c r="G580" s="7"/>
      <c r="H580" s="7"/>
      <c r="I580" s="7"/>
      <c r="J580" s="8"/>
      <c r="K580" s="9"/>
    </row>
    <row r="581">
      <c r="A581" s="6"/>
      <c r="B581" s="7"/>
      <c r="C581" s="7"/>
      <c r="D581" s="7"/>
      <c r="E581" s="7"/>
      <c r="F581" s="7"/>
      <c r="G581" s="7"/>
      <c r="H581" s="7"/>
      <c r="I581" s="7"/>
      <c r="J581" s="8"/>
      <c r="K581" s="9"/>
    </row>
    <row r="582">
      <c r="A582" s="6"/>
      <c r="B582" s="7"/>
      <c r="C582" s="7"/>
      <c r="D582" s="7"/>
      <c r="E582" s="7"/>
      <c r="F582" s="7"/>
      <c r="G582" s="7"/>
      <c r="H582" s="7"/>
      <c r="I582" s="7"/>
      <c r="J582" s="8"/>
      <c r="K582" s="9"/>
    </row>
    <row r="583">
      <c r="A583" s="6"/>
      <c r="B583" s="7"/>
      <c r="C583" s="7"/>
      <c r="D583" s="7"/>
      <c r="E583" s="7"/>
      <c r="F583" s="7"/>
      <c r="G583" s="7"/>
      <c r="H583" s="7"/>
      <c r="I583" s="7"/>
      <c r="J583" s="8"/>
      <c r="K583" s="9"/>
    </row>
    <row r="584">
      <c r="A584" s="6"/>
      <c r="B584" s="7"/>
      <c r="C584" s="7"/>
      <c r="D584" s="7"/>
      <c r="E584" s="7"/>
      <c r="F584" s="7"/>
      <c r="G584" s="7"/>
      <c r="H584" s="7"/>
      <c r="I584" s="7"/>
      <c r="J584" s="8"/>
      <c r="K584" s="9"/>
    </row>
    <row r="585">
      <c r="A585" s="6"/>
      <c r="B585" s="7"/>
      <c r="C585" s="7"/>
      <c r="D585" s="7"/>
      <c r="E585" s="7"/>
      <c r="F585" s="7"/>
      <c r="G585" s="7"/>
      <c r="H585" s="7"/>
      <c r="I585" s="7"/>
      <c r="J585" s="8"/>
      <c r="K585" s="9"/>
    </row>
    <row r="586">
      <c r="A586" s="6"/>
      <c r="B586" s="7"/>
      <c r="C586" s="7"/>
      <c r="D586" s="7"/>
      <c r="E586" s="7"/>
      <c r="F586" s="7"/>
      <c r="G586" s="7"/>
      <c r="H586" s="7"/>
      <c r="I586" s="7"/>
      <c r="J586" s="8"/>
      <c r="K586" s="9"/>
    </row>
    <row r="587">
      <c r="A587" s="6"/>
      <c r="B587" s="7"/>
      <c r="C587" s="7"/>
      <c r="D587" s="7"/>
      <c r="E587" s="7"/>
      <c r="F587" s="7"/>
      <c r="G587" s="7"/>
      <c r="H587" s="7"/>
      <c r="I587" s="7"/>
      <c r="J587" s="8"/>
      <c r="K587" s="9"/>
    </row>
    <row r="588">
      <c r="A588" s="6"/>
      <c r="B588" s="7"/>
      <c r="C588" s="7"/>
      <c r="D588" s="7"/>
      <c r="E588" s="7"/>
      <c r="F588" s="7"/>
      <c r="G588" s="7"/>
      <c r="H588" s="7"/>
      <c r="I588" s="7"/>
      <c r="J588" s="8"/>
      <c r="K588" s="9"/>
    </row>
    <row r="589">
      <c r="A589" s="6"/>
      <c r="B589" s="7"/>
      <c r="C589" s="7"/>
      <c r="D589" s="7"/>
      <c r="E589" s="7"/>
      <c r="F589" s="7"/>
      <c r="G589" s="7"/>
      <c r="H589" s="7"/>
      <c r="I589" s="7"/>
      <c r="J589" s="8"/>
      <c r="K589" s="9"/>
    </row>
    <row r="590">
      <c r="A590" s="6"/>
      <c r="B590" s="7"/>
      <c r="C590" s="7"/>
      <c r="D590" s="7"/>
      <c r="E590" s="7"/>
      <c r="F590" s="7"/>
      <c r="G590" s="7"/>
      <c r="H590" s="7"/>
      <c r="I590" s="7"/>
      <c r="J590" s="8"/>
      <c r="K590" s="9"/>
    </row>
    <row r="591">
      <c r="A591" s="6"/>
      <c r="B591" s="7"/>
      <c r="C591" s="7"/>
      <c r="D591" s="7"/>
      <c r="E591" s="7"/>
      <c r="F591" s="7"/>
      <c r="G591" s="7"/>
      <c r="H591" s="7"/>
      <c r="I591" s="7"/>
      <c r="J591" s="8"/>
      <c r="K591" s="9"/>
    </row>
    <row r="592">
      <c r="A592" s="6"/>
      <c r="B592" s="7"/>
      <c r="C592" s="7"/>
      <c r="D592" s="7"/>
      <c r="E592" s="7"/>
      <c r="F592" s="7"/>
      <c r="G592" s="7"/>
      <c r="H592" s="7"/>
      <c r="I592" s="7"/>
      <c r="J592" s="8"/>
      <c r="K592" s="9"/>
    </row>
    <row r="593">
      <c r="A593" s="6"/>
      <c r="B593" s="7"/>
      <c r="C593" s="7"/>
      <c r="D593" s="7"/>
      <c r="E593" s="7"/>
      <c r="F593" s="7"/>
      <c r="G593" s="7"/>
      <c r="H593" s="7"/>
      <c r="I593" s="7"/>
      <c r="J593" s="8"/>
      <c r="K593" s="9"/>
    </row>
    <row r="594">
      <c r="A594" s="6"/>
      <c r="B594" s="7"/>
      <c r="C594" s="7"/>
      <c r="D594" s="7"/>
      <c r="E594" s="7"/>
      <c r="F594" s="7"/>
      <c r="G594" s="7"/>
      <c r="H594" s="7"/>
      <c r="I594" s="7"/>
      <c r="J594" s="8"/>
      <c r="K594" s="9"/>
    </row>
    <row r="595">
      <c r="A595" s="6"/>
      <c r="B595" s="7"/>
      <c r="C595" s="7"/>
      <c r="D595" s="7"/>
      <c r="E595" s="7"/>
      <c r="F595" s="7"/>
      <c r="G595" s="7"/>
      <c r="H595" s="7"/>
      <c r="I595" s="7"/>
      <c r="J595" s="8"/>
      <c r="K595" s="9"/>
    </row>
    <row r="596">
      <c r="A596" s="6"/>
      <c r="B596" s="7"/>
      <c r="C596" s="7"/>
      <c r="D596" s="7"/>
      <c r="E596" s="7"/>
      <c r="F596" s="7"/>
      <c r="G596" s="7"/>
      <c r="H596" s="7"/>
      <c r="I596" s="7"/>
      <c r="J596" s="8"/>
      <c r="K596" s="9"/>
    </row>
    <row r="597">
      <c r="A597" s="6"/>
      <c r="B597" s="7"/>
      <c r="C597" s="7"/>
      <c r="D597" s="7"/>
      <c r="E597" s="7"/>
      <c r="F597" s="7"/>
      <c r="G597" s="7"/>
      <c r="H597" s="7"/>
      <c r="I597" s="7"/>
      <c r="J597" s="8"/>
      <c r="K597" s="9"/>
    </row>
    <row r="598">
      <c r="A598" s="6"/>
      <c r="B598" s="7"/>
      <c r="C598" s="7"/>
      <c r="D598" s="7"/>
      <c r="E598" s="7"/>
      <c r="F598" s="7"/>
      <c r="G598" s="7"/>
      <c r="H598" s="7"/>
      <c r="I598" s="7"/>
      <c r="J598" s="8"/>
      <c r="K598" s="9"/>
    </row>
    <row r="599">
      <c r="A599" s="6"/>
      <c r="B599" s="7"/>
      <c r="C599" s="7"/>
      <c r="D599" s="7"/>
      <c r="E599" s="7"/>
      <c r="F599" s="7"/>
      <c r="G599" s="7"/>
      <c r="H599" s="7"/>
      <c r="I599" s="7"/>
      <c r="J599" s="8"/>
      <c r="K599" s="9"/>
    </row>
    <row r="600">
      <c r="A600" s="6"/>
      <c r="B600" s="7"/>
      <c r="C600" s="7"/>
      <c r="D600" s="7"/>
      <c r="E600" s="7"/>
      <c r="F600" s="7"/>
      <c r="G600" s="7"/>
      <c r="H600" s="7"/>
      <c r="I600" s="7"/>
      <c r="J600" s="8"/>
      <c r="K600" s="9"/>
    </row>
    <row r="601">
      <c r="A601" s="6"/>
      <c r="B601" s="7"/>
      <c r="C601" s="7"/>
      <c r="D601" s="7"/>
      <c r="E601" s="7"/>
      <c r="F601" s="7"/>
      <c r="G601" s="7"/>
      <c r="H601" s="7"/>
      <c r="I601" s="7"/>
      <c r="J601" s="8"/>
      <c r="K601" s="9"/>
    </row>
    <row r="602">
      <c r="A602" s="6"/>
      <c r="B602" s="7"/>
      <c r="C602" s="7"/>
      <c r="D602" s="7"/>
      <c r="E602" s="7"/>
      <c r="F602" s="7"/>
      <c r="G602" s="7"/>
      <c r="H602" s="7"/>
      <c r="I602" s="7"/>
      <c r="J602" s="8"/>
      <c r="K602" s="9"/>
    </row>
    <row r="603">
      <c r="A603" s="6"/>
      <c r="B603" s="7"/>
      <c r="C603" s="7"/>
      <c r="D603" s="7"/>
      <c r="E603" s="7"/>
      <c r="F603" s="7"/>
      <c r="G603" s="7"/>
      <c r="H603" s="7"/>
      <c r="I603" s="7"/>
      <c r="J603" s="8"/>
      <c r="K603" s="9"/>
    </row>
    <row r="604">
      <c r="A604" s="6"/>
      <c r="B604" s="7"/>
      <c r="C604" s="7"/>
      <c r="D604" s="7"/>
      <c r="E604" s="7"/>
      <c r="F604" s="7"/>
      <c r="G604" s="7"/>
      <c r="H604" s="7"/>
      <c r="I604" s="7"/>
      <c r="J604" s="8"/>
      <c r="K604" s="9"/>
    </row>
    <row r="605">
      <c r="A605" s="6"/>
      <c r="B605" s="7"/>
      <c r="C605" s="7"/>
      <c r="D605" s="7"/>
      <c r="E605" s="7"/>
      <c r="F605" s="7"/>
      <c r="G605" s="7"/>
      <c r="H605" s="7"/>
      <c r="I605" s="7"/>
      <c r="J605" s="8"/>
      <c r="K605" s="9"/>
    </row>
    <row r="606">
      <c r="A606" s="6"/>
      <c r="B606" s="7"/>
      <c r="C606" s="7"/>
      <c r="D606" s="7"/>
      <c r="E606" s="7"/>
      <c r="F606" s="7"/>
      <c r="G606" s="7"/>
      <c r="H606" s="7"/>
      <c r="I606" s="7"/>
      <c r="J606" s="8"/>
      <c r="K606" s="9"/>
    </row>
    <row r="607">
      <c r="A607" s="6"/>
      <c r="B607" s="7"/>
      <c r="C607" s="7"/>
      <c r="D607" s="7"/>
      <c r="E607" s="7"/>
      <c r="F607" s="7"/>
      <c r="G607" s="7"/>
      <c r="H607" s="7"/>
      <c r="I607" s="7"/>
      <c r="J607" s="8"/>
      <c r="K607" s="9"/>
    </row>
    <row r="608">
      <c r="A608" s="6"/>
      <c r="B608" s="7"/>
      <c r="C608" s="7"/>
      <c r="D608" s="7"/>
      <c r="E608" s="7"/>
      <c r="F608" s="7"/>
      <c r="G608" s="7"/>
      <c r="H608" s="7"/>
      <c r="I608" s="7"/>
      <c r="J608" s="8"/>
      <c r="K608" s="9"/>
    </row>
    <row r="609">
      <c r="A609" s="6"/>
      <c r="B609" s="7"/>
      <c r="C609" s="7"/>
      <c r="D609" s="7"/>
      <c r="E609" s="7"/>
      <c r="F609" s="7"/>
      <c r="G609" s="7"/>
      <c r="H609" s="7"/>
      <c r="I609" s="7"/>
      <c r="J609" s="8"/>
      <c r="K609" s="9"/>
    </row>
    <row r="610">
      <c r="A610" s="6"/>
      <c r="B610" s="7"/>
      <c r="C610" s="7"/>
      <c r="D610" s="7"/>
      <c r="E610" s="7"/>
      <c r="F610" s="7"/>
      <c r="G610" s="7"/>
      <c r="H610" s="7"/>
      <c r="I610" s="7"/>
      <c r="J610" s="8"/>
      <c r="K610" s="9"/>
    </row>
    <row r="611">
      <c r="A611" s="6"/>
      <c r="B611" s="7"/>
      <c r="C611" s="7"/>
      <c r="D611" s="7"/>
      <c r="E611" s="7"/>
      <c r="F611" s="7"/>
      <c r="G611" s="7"/>
      <c r="H611" s="7"/>
      <c r="I611" s="7"/>
      <c r="J611" s="8"/>
      <c r="K611" s="9"/>
    </row>
    <row r="612">
      <c r="A612" s="6"/>
      <c r="B612" s="7"/>
      <c r="C612" s="7"/>
      <c r="D612" s="7"/>
      <c r="E612" s="7"/>
      <c r="F612" s="7"/>
      <c r="G612" s="7"/>
      <c r="H612" s="7"/>
      <c r="I612" s="7"/>
      <c r="J612" s="8"/>
      <c r="K612" s="9"/>
    </row>
    <row r="613">
      <c r="A613" s="6"/>
      <c r="B613" s="7"/>
      <c r="C613" s="7"/>
      <c r="D613" s="7"/>
      <c r="E613" s="7"/>
      <c r="F613" s="7"/>
      <c r="G613" s="7"/>
      <c r="H613" s="7"/>
      <c r="I613" s="7"/>
      <c r="J613" s="8"/>
      <c r="K613" s="9"/>
    </row>
    <row r="614">
      <c r="A614" s="6"/>
      <c r="B614" s="7"/>
      <c r="C614" s="7"/>
      <c r="D614" s="7"/>
      <c r="E614" s="7"/>
      <c r="F614" s="7"/>
      <c r="G614" s="7"/>
      <c r="H614" s="7"/>
      <c r="I614" s="7"/>
      <c r="J614" s="8"/>
      <c r="K614" s="9"/>
    </row>
    <row r="615">
      <c r="A615" s="6"/>
      <c r="B615" s="7"/>
      <c r="C615" s="7"/>
      <c r="D615" s="7"/>
      <c r="E615" s="7"/>
      <c r="F615" s="7"/>
      <c r="G615" s="7"/>
      <c r="H615" s="7"/>
      <c r="I615" s="7"/>
      <c r="J615" s="8"/>
      <c r="K615" s="9"/>
    </row>
    <row r="616">
      <c r="A616" s="6"/>
      <c r="B616" s="7"/>
      <c r="C616" s="7"/>
      <c r="D616" s="7"/>
      <c r="E616" s="7"/>
      <c r="F616" s="7"/>
      <c r="G616" s="7"/>
      <c r="H616" s="7"/>
      <c r="I616" s="7"/>
      <c r="J616" s="8"/>
      <c r="K616" s="9"/>
    </row>
    <row r="617">
      <c r="A617" s="6"/>
      <c r="B617" s="7"/>
      <c r="C617" s="7"/>
      <c r="D617" s="7"/>
      <c r="E617" s="7"/>
      <c r="F617" s="7"/>
      <c r="G617" s="7"/>
      <c r="H617" s="7"/>
      <c r="I617" s="7"/>
      <c r="J617" s="8"/>
      <c r="K617" s="9"/>
    </row>
    <row r="618">
      <c r="A618" s="6"/>
      <c r="B618" s="7"/>
      <c r="C618" s="7"/>
      <c r="D618" s="7"/>
      <c r="E618" s="7"/>
      <c r="F618" s="7"/>
      <c r="G618" s="7"/>
      <c r="H618" s="7"/>
      <c r="I618" s="7"/>
      <c r="J618" s="8"/>
      <c r="K618" s="9"/>
    </row>
    <row r="619">
      <c r="A619" s="6"/>
      <c r="B619" s="7"/>
      <c r="C619" s="7"/>
      <c r="D619" s="7"/>
      <c r="E619" s="7"/>
      <c r="F619" s="7"/>
      <c r="G619" s="7"/>
      <c r="H619" s="7"/>
      <c r="I619" s="7"/>
      <c r="J619" s="8"/>
      <c r="K619" s="9"/>
    </row>
    <row r="620">
      <c r="A620" s="6"/>
      <c r="B620" s="7"/>
      <c r="C620" s="7"/>
      <c r="D620" s="7"/>
      <c r="E620" s="7"/>
      <c r="F620" s="7"/>
      <c r="G620" s="7"/>
      <c r="H620" s="7"/>
      <c r="I620" s="7"/>
      <c r="J620" s="8"/>
      <c r="K620" s="9"/>
    </row>
    <row r="621">
      <c r="A621" s="6"/>
      <c r="B621" s="7"/>
      <c r="C621" s="7"/>
      <c r="D621" s="7"/>
      <c r="E621" s="7"/>
      <c r="F621" s="7"/>
      <c r="G621" s="7"/>
      <c r="H621" s="7"/>
      <c r="I621" s="7"/>
      <c r="J621" s="8"/>
      <c r="K621" s="9"/>
    </row>
    <row r="622">
      <c r="A622" s="6"/>
      <c r="B622" s="7"/>
      <c r="C622" s="7"/>
      <c r="D622" s="7"/>
      <c r="E622" s="7"/>
      <c r="F622" s="7"/>
      <c r="G622" s="7"/>
      <c r="H622" s="7"/>
      <c r="I622" s="7"/>
      <c r="J622" s="8"/>
      <c r="K622" s="9"/>
    </row>
    <row r="623">
      <c r="A623" s="6"/>
      <c r="B623" s="7"/>
      <c r="C623" s="7"/>
      <c r="D623" s="7"/>
      <c r="E623" s="7"/>
      <c r="F623" s="7"/>
      <c r="G623" s="7"/>
      <c r="H623" s="7"/>
      <c r="I623" s="7"/>
      <c r="J623" s="8"/>
      <c r="K623" s="9"/>
    </row>
    <row r="624">
      <c r="A624" s="6"/>
      <c r="B624" s="7"/>
      <c r="C624" s="7"/>
      <c r="D624" s="7"/>
      <c r="E624" s="7"/>
      <c r="F624" s="7"/>
      <c r="G624" s="7"/>
      <c r="H624" s="7"/>
      <c r="I624" s="7"/>
      <c r="J624" s="8"/>
      <c r="K624" s="9"/>
    </row>
    <row r="625">
      <c r="A625" s="6"/>
      <c r="B625" s="7"/>
      <c r="C625" s="7"/>
      <c r="D625" s="7"/>
      <c r="E625" s="7"/>
      <c r="F625" s="7"/>
      <c r="G625" s="7"/>
      <c r="H625" s="7"/>
      <c r="I625" s="7"/>
      <c r="J625" s="8"/>
      <c r="K625" s="9"/>
    </row>
    <row r="626">
      <c r="A626" s="6"/>
      <c r="B626" s="7"/>
      <c r="C626" s="7"/>
      <c r="D626" s="7"/>
      <c r="E626" s="7"/>
      <c r="F626" s="7"/>
      <c r="G626" s="7"/>
      <c r="H626" s="7"/>
      <c r="I626" s="7"/>
      <c r="J626" s="8"/>
      <c r="K626" s="9"/>
    </row>
    <row r="627">
      <c r="A627" s="6"/>
      <c r="B627" s="7"/>
      <c r="C627" s="7"/>
      <c r="D627" s="7"/>
      <c r="E627" s="7"/>
      <c r="F627" s="7"/>
      <c r="G627" s="7"/>
      <c r="H627" s="7"/>
      <c r="I627" s="7"/>
      <c r="J627" s="8"/>
      <c r="K627" s="9"/>
    </row>
    <row r="628">
      <c r="A628" s="6"/>
      <c r="B628" s="7"/>
      <c r="C628" s="7"/>
      <c r="D628" s="7"/>
      <c r="E628" s="7"/>
      <c r="F628" s="7"/>
      <c r="G628" s="7"/>
      <c r="H628" s="7"/>
      <c r="I628" s="7"/>
      <c r="J628" s="8"/>
      <c r="K628" s="9"/>
    </row>
    <row r="629">
      <c r="A629" s="6"/>
      <c r="B629" s="7"/>
      <c r="C629" s="7"/>
      <c r="D629" s="7"/>
      <c r="E629" s="7"/>
      <c r="F629" s="7"/>
      <c r="G629" s="7"/>
      <c r="H629" s="7"/>
      <c r="I629" s="7"/>
      <c r="J629" s="8"/>
      <c r="K629" s="9"/>
    </row>
    <row r="630">
      <c r="A630" s="6"/>
      <c r="B630" s="7"/>
      <c r="C630" s="7"/>
      <c r="D630" s="7"/>
      <c r="E630" s="7"/>
      <c r="F630" s="7"/>
      <c r="G630" s="7"/>
      <c r="H630" s="7"/>
      <c r="I630" s="7"/>
      <c r="J630" s="8"/>
      <c r="K630" s="9"/>
    </row>
    <row r="631">
      <c r="A631" s="6"/>
      <c r="B631" s="7"/>
      <c r="C631" s="7"/>
      <c r="D631" s="7"/>
      <c r="E631" s="7"/>
      <c r="F631" s="7"/>
      <c r="G631" s="7"/>
      <c r="H631" s="7"/>
      <c r="I631" s="7"/>
      <c r="J631" s="8"/>
      <c r="K631" s="9"/>
    </row>
    <row r="632">
      <c r="A632" s="6"/>
      <c r="B632" s="7"/>
      <c r="C632" s="7"/>
      <c r="D632" s="7"/>
      <c r="E632" s="7"/>
      <c r="F632" s="7"/>
      <c r="G632" s="7"/>
      <c r="H632" s="7"/>
      <c r="I632" s="7"/>
      <c r="J632" s="8"/>
      <c r="K632" s="9"/>
    </row>
    <row r="633">
      <c r="A633" s="6"/>
      <c r="B633" s="7"/>
      <c r="C633" s="7"/>
      <c r="D633" s="7"/>
      <c r="E633" s="7"/>
      <c r="F633" s="7"/>
      <c r="G633" s="7"/>
      <c r="H633" s="7"/>
      <c r="I633" s="7"/>
      <c r="J633" s="8"/>
      <c r="K633" s="9"/>
    </row>
    <row r="634">
      <c r="A634" s="6"/>
      <c r="B634" s="7"/>
      <c r="C634" s="7"/>
      <c r="D634" s="7"/>
      <c r="E634" s="7"/>
      <c r="F634" s="7"/>
      <c r="G634" s="7"/>
      <c r="H634" s="7"/>
      <c r="I634" s="7"/>
      <c r="J634" s="8"/>
      <c r="K634" s="9"/>
    </row>
    <row r="635">
      <c r="A635" s="6"/>
      <c r="B635" s="7"/>
      <c r="C635" s="7"/>
      <c r="D635" s="7"/>
      <c r="E635" s="7"/>
      <c r="F635" s="7"/>
      <c r="G635" s="7"/>
      <c r="H635" s="7"/>
      <c r="I635" s="7"/>
      <c r="J635" s="8"/>
      <c r="K635" s="9"/>
    </row>
    <row r="636">
      <c r="A636" s="6"/>
      <c r="B636" s="7"/>
      <c r="C636" s="7"/>
      <c r="D636" s="7"/>
      <c r="E636" s="7"/>
      <c r="F636" s="7"/>
      <c r="G636" s="7"/>
      <c r="H636" s="7"/>
      <c r="I636" s="7"/>
      <c r="J636" s="8"/>
      <c r="K636" s="9"/>
    </row>
    <row r="637">
      <c r="A637" s="6"/>
      <c r="B637" s="7"/>
      <c r="C637" s="7"/>
      <c r="D637" s="7"/>
      <c r="E637" s="7"/>
      <c r="F637" s="7"/>
      <c r="G637" s="7"/>
      <c r="H637" s="7"/>
      <c r="I637" s="7"/>
      <c r="J637" s="8"/>
      <c r="K637" s="9"/>
    </row>
    <row r="638">
      <c r="A638" s="6"/>
      <c r="B638" s="7"/>
      <c r="C638" s="7"/>
      <c r="D638" s="7"/>
      <c r="E638" s="7"/>
      <c r="F638" s="7"/>
      <c r="G638" s="7"/>
      <c r="H638" s="7"/>
      <c r="I638" s="7"/>
      <c r="J638" s="8"/>
      <c r="K638" s="9"/>
    </row>
    <row r="639">
      <c r="A639" s="6"/>
      <c r="B639" s="7"/>
      <c r="C639" s="7"/>
      <c r="D639" s="7"/>
      <c r="E639" s="7"/>
      <c r="F639" s="7"/>
      <c r="G639" s="7"/>
      <c r="H639" s="7"/>
      <c r="I639" s="7"/>
      <c r="J639" s="8"/>
      <c r="K639" s="9"/>
    </row>
    <row r="640">
      <c r="A640" s="6"/>
      <c r="B640" s="7"/>
      <c r="C640" s="7"/>
      <c r="D640" s="7"/>
      <c r="E640" s="7"/>
      <c r="F640" s="7"/>
      <c r="G640" s="7"/>
      <c r="H640" s="7"/>
      <c r="I640" s="7"/>
      <c r="J640" s="8"/>
      <c r="K640" s="9"/>
    </row>
    <row r="641">
      <c r="A641" s="6"/>
      <c r="B641" s="7"/>
      <c r="C641" s="7"/>
      <c r="D641" s="7"/>
      <c r="E641" s="7"/>
      <c r="F641" s="7"/>
      <c r="G641" s="7"/>
      <c r="H641" s="7"/>
      <c r="I641" s="7"/>
      <c r="J641" s="8"/>
      <c r="K641" s="9"/>
    </row>
    <row r="642">
      <c r="A642" s="6"/>
      <c r="B642" s="7"/>
      <c r="C642" s="7"/>
      <c r="D642" s="7"/>
      <c r="E642" s="7"/>
      <c r="F642" s="7"/>
      <c r="G642" s="7"/>
      <c r="H642" s="7"/>
      <c r="I642" s="7"/>
      <c r="J642" s="8"/>
      <c r="K642" s="9"/>
    </row>
    <row r="643">
      <c r="A643" s="6"/>
      <c r="B643" s="7"/>
      <c r="C643" s="7"/>
      <c r="D643" s="7"/>
      <c r="E643" s="7"/>
      <c r="F643" s="7"/>
      <c r="G643" s="7"/>
      <c r="H643" s="7"/>
      <c r="I643" s="7"/>
      <c r="J643" s="8"/>
      <c r="K643" s="9"/>
    </row>
    <row r="644">
      <c r="A644" s="6"/>
      <c r="B644" s="7"/>
      <c r="C644" s="7"/>
      <c r="D644" s="7"/>
      <c r="E644" s="7"/>
      <c r="F644" s="7"/>
      <c r="G644" s="7"/>
      <c r="H644" s="7"/>
      <c r="I644" s="7"/>
      <c r="J644" s="8"/>
      <c r="K644" s="9"/>
    </row>
    <row r="645">
      <c r="A645" s="6"/>
      <c r="B645" s="7"/>
      <c r="C645" s="7"/>
      <c r="D645" s="7"/>
      <c r="E645" s="7"/>
      <c r="F645" s="7"/>
      <c r="G645" s="7"/>
      <c r="H645" s="7"/>
      <c r="I645" s="7"/>
      <c r="J645" s="8"/>
      <c r="K645" s="9"/>
    </row>
    <row r="646">
      <c r="A646" s="6"/>
      <c r="B646" s="7"/>
      <c r="C646" s="7"/>
      <c r="D646" s="7"/>
      <c r="E646" s="7"/>
      <c r="F646" s="7"/>
      <c r="G646" s="7"/>
      <c r="H646" s="7"/>
      <c r="I646" s="7"/>
      <c r="J646" s="8"/>
      <c r="K646" s="9"/>
    </row>
    <row r="647">
      <c r="A647" s="6"/>
      <c r="B647" s="7"/>
      <c r="C647" s="7"/>
      <c r="D647" s="7"/>
      <c r="E647" s="7"/>
      <c r="F647" s="7"/>
      <c r="G647" s="7"/>
      <c r="H647" s="7"/>
      <c r="I647" s="7"/>
      <c r="J647" s="8"/>
      <c r="K647" s="9"/>
    </row>
    <row r="648">
      <c r="A648" s="6"/>
      <c r="B648" s="7"/>
      <c r="C648" s="7"/>
      <c r="D648" s="7"/>
      <c r="E648" s="7"/>
      <c r="F648" s="7"/>
      <c r="G648" s="7"/>
      <c r="H648" s="7"/>
      <c r="I648" s="7"/>
      <c r="J648" s="8"/>
      <c r="K648" s="9"/>
    </row>
    <row r="649">
      <c r="A649" s="6"/>
      <c r="B649" s="7"/>
      <c r="C649" s="7"/>
      <c r="D649" s="7"/>
      <c r="E649" s="7"/>
      <c r="F649" s="7"/>
      <c r="G649" s="7"/>
      <c r="H649" s="7"/>
      <c r="I649" s="7"/>
      <c r="J649" s="8"/>
      <c r="K649" s="9"/>
    </row>
    <row r="650">
      <c r="A650" s="6"/>
      <c r="B650" s="7"/>
      <c r="C650" s="7"/>
      <c r="D650" s="7"/>
      <c r="E650" s="7"/>
      <c r="F650" s="7"/>
      <c r="G650" s="7"/>
      <c r="H650" s="7"/>
      <c r="I650" s="7"/>
      <c r="J650" s="8"/>
      <c r="K650" s="9"/>
    </row>
    <row r="651">
      <c r="A651" s="6"/>
      <c r="B651" s="7"/>
      <c r="C651" s="7"/>
      <c r="D651" s="7"/>
      <c r="E651" s="7"/>
      <c r="F651" s="7"/>
      <c r="G651" s="7"/>
      <c r="H651" s="7"/>
      <c r="I651" s="7"/>
      <c r="J651" s="8"/>
      <c r="K651" s="9"/>
    </row>
    <row r="652">
      <c r="A652" s="6"/>
      <c r="B652" s="7"/>
      <c r="C652" s="7"/>
      <c r="D652" s="7"/>
      <c r="E652" s="7"/>
      <c r="F652" s="7"/>
      <c r="G652" s="7"/>
      <c r="H652" s="7"/>
      <c r="I652" s="7"/>
      <c r="J652" s="8"/>
      <c r="K652" s="9"/>
    </row>
    <row r="653">
      <c r="A653" s="6"/>
      <c r="B653" s="7"/>
      <c r="C653" s="7"/>
      <c r="D653" s="7"/>
      <c r="E653" s="7"/>
      <c r="F653" s="7"/>
      <c r="G653" s="7"/>
      <c r="H653" s="7"/>
      <c r="I653" s="7"/>
      <c r="J653" s="8"/>
      <c r="K653" s="9"/>
    </row>
    <row r="654">
      <c r="A654" s="6"/>
      <c r="B654" s="7"/>
      <c r="C654" s="7"/>
      <c r="D654" s="7"/>
      <c r="E654" s="7"/>
      <c r="F654" s="7"/>
      <c r="G654" s="7"/>
      <c r="H654" s="7"/>
      <c r="I654" s="7"/>
      <c r="J654" s="8"/>
      <c r="K654" s="9"/>
    </row>
    <row r="655">
      <c r="A655" s="6"/>
      <c r="B655" s="7"/>
      <c r="C655" s="7"/>
      <c r="D655" s="7"/>
      <c r="E655" s="7"/>
      <c r="F655" s="7"/>
      <c r="G655" s="7"/>
      <c r="H655" s="7"/>
      <c r="I655" s="7"/>
      <c r="J655" s="8"/>
      <c r="K655" s="9"/>
    </row>
    <row r="656">
      <c r="A656" s="6"/>
      <c r="B656" s="7"/>
      <c r="C656" s="7"/>
      <c r="D656" s="7"/>
      <c r="E656" s="7"/>
      <c r="F656" s="7"/>
      <c r="G656" s="7"/>
      <c r="H656" s="7"/>
      <c r="I656" s="7"/>
      <c r="J656" s="8"/>
      <c r="K656" s="9"/>
    </row>
    <row r="657">
      <c r="A657" s="6"/>
      <c r="B657" s="7"/>
      <c r="C657" s="7"/>
      <c r="D657" s="7"/>
      <c r="E657" s="7"/>
      <c r="F657" s="7"/>
      <c r="G657" s="7"/>
      <c r="H657" s="7"/>
      <c r="I657" s="7"/>
      <c r="J657" s="8"/>
      <c r="K657" s="9"/>
    </row>
    <row r="658">
      <c r="A658" s="6"/>
      <c r="B658" s="7"/>
      <c r="C658" s="7"/>
      <c r="D658" s="7"/>
      <c r="E658" s="7"/>
      <c r="F658" s="7"/>
      <c r="G658" s="7"/>
      <c r="H658" s="7"/>
      <c r="I658" s="7"/>
      <c r="J658" s="8"/>
      <c r="K658" s="9"/>
    </row>
    <row r="659">
      <c r="A659" s="6"/>
      <c r="B659" s="7"/>
      <c r="C659" s="7"/>
      <c r="D659" s="7"/>
      <c r="E659" s="7"/>
      <c r="F659" s="7"/>
      <c r="G659" s="7"/>
      <c r="H659" s="7"/>
      <c r="I659" s="7"/>
      <c r="J659" s="8"/>
      <c r="K659" s="9"/>
    </row>
    <row r="660">
      <c r="A660" s="6"/>
      <c r="B660" s="7"/>
      <c r="C660" s="7"/>
      <c r="D660" s="7"/>
      <c r="E660" s="7"/>
      <c r="F660" s="7"/>
      <c r="G660" s="7"/>
      <c r="H660" s="7"/>
      <c r="I660" s="7"/>
      <c r="J660" s="8"/>
      <c r="K660" s="9"/>
    </row>
    <row r="661">
      <c r="A661" s="6"/>
      <c r="B661" s="7"/>
      <c r="C661" s="7"/>
      <c r="D661" s="7"/>
      <c r="E661" s="7"/>
      <c r="F661" s="7"/>
      <c r="G661" s="7"/>
      <c r="H661" s="7"/>
      <c r="I661" s="7"/>
      <c r="J661" s="8"/>
      <c r="K661" s="9"/>
    </row>
    <row r="662">
      <c r="A662" s="6"/>
      <c r="B662" s="7"/>
      <c r="C662" s="7"/>
      <c r="D662" s="7"/>
      <c r="E662" s="7"/>
      <c r="F662" s="7"/>
      <c r="G662" s="7"/>
      <c r="H662" s="7"/>
      <c r="I662" s="7"/>
      <c r="J662" s="8"/>
      <c r="K662" s="9"/>
    </row>
    <row r="663">
      <c r="A663" s="6"/>
      <c r="B663" s="7"/>
      <c r="C663" s="7"/>
      <c r="D663" s="7"/>
      <c r="E663" s="7"/>
      <c r="F663" s="7"/>
      <c r="G663" s="7"/>
      <c r="H663" s="7"/>
      <c r="I663" s="7"/>
      <c r="J663" s="8"/>
      <c r="K663" s="9"/>
    </row>
    <row r="664">
      <c r="A664" s="6"/>
      <c r="B664" s="7"/>
      <c r="C664" s="7"/>
      <c r="D664" s="7"/>
      <c r="E664" s="7"/>
      <c r="F664" s="7"/>
      <c r="G664" s="7"/>
      <c r="H664" s="7"/>
      <c r="I664" s="7"/>
      <c r="J664" s="8"/>
      <c r="K664" s="9"/>
    </row>
    <row r="665">
      <c r="A665" s="6"/>
      <c r="B665" s="7"/>
      <c r="C665" s="7"/>
      <c r="D665" s="7"/>
      <c r="E665" s="7"/>
      <c r="F665" s="7"/>
      <c r="G665" s="7"/>
      <c r="H665" s="7"/>
      <c r="I665" s="7"/>
      <c r="J665" s="8"/>
      <c r="K665" s="9"/>
    </row>
    <row r="666">
      <c r="A666" s="6"/>
      <c r="B666" s="7"/>
      <c r="C666" s="7"/>
      <c r="D666" s="7"/>
      <c r="E666" s="7"/>
      <c r="F666" s="7"/>
      <c r="G666" s="7"/>
      <c r="H666" s="7"/>
      <c r="I666" s="7"/>
      <c r="J666" s="8"/>
      <c r="K666" s="9"/>
    </row>
    <row r="667">
      <c r="A667" s="6"/>
      <c r="B667" s="7"/>
      <c r="C667" s="7"/>
      <c r="D667" s="7"/>
      <c r="E667" s="7"/>
      <c r="F667" s="7"/>
      <c r="G667" s="7"/>
      <c r="H667" s="7"/>
      <c r="I667" s="7"/>
      <c r="J667" s="8"/>
      <c r="K667" s="9"/>
    </row>
    <row r="668">
      <c r="A668" s="6"/>
      <c r="B668" s="7"/>
      <c r="C668" s="7"/>
      <c r="D668" s="7"/>
      <c r="E668" s="7"/>
      <c r="F668" s="7"/>
      <c r="G668" s="7"/>
      <c r="H668" s="7"/>
      <c r="I668" s="7"/>
      <c r="J668" s="8"/>
      <c r="K668" s="9"/>
    </row>
    <row r="669">
      <c r="A669" s="6"/>
      <c r="B669" s="7"/>
      <c r="C669" s="7"/>
      <c r="D669" s="7"/>
      <c r="E669" s="7"/>
      <c r="F669" s="7"/>
      <c r="G669" s="7"/>
      <c r="H669" s="7"/>
      <c r="I669" s="7"/>
      <c r="J669" s="8"/>
      <c r="K669" s="9"/>
    </row>
    <row r="670">
      <c r="A670" s="6"/>
      <c r="B670" s="7"/>
      <c r="C670" s="7"/>
      <c r="D670" s="7"/>
      <c r="E670" s="7"/>
      <c r="F670" s="7"/>
      <c r="G670" s="7"/>
      <c r="H670" s="7"/>
      <c r="I670" s="7"/>
      <c r="J670" s="8"/>
      <c r="K670" s="9"/>
    </row>
    <row r="671">
      <c r="A671" s="6"/>
      <c r="B671" s="7"/>
      <c r="C671" s="7"/>
      <c r="D671" s="7"/>
      <c r="E671" s="7"/>
      <c r="F671" s="7"/>
      <c r="G671" s="7"/>
      <c r="H671" s="7"/>
      <c r="I671" s="7"/>
      <c r="J671" s="8"/>
      <c r="K671" s="9"/>
    </row>
    <row r="672">
      <c r="A672" s="6"/>
      <c r="B672" s="7"/>
      <c r="C672" s="7"/>
      <c r="D672" s="7"/>
      <c r="E672" s="7"/>
      <c r="F672" s="7"/>
      <c r="G672" s="7"/>
      <c r="H672" s="7"/>
      <c r="I672" s="7"/>
      <c r="J672" s="8"/>
      <c r="K672" s="9"/>
    </row>
    <row r="673">
      <c r="A673" s="6"/>
      <c r="B673" s="7"/>
      <c r="C673" s="7"/>
      <c r="D673" s="7"/>
      <c r="E673" s="7"/>
      <c r="F673" s="7"/>
      <c r="G673" s="7"/>
      <c r="H673" s="7"/>
      <c r="I673" s="7"/>
      <c r="J673" s="8"/>
      <c r="K673" s="9"/>
    </row>
    <row r="674">
      <c r="A674" s="6"/>
      <c r="B674" s="7"/>
      <c r="C674" s="7"/>
      <c r="D674" s="7"/>
      <c r="E674" s="7"/>
      <c r="F674" s="7"/>
      <c r="G674" s="7"/>
      <c r="H674" s="7"/>
      <c r="I674" s="7"/>
      <c r="J674" s="8"/>
      <c r="K674" s="9"/>
    </row>
    <row r="675">
      <c r="A675" s="6"/>
      <c r="B675" s="7"/>
      <c r="C675" s="7"/>
      <c r="D675" s="7"/>
      <c r="E675" s="7"/>
      <c r="F675" s="7"/>
      <c r="G675" s="7"/>
      <c r="H675" s="7"/>
      <c r="I675" s="7"/>
      <c r="J675" s="8"/>
      <c r="K675" s="9"/>
    </row>
    <row r="676">
      <c r="A676" s="6"/>
      <c r="B676" s="7"/>
      <c r="C676" s="7"/>
      <c r="D676" s="7"/>
      <c r="E676" s="7"/>
      <c r="F676" s="7"/>
      <c r="G676" s="7"/>
      <c r="H676" s="7"/>
      <c r="I676" s="7"/>
      <c r="J676" s="8"/>
      <c r="K676" s="9"/>
    </row>
    <row r="677">
      <c r="A677" s="6"/>
      <c r="B677" s="7"/>
      <c r="C677" s="7"/>
      <c r="D677" s="7"/>
      <c r="E677" s="7"/>
      <c r="F677" s="7"/>
      <c r="G677" s="7"/>
      <c r="H677" s="7"/>
      <c r="I677" s="7"/>
      <c r="J677" s="8"/>
      <c r="K677" s="9"/>
    </row>
    <row r="678">
      <c r="A678" s="6"/>
      <c r="B678" s="7"/>
      <c r="C678" s="7"/>
      <c r="D678" s="7"/>
      <c r="E678" s="7"/>
      <c r="F678" s="7"/>
      <c r="G678" s="7"/>
      <c r="H678" s="7"/>
      <c r="I678" s="7"/>
      <c r="J678" s="8"/>
      <c r="K678" s="9"/>
    </row>
    <row r="679">
      <c r="A679" s="6"/>
      <c r="B679" s="7"/>
      <c r="C679" s="7"/>
      <c r="D679" s="7"/>
      <c r="E679" s="7"/>
      <c r="F679" s="7"/>
      <c r="G679" s="7"/>
      <c r="H679" s="7"/>
      <c r="I679" s="7"/>
      <c r="J679" s="8"/>
      <c r="K679" s="9"/>
    </row>
    <row r="680">
      <c r="A680" s="6"/>
      <c r="B680" s="7"/>
      <c r="C680" s="7"/>
      <c r="D680" s="7"/>
      <c r="E680" s="7"/>
      <c r="F680" s="7"/>
      <c r="G680" s="7"/>
      <c r="H680" s="7"/>
      <c r="I680" s="7"/>
      <c r="J680" s="8"/>
      <c r="K680" s="9"/>
    </row>
    <row r="681">
      <c r="A681" s="6"/>
      <c r="B681" s="7"/>
      <c r="C681" s="7"/>
      <c r="D681" s="7"/>
      <c r="E681" s="7"/>
      <c r="F681" s="7"/>
      <c r="G681" s="7"/>
      <c r="H681" s="7"/>
      <c r="I681" s="7"/>
      <c r="J681" s="8"/>
      <c r="K681" s="9"/>
    </row>
    <row r="682">
      <c r="A682" s="6"/>
      <c r="B682" s="7"/>
      <c r="C682" s="7"/>
      <c r="D682" s="7"/>
      <c r="E682" s="7"/>
      <c r="F682" s="7"/>
      <c r="G682" s="7"/>
      <c r="H682" s="7"/>
      <c r="I682" s="7"/>
      <c r="J682" s="8"/>
      <c r="K682" s="9"/>
    </row>
    <row r="683">
      <c r="A683" s="6"/>
      <c r="B683" s="7"/>
      <c r="C683" s="7"/>
      <c r="D683" s="7"/>
      <c r="E683" s="7"/>
      <c r="F683" s="7"/>
      <c r="G683" s="7"/>
      <c r="H683" s="7"/>
      <c r="I683" s="7"/>
      <c r="J683" s="8"/>
      <c r="K683" s="9"/>
    </row>
    <row r="684">
      <c r="A684" s="6"/>
      <c r="B684" s="7"/>
      <c r="C684" s="7"/>
      <c r="D684" s="7"/>
      <c r="E684" s="7"/>
      <c r="F684" s="7"/>
      <c r="G684" s="7"/>
      <c r="H684" s="7"/>
      <c r="I684" s="7"/>
      <c r="J684" s="8"/>
      <c r="K684" s="9"/>
    </row>
    <row r="685">
      <c r="A685" s="6"/>
      <c r="B685" s="7"/>
      <c r="C685" s="7"/>
      <c r="D685" s="7"/>
      <c r="E685" s="7"/>
      <c r="F685" s="7"/>
      <c r="G685" s="7"/>
      <c r="H685" s="7"/>
      <c r="I685" s="7"/>
      <c r="J685" s="8"/>
      <c r="K685" s="9"/>
    </row>
    <row r="686">
      <c r="A686" s="6"/>
      <c r="B686" s="7"/>
      <c r="C686" s="7"/>
      <c r="D686" s="7"/>
      <c r="E686" s="7"/>
      <c r="F686" s="7"/>
      <c r="G686" s="7"/>
      <c r="H686" s="7"/>
      <c r="I686" s="7"/>
      <c r="J686" s="8"/>
      <c r="K686" s="9"/>
    </row>
    <row r="687">
      <c r="A687" s="6"/>
      <c r="B687" s="7"/>
      <c r="C687" s="7"/>
      <c r="D687" s="7"/>
      <c r="E687" s="7"/>
      <c r="F687" s="7"/>
      <c r="G687" s="7"/>
      <c r="H687" s="7"/>
      <c r="I687" s="7"/>
      <c r="J687" s="8"/>
      <c r="K687" s="9"/>
    </row>
    <row r="688">
      <c r="A688" s="6"/>
      <c r="B688" s="7"/>
      <c r="C688" s="7"/>
      <c r="D688" s="7"/>
      <c r="E688" s="7"/>
      <c r="F688" s="7"/>
      <c r="G688" s="7"/>
      <c r="H688" s="7"/>
      <c r="I688" s="7"/>
      <c r="J688" s="8"/>
      <c r="K688" s="9"/>
    </row>
    <row r="689">
      <c r="A689" s="6"/>
      <c r="B689" s="7"/>
      <c r="C689" s="7"/>
      <c r="D689" s="7"/>
      <c r="E689" s="7"/>
      <c r="F689" s="7"/>
      <c r="G689" s="7"/>
      <c r="H689" s="7"/>
      <c r="I689" s="7"/>
      <c r="J689" s="8"/>
      <c r="K689" s="9"/>
    </row>
    <row r="690">
      <c r="A690" s="6"/>
      <c r="B690" s="7"/>
      <c r="C690" s="7"/>
      <c r="D690" s="7"/>
      <c r="E690" s="7"/>
      <c r="F690" s="7"/>
      <c r="G690" s="7"/>
      <c r="H690" s="7"/>
      <c r="I690" s="7"/>
      <c r="J690" s="8"/>
      <c r="K690" s="9"/>
    </row>
    <row r="691">
      <c r="A691" s="6"/>
      <c r="B691" s="7"/>
      <c r="C691" s="7"/>
      <c r="D691" s="7"/>
      <c r="E691" s="7"/>
      <c r="F691" s="7"/>
      <c r="G691" s="7"/>
      <c r="H691" s="7"/>
      <c r="I691" s="7"/>
      <c r="J691" s="8"/>
      <c r="K691" s="9"/>
    </row>
    <row r="692">
      <c r="A692" s="6"/>
      <c r="B692" s="7"/>
      <c r="C692" s="7"/>
      <c r="D692" s="7"/>
      <c r="E692" s="7"/>
      <c r="F692" s="7"/>
      <c r="G692" s="7"/>
      <c r="H692" s="7"/>
      <c r="I692" s="7"/>
      <c r="J692" s="8"/>
      <c r="K692" s="9"/>
    </row>
    <row r="693">
      <c r="A693" s="6"/>
      <c r="B693" s="7"/>
      <c r="C693" s="7"/>
      <c r="D693" s="7"/>
      <c r="E693" s="7"/>
      <c r="F693" s="7"/>
      <c r="G693" s="7"/>
      <c r="H693" s="7"/>
      <c r="I693" s="7"/>
      <c r="J693" s="8"/>
      <c r="K693" s="9"/>
    </row>
    <row r="694">
      <c r="A694" s="6"/>
      <c r="B694" s="7"/>
      <c r="C694" s="7"/>
      <c r="D694" s="7"/>
      <c r="E694" s="7"/>
      <c r="F694" s="7"/>
      <c r="G694" s="7"/>
      <c r="H694" s="7"/>
      <c r="I694" s="7"/>
      <c r="J694" s="8"/>
      <c r="K694" s="9"/>
    </row>
    <row r="695">
      <c r="A695" s="6"/>
      <c r="B695" s="7"/>
      <c r="C695" s="7"/>
      <c r="D695" s="7"/>
      <c r="E695" s="7"/>
      <c r="F695" s="7"/>
      <c r="G695" s="7"/>
      <c r="H695" s="7"/>
      <c r="I695" s="7"/>
      <c r="J695" s="8"/>
      <c r="K695" s="9"/>
    </row>
    <row r="696">
      <c r="A696" s="6"/>
      <c r="B696" s="7"/>
      <c r="C696" s="7"/>
      <c r="D696" s="7"/>
      <c r="E696" s="7"/>
      <c r="F696" s="7"/>
      <c r="G696" s="7"/>
      <c r="H696" s="7"/>
      <c r="I696" s="7"/>
      <c r="J696" s="8"/>
      <c r="K696" s="9"/>
    </row>
    <row r="697">
      <c r="A697" s="6"/>
      <c r="B697" s="7"/>
      <c r="C697" s="7"/>
      <c r="D697" s="7"/>
      <c r="E697" s="7"/>
      <c r="F697" s="7"/>
      <c r="G697" s="7"/>
      <c r="H697" s="7"/>
      <c r="I697" s="7"/>
      <c r="J697" s="8"/>
      <c r="K697" s="9"/>
    </row>
    <row r="698">
      <c r="A698" s="6"/>
      <c r="B698" s="7"/>
      <c r="C698" s="7"/>
      <c r="D698" s="7"/>
      <c r="E698" s="7"/>
      <c r="F698" s="7"/>
      <c r="G698" s="7"/>
      <c r="H698" s="7"/>
      <c r="I698" s="7"/>
      <c r="J698" s="8"/>
      <c r="K698" s="9"/>
    </row>
    <row r="699">
      <c r="A699" s="6"/>
      <c r="B699" s="7"/>
      <c r="C699" s="7"/>
      <c r="D699" s="7"/>
      <c r="E699" s="7"/>
      <c r="F699" s="7"/>
      <c r="G699" s="7"/>
      <c r="H699" s="7"/>
      <c r="I699" s="7"/>
      <c r="J699" s="8"/>
      <c r="K699" s="9"/>
    </row>
    <row r="700">
      <c r="A700" s="6"/>
      <c r="B700" s="7"/>
      <c r="C700" s="7"/>
      <c r="D700" s="7"/>
      <c r="E700" s="7"/>
      <c r="F700" s="7"/>
      <c r="G700" s="7"/>
      <c r="H700" s="7"/>
      <c r="I700" s="7"/>
      <c r="J700" s="8"/>
      <c r="K700" s="9"/>
    </row>
    <row r="701">
      <c r="A701" s="6"/>
      <c r="B701" s="7"/>
      <c r="C701" s="7"/>
      <c r="D701" s="7"/>
      <c r="E701" s="7"/>
      <c r="F701" s="7"/>
      <c r="G701" s="7"/>
      <c r="H701" s="7"/>
      <c r="I701" s="7"/>
      <c r="J701" s="8"/>
      <c r="K701" s="9"/>
    </row>
    <row r="702">
      <c r="A702" s="6"/>
      <c r="B702" s="7"/>
      <c r="C702" s="7"/>
      <c r="D702" s="7"/>
      <c r="E702" s="7"/>
      <c r="F702" s="7"/>
      <c r="G702" s="7"/>
      <c r="H702" s="7"/>
      <c r="I702" s="7"/>
      <c r="J702" s="8"/>
      <c r="K702" s="9"/>
    </row>
    <row r="703">
      <c r="A703" s="6"/>
      <c r="B703" s="7"/>
      <c r="C703" s="7"/>
      <c r="D703" s="7"/>
      <c r="E703" s="7"/>
      <c r="F703" s="7"/>
      <c r="G703" s="7"/>
      <c r="H703" s="7"/>
      <c r="I703" s="7"/>
      <c r="J703" s="8"/>
      <c r="K703" s="9"/>
    </row>
    <row r="704">
      <c r="A704" s="6"/>
      <c r="B704" s="7"/>
      <c r="C704" s="7"/>
      <c r="D704" s="7"/>
      <c r="E704" s="7"/>
      <c r="F704" s="7"/>
      <c r="G704" s="7"/>
      <c r="H704" s="7"/>
      <c r="I704" s="7"/>
      <c r="J704" s="8"/>
      <c r="K704" s="9"/>
    </row>
    <row r="705">
      <c r="A705" s="6"/>
      <c r="B705" s="7"/>
      <c r="C705" s="7"/>
      <c r="D705" s="7"/>
      <c r="E705" s="7"/>
      <c r="F705" s="7"/>
      <c r="G705" s="7"/>
      <c r="H705" s="7"/>
      <c r="I705" s="7"/>
      <c r="J705" s="8"/>
      <c r="K705" s="9"/>
    </row>
    <row r="706">
      <c r="A706" s="6"/>
      <c r="B706" s="7"/>
      <c r="C706" s="7"/>
      <c r="D706" s="7"/>
      <c r="E706" s="7"/>
      <c r="F706" s="7"/>
      <c r="G706" s="7"/>
      <c r="H706" s="7"/>
      <c r="I706" s="7"/>
      <c r="J706" s="8"/>
      <c r="K706" s="9"/>
    </row>
    <row r="707">
      <c r="A707" s="6"/>
      <c r="B707" s="7"/>
      <c r="C707" s="7"/>
      <c r="D707" s="7"/>
      <c r="E707" s="7"/>
      <c r="F707" s="7"/>
      <c r="G707" s="7"/>
      <c r="H707" s="7"/>
      <c r="I707" s="7"/>
      <c r="J707" s="8"/>
      <c r="K707" s="9"/>
    </row>
    <row r="708">
      <c r="A708" s="6"/>
      <c r="B708" s="7"/>
      <c r="C708" s="7"/>
      <c r="D708" s="7"/>
      <c r="E708" s="7"/>
      <c r="F708" s="7"/>
      <c r="G708" s="7"/>
      <c r="H708" s="7"/>
      <c r="I708" s="7"/>
      <c r="J708" s="8"/>
      <c r="K708" s="9"/>
    </row>
    <row r="709">
      <c r="A709" s="6"/>
      <c r="B709" s="7"/>
      <c r="C709" s="7"/>
      <c r="D709" s="7"/>
      <c r="E709" s="7"/>
      <c r="F709" s="7"/>
      <c r="G709" s="7"/>
      <c r="H709" s="7"/>
      <c r="I709" s="7"/>
      <c r="J709" s="8"/>
      <c r="K709" s="9"/>
    </row>
    <row r="710">
      <c r="A710" s="6"/>
      <c r="B710" s="7"/>
      <c r="C710" s="7"/>
      <c r="D710" s="7"/>
      <c r="E710" s="7"/>
      <c r="F710" s="7"/>
      <c r="G710" s="7"/>
      <c r="H710" s="7"/>
      <c r="I710" s="7"/>
      <c r="J710" s="8"/>
      <c r="K710" s="9"/>
    </row>
    <row r="711">
      <c r="A711" s="6"/>
      <c r="B711" s="7"/>
      <c r="C711" s="7"/>
      <c r="D711" s="7"/>
      <c r="E711" s="7"/>
      <c r="F711" s="7"/>
      <c r="G711" s="7"/>
      <c r="H711" s="7"/>
      <c r="I711" s="7"/>
      <c r="J711" s="8"/>
      <c r="K711" s="9"/>
    </row>
    <row r="712">
      <c r="A712" s="6"/>
      <c r="B712" s="7"/>
      <c r="C712" s="7"/>
      <c r="D712" s="7"/>
      <c r="E712" s="7"/>
      <c r="F712" s="7"/>
      <c r="G712" s="7"/>
      <c r="H712" s="7"/>
      <c r="I712" s="7"/>
      <c r="J712" s="8"/>
      <c r="K712" s="9"/>
    </row>
    <row r="713">
      <c r="A713" s="6"/>
      <c r="B713" s="7"/>
      <c r="C713" s="7"/>
      <c r="D713" s="7"/>
      <c r="E713" s="7"/>
      <c r="F713" s="7"/>
      <c r="G713" s="7"/>
      <c r="H713" s="7"/>
      <c r="I713" s="7"/>
      <c r="J713" s="8"/>
      <c r="K713" s="9"/>
    </row>
    <row r="714">
      <c r="A714" s="6"/>
      <c r="B714" s="7"/>
      <c r="C714" s="7"/>
      <c r="D714" s="7"/>
      <c r="E714" s="7"/>
      <c r="F714" s="7"/>
      <c r="G714" s="7"/>
      <c r="H714" s="7"/>
      <c r="I714" s="7"/>
      <c r="J714" s="8"/>
      <c r="K714" s="9"/>
    </row>
    <row r="715">
      <c r="A715" s="6"/>
      <c r="B715" s="7"/>
      <c r="C715" s="7"/>
      <c r="D715" s="7"/>
      <c r="E715" s="7"/>
      <c r="F715" s="7"/>
      <c r="G715" s="7"/>
      <c r="H715" s="7"/>
      <c r="I715" s="7"/>
      <c r="J715" s="8"/>
      <c r="K715" s="9"/>
    </row>
    <row r="716">
      <c r="A716" s="6"/>
      <c r="B716" s="7"/>
      <c r="C716" s="7"/>
      <c r="D716" s="7"/>
      <c r="E716" s="7"/>
      <c r="F716" s="7"/>
      <c r="G716" s="7"/>
      <c r="H716" s="7"/>
      <c r="I716" s="7"/>
      <c r="J716" s="8"/>
      <c r="K716" s="9"/>
    </row>
    <row r="717">
      <c r="A717" s="6"/>
      <c r="B717" s="7"/>
      <c r="C717" s="7"/>
      <c r="D717" s="7"/>
      <c r="E717" s="7"/>
      <c r="F717" s="7"/>
      <c r="G717" s="7"/>
      <c r="H717" s="7"/>
      <c r="I717" s="7"/>
      <c r="J717" s="8"/>
      <c r="K717" s="9"/>
    </row>
    <row r="718">
      <c r="A718" s="6"/>
      <c r="B718" s="7"/>
      <c r="C718" s="7"/>
      <c r="D718" s="7"/>
      <c r="E718" s="7"/>
      <c r="F718" s="7"/>
      <c r="G718" s="7"/>
      <c r="H718" s="7"/>
      <c r="I718" s="7"/>
      <c r="J718" s="8"/>
      <c r="K718" s="9"/>
    </row>
    <row r="719">
      <c r="A719" s="6"/>
      <c r="B719" s="7"/>
      <c r="C719" s="7"/>
      <c r="D719" s="7"/>
      <c r="E719" s="7"/>
      <c r="F719" s="7"/>
      <c r="G719" s="7"/>
      <c r="H719" s="7"/>
      <c r="I719" s="7"/>
      <c r="J719" s="8"/>
      <c r="K719" s="9"/>
    </row>
    <row r="720">
      <c r="A720" s="6"/>
      <c r="B720" s="7"/>
      <c r="C720" s="7"/>
      <c r="D720" s="7"/>
      <c r="E720" s="7"/>
      <c r="F720" s="7"/>
      <c r="G720" s="7"/>
      <c r="H720" s="7"/>
      <c r="I720" s="7"/>
      <c r="J720" s="8"/>
      <c r="K720" s="9"/>
    </row>
    <row r="721">
      <c r="A721" s="6"/>
      <c r="B721" s="7"/>
      <c r="C721" s="7"/>
      <c r="D721" s="7"/>
      <c r="E721" s="7"/>
      <c r="F721" s="7"/>
      <c r="G721" s="7"/>
      <c r="H721" s="7"/>
      <c r="I721" s="7"/>
      <c r="J721" s="8"/>
      <c r="K721" s="9"/>
    </row>
    <row r="722">
      <c r="A722" s="6"/>
      <c r="B722" s="7"/>
      <c r="C722" s="7"/>
      <c r="D722" s="7"/>
      <c r="E722" s="7"/>
      <c r="F722" s="7"/>
      <c r="G722" s="7"/>
      <c r="H722" s="7"/>
      <c r="I722" s="7"/>
      <c r="J722" s="8"/>
      <c r="K722" s="9"/>
    </row>
    <row r="723">
      <c r="A723" s="6"/>
      <c r="B723" s="7"/>
      <c r="C723" s="7"/>
      <c r="D723" s="7"/>
      <c r="E723" s="7"/>
      <c r="F723" s="7"/>
      <c r="G723" s="7"/>
      <c r="H723" s="7"/>
      <c r="I723" s="7"/>
      <c r="J723" s="8"/>
      <c r="K723" s="9"/>
    </row>
    <row r="724">
      <c r="A724" s="6"/>
      <c r="B724" s="7"/>
      <c r="C724" s="7"/>
      <c r="D724" s="7"/>
      <c r="E724" s="7"/>
      <c r="F724" s="7"/>
      <c r="G724" s="7"/>
      <c r="H724" s="7"/>
      <c r="I724" s="7"/>
      <c r="J724" s="8"/>
      <c r="K724" s="9"/>
    </row>
    <row r="725">
      <c r="A725" s="6"/>
      <c r="B725" s="7"/>
      <c r="C725" s="7"/>
      <c r="D725" s="7"/>
      <c r="E725" s="7"/>
      <c r="F725" s="7"/>
      <c r="G725" s="7"/>
      <c r="H725" s="7"/>
      <c r="I725" s="7"/>
      <c r="J725" s="8"/>
      <c r="K725" s="9"/>
    </row>
    <row r="726">
      <c r="A726" s="6"/>
      <c r="B726" s="7"/>
      <c r="C726" s="7"/>
      <c r="D726" s="7"/>
      <c r="E726" s="7"/>
      <c r="F726" s="7"/>
      <c r="G726" s="7"/>
      <c r="H726" s="7"/>
      <c r="I726" s="7"/>
      <c r="J726" s="8"/>
      <c r="K726" s="9"/>
    </row>
    <row r="727">
      <c r="A727" s="6"/>
      <c r="B727" s="7"/>
      <c r="C727" s="7"/>
      <c r="D727" s="7"/>
      <c r="E727" s="7"/>
      <c r="F727" s="7"/>
      <c r="G727" s="7"/>
      <c r="H727" s="7"/>
      <c r="I727" s="7"/>
      <c r="J727" s="8"/>
      <c r="K727" s="9"/>
    </row>
    <row r="728">
      <c r="A728" s="6"/>
      <c r="B728" s="7"/>
      <c r="C728" s="7"/>
      <c r="D728" s="7"/>
      <c r="E728" s="7"/>
      <c r="F728" s="7"/>
      <c r="G728" s="7"/>
      <c r="H728" s="7"/>
      <c r="I728" s="7"/>
      <c r="J728" s="8"/>
      <c r="K728" s="9"/>
    </row>
    <row r="729">
      <c r="A729" s="6"/>
      <c r="B729" s="7"/>
      <c r="C729" s="7"/>
      <c r="D729" s="7"/>
      <c r="E729" s="7"/>
      <c r="F729" s="7"/>
      <c r="G729" s="7"/>
      <c r="H729" s="7"/>
      <c r="I729" s="7"/>
      <c r="J729" s="8"/>
      <c r="K729" s="9"/>
    </row>
    <row r="730">
      <c r="A730" s="6"/>
      <c r="B730" s="7"/>
      <c r="C730" s="7"/>
      <c r="D730" s="7"/>
      <c r="E730" s="7"/>
      <c r="F730" s="7"/>
      <c r="G730" s="7"/>
      <c r="H730" s="7"/>
      <c r="I730" s="7"/>
      <c r="J730" s="8"/>
      <c r="K730" s="9"/>
    </row>
    <row r="731">
      <c r="A731" s="6"/>
      <c r="B731" s="7"/>
      <c r="C731" s="7"/>
      <c r="D731" s="7"/>
      <c r="E731" s="7"/>
      <c r="F731" s="7"/>
      <c r="G731" s="7"/>
      <c r="H731" s="7"/>
      <c r="I731" s="7"/>
      <c r="J731" s="8"/>
      <c r="K731" s="9"/>
    </row>
    <row r="732">
      <c r="A732" s="6"/>
      <c r="B732" s="7"/>
      <c r="C732" s="7"/>
      <c r="D732" s="7"/>
      <c r="E732" s="7"/>
      <c r="F732" s="7"/>
      <c r="G732" s="7"/>
      <c r="H732" s="7"/>
      <c r="I732" s="7"/>
      <c r="J732" s="8"/>
      <c r="K732" s="9"/>
    </row>
    <row r="733">
      <c r="A733" s="6"/>
      <c r="B733" s="7"/>
      <c r="C733" s="7"/>
      <c r="D733" s="7"/>
      <c r="E733" s="7"/>
      <c r="F733" s="7"/>
      <c r="G733" s="7"/>
      <c r="H733" s="7"/>
      <c r="I733" s="7"/>
      <c r="J733" s="8"/>
      <c r="K733" s="9"/>
    </row>
    <row r="734">
      <c r="A734" s="6"/>
      <c r="B734" s="7"/>
      <c r="C734" s="7"/>
      <c r="D734" s="7"/>
      <c r="E734" s="7"/>
      <c r="F734" s="7"/>
      <c r="G734" s="7"/>
      <c r="H734" s="7"/>
      <c r="I734" s="7"/>
      <c r="J734" s="8"/>
      <c r="K734" s="9"/>
    </row>
    <row r="735">
      <c r="A735" s="6"/>
      <c r="B735" s="7"/>
      <c r="C735" s="7"/>
      <c r="D735" s="7"/>
      <c r="E735" s="7"/>
      <c r="F735" s="7"/>
      <c r="G735" s="7"/>
      <c r="H735" s="7"/>
      <c r="I735" s="7"/>
      <c r="J735" s="8"/>
      <c r="K735" s="9"/>
    </row>
    <row r="736">
      <c r="A736" s="6"/>
      <c r="B736" s="7"/>
      <c r="C736" s="7"/>
      <c r="D736" s="7"/>
      <c r="E736" s="7"/>
      <c r="F736" s="7"/>
      <c r="G736" s="7"/>
      <c r="H736" s="7"/>
      <c r="I736" s="7"/>
      <c r="J736" s="8"/>
      <c r="K736" s="9"/>
    </row>
    <row r="737">
      <c r="A737" s="6"/>
      <c r="B737" s="7"/>
      <c r="C737" s="7"/>
      <c r="D737" s="7"/>
      <c r="E737" s="7"/>
      <c r="F737" s="7"/>
      <c r="G737" s="7"/>
      <c r="H737" s="7"/>
      <c r="I737" s="7"/>
      <c r="J737" s="8"/>
      <c r="K737" s="9"/>
    </row>
    <row r="738">
      <c r="A738" s="6"/>
      <c r="B738" s="7"/>
      <c r="C738" s="7"/>
      <c r="D738" s="7"/>
      <c r="E738" s="7"/>
      <c r="F738" s="7"/>
      <c r="G738" s="7"/>
      <c r="H738" s="7"/>
      <c r="I738" s="7"/>
      <c r="J738" s="8"/>
      <c r="K738" s="9"/>
    </row>
    <row r="739">
      <c r="A739" s="6"/>
      <c r="B739" s="7"/>
      <c r="C739" s="7"/>
      <c r="D739" s="7"/>
      <c r="E739" s="7"/>
      <c r="F739" s="7"/>
      <c r="G739" s="7"/>
      <c r="H739" s="7"/>
      <c r="I739" s="7"/>
      <c r="J739" s="8"/>
      <c r="K739" s="9"/>
    </row>
    <row r="740">
      <c r="A740" s="6"/>
      <c r="B740" s="7"/>
      <c r="C740" s="7"/>
      <c r="D740" s="7"/>
      <c r="E740" s="7"/>
      <c r="F740" s="7"/>
      <c r="G740" s="7"/>
      <c r="H740" s="7"/>
      <c r="I740" s="7"/>
      <c r="J740" s="8"/>
      <c r="K740" s="9"/>
    </row>
    <row r="741">
      <c r="A741" s="6"/>
      <c r="B741" s="7"/>
      <c r="C741" s="7"/>
      <c r="D741" s="7"/>
      <c r="E741" s="7"/>
      <c r="F741" s="7"/>
      <c r="G741" s="7"/>
      <c r="H741" s="7"/>
      <c r="I741" s="7"/>
      <c r="J741" s="8"/>
      <c r="K741" s="9"/>
    </row>
    <row r="742">
      <c r="A742" s="6"/>
      <c r="B742" s="7"/>
      <c r="C742" s="7"/>
      <c r="D742" s="7"/>
      <c r="E742" s="7"/>
      <c r="F742" s="7"/>
      <c r="G742" s="7"/>
      <c r="H742" s="7"/>
      <c r="I742" s="7"/>
      <c r="J742" s="8"/>
      <c r="K742" s="9"/>
    </row>
    <row r="743">
      <c r="A743" s="6"/>
      <c r="B743" s="7"/>
      <c r="C743" s="7"/>
      <c r="D743" s="7"/>
      <c r="E743" s="7"/>
      <c r="F743" s="7"/>
      <c r="G743" s="7"/>
      <c r="H743" s="7"/>
      <c r="I743" s="7"/>
      <c r="J743" s="8"/>
      <c r="K743" s="9"/>
    </row>
    <row r="744">
      <c r="A744" s="6"/>
      <c r="B744" s="7"/>
      <c r="C744" s="7"/>
      <c r="D744" s="7"/>
      <c r="E744" s="7"/>
      <c r="F744" s="7"/>
      <c r="G744" s="7"/>
      <c r="H744" s="7"/>
      <c r="I744" s="7"/>
      <c r="J744" s="8"/>
      <c r="K744" s="9"/>
    </row>
    <row r="745">
      <c r="A745" s="6"/>
      <c r="B745" s="7"/>
      <c r="C745" s="7"/>
      <c r="D745" s="7"/>
      <c r="E745" s="7"/>
      <c r="F745" s="7"/>
      <c r="G745" s="7"/>
      <c r="H745" s="7"/>
      <c r="I745" s="7"/>
      <c r="J745" s="8"/>
      <c r="K745" s="9"/>
    </row>
    <row r="746">
      <c r="A746" s="6"/>
      <c r="B746" s="7"/>
      <c r="C746" s="7"/>
      <c r="D746" s="7"/>
      <c r="E746" s="7"/>
      <c r="F746" s="7"/>
      <c r="G746" s="7"/>
      <c r="H746" s="7"/>
      <c r="I746" s="7"/>
      <c r="J746" s="8"/>
      <c r="K746" s="9"/>
    </row>
    <row r="747">
      <c r="A747" s="6"/>
      <c r="B747" s="7"/>
      <c r="C747" s="7"/>
      <c r="D747" s="7"/>
      <c r="E747" s="7"/>
      <c r="F747" s="7"/>
      <c r="G747" s="7"/>
      <c r="H747" s="7"/>
      <c r="I747" s="7"/>
      <c r="J747" s="8"/>
      <c r="K747" s="9"/>
    </row>
    <row r="748">
      <c r="A748" s="6"/>
      <c r="B748" s="7"/>
      <c r="C748" s="7"/>
      <c r="D748" s="7"/>
      <c r="E748" s="7"/>
      <c r="F748" s="7"/>
      <c r="G748" s="7"/>
      <c r="H748" s="7"/>
      <c r="I748" s="7"/>
      <c r="J748" s="8"/>
      <c r="K748" s="9"/>
    </row>
    <row r="749">
      <c r="A749" s="6"/>
      <c r="B749" s="7"/>
      <c r="C749" s="7"/>
      <c r="D749" s="7"/>
      <c r="E749" s="7"/>
      <c r="F749" s="7"/>
      <c r="G749" s="7"/>
      <c r="H749" s="7"/>
      <c r="I749" s="7"/>
      <c r="J749" s="8"/>
      <c r="K749" s="9"/>
    </row>
    <row r="750">
      <c r="A750" s="6"/>
      <c r="B750" s="7"/>
      <c r="C750" s="7"/>
      <c r="D750" s="7"/>
      <c r="E750" s="7"/>
      <c r="F750" s="7"/>
      <c r="G750" s="7"/>
      <c r="H750" s="7"/>
      <c r="I750" s="7"/>
      <c r="J750" s="8"/>
      <c r="K750" s="9"/>
    </row>
    <row r="751">
      <c r="A751" s="6"/>
      <c r="B751" s="7"/>
      <c r="C751" s="7"/>
      <c r="D751" s="7"/>
      <c r="E751" s="7"/>
      <c r="F751" s="7"/>
      <c r="G751" s="7"/>
      <c r="H751" s="7"/>
      <c r="I751" s="7"/>
      <c r="J751" s="8"/>
      <c r="K751" s="9"/>
    </row>
    <row r="752">
      <c r="A752" s="6"/>
      <c r="B752" s="7"/>
      <c r="C752" s="7"/>
      <c r="D752" s="7"/>
      <c r="E752" s="7"/>
      <c r="F752" s="7"/>
      <c r="G752" s="7"/>
      <c r="H752" s="7"/>
      <c r="I752" s="7"/>
      <c r="J752" s="8"/>
      <c r="K752" s="9"/>
    </row>
    <row r="753">
      <c r="A753" s="6"/>
      <c r="B753" s="7"/>
      <c r="C753" s="7"/>
      <c r="D753" s="7"/>
      <c r="E753" s="7"/>
      <c r="F753" s="7"/>
      <c r="G753" s="7"/>
      <c r="H753" s="7"/>
      <c r="I753" s="7"/>
      <c r="J753" s="8"/>
      <c r="K753" s="9"/>
    </row>
    <row r="754">
      <c r="A754" s="6"/>
      <c r="B754" s="7"/>
      <c r="C754" s="7"/>
      <c r="D754" s="7"/>
      <c r="E754" s="7"/>
      <c r="F754" s="7"/>
      <c r="G754" s="7"/>
      <c r="H754" s="7"/>
      <c r="I754" s="7"/>
      <c r="J754" s="8"/>
      <c r="K754" s="9"/>
    </row>
    <row r="755">
      <c r="A755" s="6"/>
      <c r="B755" s="7"/>
      <c r="C755" s="7"/>
      <c r="D755" s="7"/>
      <c r="E755" s="7"/>
      <c r="F755" s="7"/>
      <c r="G755" s="7"/>
      <c r="H755" s="7"/>
      <c r="I755" s="7"/>
      <c r="J755" s="8"/>
      <c r="K755" s="9"/>
    </row>
    <row r="756">
      <c r="A756" s="6"/>
      <c r="B756" s="7"/>
      <c r="C756" s="7"/>
      <c r="D756" s="7"/>
      <c r="E756" s="7"/>
      <c r="F756" s="7"/>
      <c r="G756" s="7"/>
      <c r="H756" s="7"/>
      <c r="I756" s="7"/>
      <c r="J756" s="8"/>
      <c r="K756" s="9"/>
    </row>
    <row r="757">
      <c r="A757" s="6"/>
      <c r="B757" s="7"/>
      <c r="C757" s="7"/>
      <c r="D757" s="7"/>
      <c r="E757" s="7"/>
      <c r="F757" s="7"/>
      <c r="G757" s="7"/>
      <c r="H757" s="7"/>
      <c r="I757" s="7"/>
      <c r="J757" s="8"/>
      <c r="K757" s="9"/>
    </row>
    <row r="758">
      <c r="A758" s="6"/>
      <c r="B758" s="7"/>
      <c r="C758" s="7"/>
      <c r="D758" s="7"/>
      <c r="E758" s="7"/>
      <c r="F758" s="7"/>
      <c r="G758" s="7"/>
      <c r="H758" s="7"/>
      <c r="I758" s="7"/>
      <c r="J758" s="8"/>
      <c r="K758" s="9"/>
    </row>
    <row r="759">
      <c r="A759" s="6"/>
      <c r="B759" s="7"/>
      <c r="C759" s="7"/>
      <c r="D759" s="7"/>
      <c r="E759" s="7"/>
      <c r="F759" s="7"/>
      <c r="G759" s="7"/>
      <c r="H759" s="7"/>
      <c r="I759" s="7"/>
      <c r="J759" s="8"/>
      <c r="K759" s="9"/>
    </row>
    <row r="760">
      <c r="A760" s="6"/>
      <c r="B760" s="7"/>
      <c r="C760" s="7"/>
      <c r="D760" s="7"/>
      <c r="E760" s="7"/>
      <c r="F760" s="7"/>
      <c r="G760" s="7"/>
      <c r="H760" s="7"/>
      <c r="I760" s="7"/>
      <c r="J760" s="8"/>
      <c r="K760" s="9"/>
    </row>
    <row r="761">
      <c r="A761" s="6"/>
      <c r="B761" s="7"/>
      <c r="C761" s="7"/>
      <c r="D761" s="7"/>
      <c r="E761" s="7"/>
      <c r="F761" s="7"/>
      <c r="G761" s="7"/>
      <c r="H761" s="7"/>
      <c r="I761" s="7"/>
      <c r="J761" s="8"/>
      <c r="K761" s="9"/>
    </row>
    <row r="762">
      <c r="A762" s="6"/>
      <c r="B762" s="7"/>
      <c r="C762" s="7"/>
      <c r="D762" s="7"/>
      <c r="E762" s="7"/>
      <c r="F762" s="7"/>
      <c r="G762" s="7"/>
      <c r="H762" s="7"/>
      <c r="I762" s="7"/>
      <c r="J762" s="8"/>
      <c r="K762" s="9"/>
    </row>
    <row r="763">
      <c r="A763" s="6"/>
      <c r="B763" s="7"/>
      <c r="C763" s="7"/>
      <c r="D763" s="7"/>
      <c r="E763" s="7"/>
      <c r="F763" s="7"/>
      <c r="G763" s="7"/>
      <c r="H763" s="7"/>
      <c r="I763" s="7"/>
      <c r="J763" s="8"/>
      <c r="K763" s="9"/>
    </row>
    <row r="764">
      <c r="A764" s="6"/>
      <c r="B764" s="7"/>
      <c r="C764" s="7"/>
      <c r="D764" s="7"/>
      <c r="E764" s="7"/>
      <c r="F764" s="7"/>
      <c r="G764" s="7"/>
      <c r="H764" s="7"/>
      <c r="I764" s="7"/>
      <c r="J764" s="8"/>
      <c r="K764" s="9"/>
    </row>
    <row r="765">
      <c r="A765" s="6"/>
      <c r="B765" s="7"/>
      <c r="C765" s="7"/>
      <c r="D765" s="7"/>
      <c r="E765" s="7"/>
      <c r="F765" s="7"/>
      <c r="G765" s="7"/>
      <c r="H765" s="7"/>
      <c r="I765" s="7"/>
      <c r="J765" s="8"/>
      <c r="K765" s="9"/>
    </row>
    <row r="766">
      <c r="A766" s="6"/>
      <c r="B766" s="7"/>
      <c r="C766" s="7"/>
      <c r="D766" s="7"/>
      <c r="E766" s="7"/>
      <c r="F766" s="7"/>
      <c r="G766" s="7"/>
      <c r="H766" s="7"/>
      <c r="I766" s="7"/>
      <c r="J766" s="8"/>
      <c r="K766" s="9"/>
    </row>
    <row r="767">
      <c r="A767" s="6"/>
      <c r="B767" s="7"/>
      <c r="C767" s="7"/>
      <c r="D767" s="7"/>
      <c r="E767" s="7"/>
      <c r="F767" s="7"/>
      <c r="G767" s="7"/>
      <c r="H767" s="7"/>
      <c r="I767" s="7"/>
      <c r="J767" s="8"/>
      <c r="K767" s="9"/>
    </row>
    <row r="768">
      <c r="A768" s="6"/>
      <c r="B768" s="7"/>
      <c r="C768" s="7"/>
      <c r="D768" s="7"/>
      <c r="E768" s="7"/>
      <c r="F768" s="7"/>
      <c r="G768" s="7"/>
      <c r="H768" s="7"/>
      <c r="I768" s="7"/>
      <c r="J768" s="8"/>
      <c r="K768" s="9"/>
    </row>
    <row r="769">
      <c r="A769" s="6"/>
      <c r="B769" s="7"/>
      <c r="C769" s="7"/>
      <c r="D769" s="7"/>
      <c r="E769" s="7"/>
      <c r="F769" s="7"/>
      <c r="G769" s="7"/>
      <c r="H769" s="7"/>
      <c r="I769" s="7"/>
      <c r="J769" s="8"/>
      <c r="K769" s="9"/>
    </row>
    <row r="770">
      <c r="A770" s="6"/>
      <c r="B770" s="7"/>
      <c r="C770" s="7"/>
      <c r="D770" s="7"/>
      <c r="E770" s="7"/>
      <c r="F770" s="7"/>
      <c r="G770" s="7"/>
      <c r="H770" s="7"/>
      <c r="I770" s="7"/>
      <c r="J770" s="8"/>
      <c r="K770" s="9"/>
    </row>
    <row r="771">
      <c r="A771" s="6"/>
      <c r="B771" s="7"/>
      <c r="C771" s="7"/>
      <c r="D771" s="7"/>
      <c r="E771" s="7"/>
      <c r="F771" s="7"/>
      <c r="G771" s="7"/>
      <c r="H771" s="7"/>
      <c r="I771" s="7"/>
      <c r="J771" s="8"/>
      <c r="K771" s="9"/>
    </row>
    <row r="772">
      <c r="A772" s="6"/>
      <c r="B772" s="7"/>
      <c r="C772" s="7"/>
      <c r="D772" s="7"/>
      <c r="E772" s="7"/>
      <c r="F772" s="7"/>
      <c r="G772" s="7"/>
      <c r="H772" s="7"/>
      <c r="I772" s="7"/>
      <c r="J772" s="8"/>
      <c r="K772" s="9"/>
    </row>
    <row r="773">
      <c r="A773" s="6"/>
      <c r="B773" s="7"/>
      <c r="C773" s="7"/>
      <c r="D773" s="7"/>
      <c r="E773" s="7"/>
      <c r="F773" s="7"/>
      <c r="G773" s="7"/>
      <c r="H773" s="7"/>
      <c r="I773" s="7"/>
      <c r="J773" s="8"/>
      <c r="K773" s="9"/>
    </row>
    <row r="774">
      <c r="A774" s="6"/>
      <c r="B774" s="7"/>
      <c r="C774" s="7"/>
      <c r="D774" s="7"/>
      <c r="E774" s="7"/>
      <c r="F774" s="7"/>
      <c r="G774" s="7"/>
      <c r="H774" s="7"/>
      <c r="I774" s="7"/>
      <c r="J774" s="8"/>
      <c r="K774" s="9"/>
    </row>
    <row r="775">
      <c r="A775" s="6"/>
      <c r="B775" s="7"/>
      <c r="C775" s="7"/>
      <c r="D775" s="7"/>
      <c r="E775" s="7"/>
      <c r="F775" s="7"/>
      <c r="G775" s="7"/>
      <c r="H775" s="7"/>
      <c r="I775" s="7"/>
      <c r="J775" s="8"/>
      <c r="K775" s="9"/>
    </row>
    <row r="776">
      <c r="A776" s="6"/>
      <c r="B776" s="7"/>
      <c r="C776" s="7"/>
      <c r="D776" s="7"/>
      <c r="E776" s="7"/>
      <c r="F776" s="7"/>
      <c r="G776" s="7"/>
      <c r="H776" s="7"/>
      <c r="I776" s="7"/>
      <c r="J776" s="8"/>
      <c r="K776" s="9"/>
    </row>
    <row r="777">
      <c r="A777" s="6"/>
      <c r="B777" s="7"/>
      <c r="C777" s="7"/>
      <c r="D777" s="7"/>
      <c r="E777" s="7"/>
      <c r="F777" s="7"/>
      <c r="G777" s="7"/>
      <c r="H777" s="7"/>
      <c r="I777" s="7"/>
      <c r="J777" s="8"/>
      <c r="K777" s="9"/>
    </row>
    <row r="778">
      <c r="A778" s="6"/>
      <c r="B778" s="7"/>
      <c r="C778" s="7"/>
      <c r="D778" s="7"/>
      <c r="E778" s="7"/>
      <c r="F778" s="7"/>
      <c r="G778" s="7"/>
      <c r="H778" s="7"/>
      <c r="I778" s="7"/>
      <c r="J778" s="8"/>
      <c r="K778" s="9"/>
    </row>
    <row r="779">
      <c r="A779" s="6"/>
      <c r="B779" s="7"/>
      <c r="C779" s="7"/>
      <c r="D779" s="7"/>
      <c r="E779" s="7"/>
      <c r="F779" s="7"/>
      <c r="G779" s="7"/>
      <c r="H779" s="7"/>
      <c r="I779" s="7"/>
      <c r="J779" s="8"/>
      <c r="K779" s="9"/>
    </row>
    <row r="780">
      <c r="A780" s="6"/>
      <c r="B780" s="7"/>
      <c r="C780" s="7"/>
      <c r="D780" s="7"/>
      <c r="E780" s="7"/>
      <c r="F780" s="7"/>
      <c r="G780" s="7"/>
      <c r="H780" s="7"/>
      <c r="I780" s="7"/>
      <c r="J780" s="8"/>
      <c r="K780" s="9"/>
    </row>
    <row r="781">
      <c r="A781" s="6"/>
      <c r="B781" s="7"/>
      <c r="C781" s="7"/>
      <c r="D781" s="7"/>
      <c r="E781" s="7"/>
      <c r="F781" s="7"/>
      <c r="G781" s="7"/>
      <c r="H781" s="7"/>
      <c r="I781" s="7"/>
      <c r="J781" s="8"/>
      <c r="K781" s="9"/>
    </row>
    <row r="782">
      <c r="A782" s="6"/>
      <c r="B782" s="7"/>
      <c r="C782" s="7"/>
      <c r="D782" s="7"/>
      <c r="E782" s="7"/>
      <c r="F782" s="7"/>
      <c r="G782" s="7"/>
      <c r="H782" s="7"/>
      <c r="I782" s="7"/>
      <c r="J782" s="8"/>
      <c r="K782" s="9"/>
    </row>
    <row r="783">
      <c r="A783" s="6"/>
      <c r="B783" s="7"/>
      <c r="C783" s="7"/>
      <c r="D783" s="7"/>
      <c r="E783" s="7"/>
      <c r="F783" s="7"/>
      <c r="G783" s="7"/>
      <c r="H783" s="7"/>
      <c r="I783" s="7"/>
      <c r="J783" s="8"/>
      <c r="K783" s="9"/>
    </row>
    <row r="784">
      <c r="A784" s="6"/>
      <c r="B784" s="7"/>
      <c r="C784" s="7"/>
      <c r="D784" s="7"/>
      <c r="E784" s="7"/>
      <c r="F784" s="7"/>
      <c r="G784" s="7"/>
      <c r="H784" s="7"/>
      <c r="I784" s="7"/>
      <c r="J784" s="8"/>
      <c r="K784" s="9"/>
    </row>
    <row r="785">
      <c r="A785" s="6"/>
      <c r="B785" s="7"/>
      <c r="C785" s="7"/>
      <c r="D785" s="7"/>
      <c r="E785" s="7"/>
      <c r="F785" s="7"/>
      <c r="G785" s="7"/>
      <c r="H785" s="7"/>
      <c r="I785" s="7"/>
      <c r="J785" s="8"/>
      <c r="K785" s="9"/>
    </row>
    <row r="786">
      <c r="A786" s="6"/>
      <c r="B786" s="7"/>
      <c r="C786" s="7"/>
      <c r="D786" s="7"/>
      <c r="E786" s="7"/>
      <c r="F786" s="7"/>
      <c r="G786" s="7"/>
      <c r="H786" s="7"/>
      <c r="I786" s="7"/>
      <c r="J786" s="8"/>
      <c r="K786" s="9"/>
    </row>
    <row r="787">
      <c r="A787" s="6"/>
      <c r="B787" s="7"/>
      <c r="C787" s="7"/>
      <c r="D787" s="7"/>
      <c r="E787" s="7"/>
      <c r="F787" s="7"/>
      <c r="G787" s="7"/>
      <c r="H787" s="7"/>
      <c r="I787" s="7"/>
      <c r="J787" s="8"/>
      <c r="K787" s="9"/>
    </row>
    <row r="788">
      <c r="A788" s="6"/>
      <c r="B788" s="7"/>
      <c r="C788" s="7"/>
      <c r="D788" s="7"/>
      <c r="E788" s="7"/>
      <c r="F788" s="7"/>
      <c r="G788" s="7"/>
      <c r="H788" s="7"/>
      <c r="I788" s="7"/>
      <c r="J788" s="8"/>
      <c r="K788" s="9"/>
    </row>
    <row r="789">
      <c r="A789" s="6"/>
      <c r="B789" s="7"/>
      <c r="C789" s="7"/>
      <c r="D789" s="7"/>
      <c r="E789" s="7"/>
      <c r="F789" s="7"/>
      <c r="G789" s="7"/>
      <c r="H789" s="7"/>
      <c r="I789" s="7"/>
      <c r="J789" s="8"/>
      <c r="K789" s="9"/>
    </row>
    <row r="790">
      <c r="A790" s="6"/>
      <c r="B790" s="7"/>
      <c r="C790" s="7"/>
      <c r="D790" s="7"/>
      <c r="E790" s="7"/>
      <c r="F790" s="7"/>
      <c r="G790" s="7"/>
      <c r="H790" s="7"/>
      <c r="I790" s="7"/>
      <c r="J790" s="8"/>
      <c r="K790" s="9"/>
    </row>
    <row r="791">
      <c r="A791" s="6"/>
      <c r="B791" s="7"/>
      <c r="C791" s="7"/>
      <c r="D791" s="7"/>
      <c r="E791" s="7"/>
      <c r="F791" s="7"/>
      <c r="G791" s="7"/>
      <c r="H791" s="7"/>
      <c r="I791" s="7"/>
      <c r="J791" s="8"/>
      <c r="K791" s="9"/>
    </row>
    <row r="792">
      <c r="A792" s="6"/>
      <c r="B792" s="7"/>
      <c r="C792" s="7"/>
      <c r="D792" s="7"/>
      <c r="E792" s="7"/>
      <c r="F792" s="7"/>
      <c r="G792" s="7"/>
      <c r="H792" s="7"/>
      <c r="I792" s="7"/>
      <c r="J792" s="8"/>
      <c r="K792" s="9"/>
    </row>
    <row r="793">
      <c r="A793" s="6"/>
      <c r="B793" s="7"/>
      <c r="C793" s="7"/>
      <c r="D793" s="7"/>
      <c r="E793" s="7"/>
      <c r="F793" s="7"/>
      <c r="G793" s="7"/>
      <c r="H793" s="7"/>
      <c r="I793" s="7"/>
      <c r="J793" s="8"/>
      <c r="K793" s="9"/>
    </row>
    <row r="794">
      <c r="A794" s="6"/>
      <c r="B794" s="7"/>
      <c r="C794" s="7"/>
      <c r="D794" s="7"/>
      <c r="E794" s="7"/>
      <c r="F794" s="7"/>
      <c r="G794" s="7"/>
      <c r="H794" s="7"/>
      <c r="I794" s="7"/>
      <c r="J794" s="8"/>
      <c r="K794" s="9"/>
    </row>
    <row r="795">
      <c r="A795" s="6"/>
      <c r="B795" s="7"/>
      <c r="C795" s="7"/>
      <c r="D795" s="7"/>
      <c r="E795" s="7"/>
      <c r="F795" s="7"/>
      <c r="G795" s="7"/>
      <c r="H795" s="7"/>
      <c r="I795" s="7"/>
      <c r="J795" s="8"/>
      <c r="K795" s="9"/>
    </row>
    <row r="796">
      <c r="A796" s="6"/>
      <c r="B796" s="7"/>
      <c r="C796" s="7"/>
      <c r="D796" s="7"/>
      <c r="E796" s="7"/>
      <c r="F796" s="7"/>
      <c r="G796" s="7"/>
      <c r="H796" s="7"/>
      <c r="I796" s="7"/>
      <c r="J796" s="8"/>
      <c r="K796" s="9"/>
    </row>
    <row r="797">
      <c r="A797" s="6"/>
      <c r="B797" s="7"/>
      <c r="C797" s="7"/>
      <c r="D797" s="7"/>
      <c r="E797" s="7"/>
      <c r="F797" s="7"/>
      <c r="G797" s="7"/>
      <c r="H797" s="7"/>
      <c r="I797" s="7"/>
      <c r="J797" s="8"/>
      <c r="K797" s="9"/>
    </row>
    <row r="798">
      <c r="A798" s="6"/>
      <c r="B798" s="7"/>
      <c r="C798" s="7"/>
      <c r="D798" s="7"/>
      <c r="E798" s="7"/>
      <c r="F798" s="7"/>
      <c r="G798" s="7"/>
      <c r="H798" s="7"/>
      <c r="I798" s="7"/>
      <c r="J798" s="8"/>
      <c r="K798" s="9"/>
    </row>
    <row r="799">
      <c r="A799" s="6"/>
      <c r="B799" s="7"/>
      <c r="C799" s="7"/>
      <c r="D799" s="7"/>
      <c r="E799" s="7"/>
      <c r="F799" s="7"/>
      <c r="G799" s="7"/>
      <c r="H799" s="7"/>
      <c r="I799" s="7"/>
      <c r="J799" s="8"/>
      <c r="K799" s="9"/>
    </row>
    <row r="800">
      <c r="A800" s="6"/>
      <c r="B800" s="7"/>
      <c r="C800" s="7"/>
      <c r="D800" s="7"/>
      <c r="E800" s="7"/>
      <c r="F800" s="7"/>
      <c r="G800" s="7"/>
      <c r="H800" s="7"/>
      <c r="I800" s="7"/>
      <c r="J800" s="8"/>
      <c r="K800" s="9"/>
    </row>
    <row r="801">
      <c r="A801" s="6"/>
      <c r="B801" s="7"/>
      <c r="C801" s="7"/>
      <c r="D801" s="7"/>
      <c r="E801" s="7"/>
      <c r="F801" s="7"/>
      <c r="G801" s="7"/>
      <c r="H801" s="7"/>
      <c r="I801" s="7"/>
      <c r="J801" s="8"/>
      <c r="K801" s="9"/>
    </row>
    <row r="802">
      <c r="A802" s="6"/>
      <c r="B802" s="7"/>
      <c r="C802" s="7"/>
      <c r="D802" s="7"/>
      <c r="E802" s="7"/>
      <c r="F802" s="7"/>
      <c r="G802" s="7"/>
      <c r="H802" s="7"/>
      <c r="I802" s="7"/>
      <c r="J802" s="8"/>
      <c r="K802" s="9"/>
    </row>
    <row r="803">
      <c r="A803" s="6"/>
      <c r="B803" s="7"/>
      <c r="C803" s="7"/>
      <c r="D803" s="7"/>
      <c r="E803" s="7"/>
      <c r="F803" s="7"/>
      <c r="G803" s="7"/>
      <c r="H803" s="7"/>
      <c r="I803" s="7"/>
      <c r="J803" s="8"/>
      <c r="K803" s="9"/>
    </row>
    <row r="804">
      <c r="A804" s="6"/>
      <c r="B804" s="7"/>
      <c r="C804" s="7"/>
      <c r="D804" s="7"/>
      <c r="E804" s="7"/>
      <c r="F804" s="7"/>
      <c r="G804" s="7"/>
      <c r="H804" s="7"/>
      <c r="I804" s="7"/>
      <c r="J804" s="8"/>
      <c r="K804" s="9"/>
    </row>
  </sheetData>
  <autoFilter ref="$A$1:$Z$21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8.13"/>
    <col customWidth="1" min="3" max="3" width="13.25"/>
    <col customWidth="1" min="4" max="4" width="29.75"/>
    <col customWidth="1" min="5" max="5" width="16.88"/>
    <col customWidth="1" min="6" max="6" width="18.25"/>
    <col customWidth="1" min="7" max="7" width="9.5"/>
    <col customWidth="1" min="8" max="8" width="29.25"/>
    <col customWidth="1" min="10" max="10" width="19.75"/>
    <col customWidth="1" min="11" max="11" width="27.88"/>
  </cols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1" t="s">
        <v>7</v>
      </c>
      <c r="I1" s="11" t="s">
        <v>8</v>
      </c>
      <c r="J1" s="12" t="s">
        <v>9</v>
      </c>
      <c r="K1" s="1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/>
      <c r="B2" s="13"/>
      <c r="C2" s="13" t="s">
        <v>53</v>
      </c>
      <c r="D2" s="13" t="s">
        <v>57</v>
      </c>
      <c r="E2" s="17" t="s">
        <v>58</v>
      </c>
      <c r="F2" s="13"/>
      <c r="G2" s="13" t="s">
        <v>22</v>
      </c>
      <c r="H2" s="17" t="s">
        <v>60</v>
      </c>
      <c r="I2" s="13">
        <v>2.0</v>
      </c>
      <c r="J2" s="13" t="s">
        <v>504</v>
      </c>
      <c r="K2" s="13" t="s">
        <v>505</v>
      </c>
    </row>
    <row r="3">
      <c r="A3" s="40"/>
      <c r="B3" s="16"/>
      <c r="C3" s="13" t="s">
        <v>53</v>
      </c>
      <c r="D3" s="17" t="s">
        <v>75</v>
      </c>
      <c r="E3" s="15">
        <v>6.91213510002E11</v>
      </c>
      <c r="F3" s="15" t="s">
        <v>506</v>
      </c>
      <c r="G3" s="15" t="s">
        <v>22</v>
      </c>
      <c r="H3" s="15" t="s">
        <v>507</v>
      </c>
      <c r="I3" s="15">
        <v>2.0</v>
      </c>
      <c r="J3" s="15" t="s">
        <v>464</v>
      </c>
      <c r="K3" s="15" t="s">
        <v>464</v>
      </c>
    </row>
    <row r="4">
      <c r="A4" s="40"/>
      <c r="B4" s="16"/>
      <c r="C4" s="13" t="s">
        <v>53</v>
      </c>
      <c r="D4" s="13" t="s">
        <v>508</v>
      </c>
      <c r="E4" s="17">
        <v>6.1500814221E10</v>
      </c>
      <c r="F4" s="17" t="s">
        <v>63</v>
      </c>
      <c r="G4" s="13" t="s">
        <v>22</v>
      </c>
      <c r="H4" s="17">
        <v>6.1500814221E10</v>
      </c>
      <c r="I4" s="13">
        <v>2.0</v>
      </c>
      <c r="J4" s="13" t="s">
        <v>464</v>
      </c>
      <c r="K4" s="13" t="s">
        <v>464</v>
      </c>
    </row>
    <row r="5">
      <c r="A5" s="6"/>
      <c r="B5" s="7"/>
      <c r="C5" s="7"/>
      <c r="D5" s="7"/>
      <c r="E5" s="7"/>
      <c r="F5" s="7"/>
      <c r="G5" s="7"/>
      <c r="H5" s="7"/>
      <c r="I5" s="7"/>
      <c r="J5" s="8"/>
      <c r="K5" s="9"/>
    </row>
    <row r="6">
      <c r="A6" s="6"/>
      <c r="B6" s="7"/>
      <c r="C6" s="7"/>
      <c r="D6" s="7"/>
      <c r="E6" s="7"/>
      <c r="F6" s="7"/>
      <c r="G6" s="7"/>
      <c r="H6" s="7"/>
      <c r="I6" s="7"/>
      <c r="J6" s="8"/>
      <c r="K6" s="9"/>
    </row>
    <row r="7">
      <c r="A7" s="6"/>
      <c r="B7" s="7"/>
      <c r="C7" s="7"/>
      <c r="D7" s="7"/>
      <c r="E7" s="7"/>
      <c r="F7" s="7"/>
      <c r="G7" s="7"/>
      <c r="H7" s="7"/>
      <c r="I7" s="7"/>
      <c r="J7" s="8"/>
      <c r="K7" s="9"/>
    </row>
    <row r="8">
      <c r="A8" s="6"/>
      <c r="B8" s="7"/>
      <c r="C8" s="7"/>
      <c r="D8" s="7"/>
      <c r="E8" s="7"/>
      <c r="F8" s="7"/>
      <c r="G8" s="7"/>
      <c r="H8" s="7"/>
      <c r="I8" s="7"/>
      <c r="J8" s="8"/>
      <c r="K8" s="9"/>
    </row>
    <row r="9">
      <c r="A9" s="6"/>
      <c r="B9" s="7"/>
      <c r="C9" s="7"/>
      <c r="D9" s="7"/>
      <c r="E9" s="7"/>
      <c r="F9" s="7"/>
      <c r="G9" s="7"/>
      <c r="H9" s="7"/>
      <c r="I9" s="7"/>
      <c r="J9" s="8"/>
      <c r="K9" s="9"/>
    </row>
    <row r="10">
      <c r="A10" s="6"/>
      <c r="B10" s="7"/>
      <c r="C10" s="7"/>
      <c r="D10" s="7"/>
      <c r="E10" s="7"/>
      <c r="F10" s="7"/>
      <c r="G10" s="7"/>
      <c r="H10" s="7"/>
      <c r="I10" s="7"/>
      <c r="J10" s="8"/>
      <c r="K10" s="9"/>
    </row>
    <row r="11">
      <c r="A11" s="6"/>
      <c r="B11" s="7"/>
      <c r="C11" s="7"/>
      <c r="D11" s="7"/>
      <c r="E11" s="7"/>
      <c r="F11" s="7"/>
      <c r="G11" s="7"/>
      <c r="H11" s="7"/>
      <c r="I11" s="7"/>
      <c r="J11" s="8"/>
      <c r="K11" s="9"/>
    </row>
    <row r="12">
      <c r="A12" s="6"/>
      <c r="B12" s="7"/>
      <c r="C12" s="7"/>
      <c r="D12" s="7"/>
      <c r="E12" s="7"/>
      <c r="F12" s="7"/>
      <c r="G12" s="7"/>
      <c r="H12" s="7"/>
      <c r="I12" s="7"/>
      <c r="J12" s="8"/>
      <c r="K12" s="9"/>
    </row>
    <row r="13">
      <c r="A13" s="6"/>
      <c r="B13" s="7"/>
      <c r="C13" s="7"/>
      <c r="D13" s="7"/>
      <c r="E13" s="7"/>
      <c r="F13" s="7"/>
      <c r="G13" s="7"/>
      <c r="H13" s="7"/>
      <c r="I13" s="7"/>
      <c r="J13" s="8"/>
      <c r="K13" s="9"/>
    </row>
    <row r="14">
      <c r="A14" s="6"/>
      <c r="B14" s="7"/>
      <c r="C14" s="7"/>
      <c r="D14" s="7"/>
      <c r="E14" s="7"/>
      <c r="F14" s="7"/>
      <c r="G14" s="7"/>
      <c r="H14" s="7"/>
      <c r="I14" s="7"/>
      <c r="J14" s="8"/>
      <c r="K14" s="9"/>
    </row>
    <row r="15">
      <c r="A15" s="6"/>
      <c r="B15" s="7"/>
      <c r="C15" s="7"/>
      <c r="D15" s="7"/>
      <c r="E15" s="7"/>
      <c r="F15" s="7"/>
      <c r="G15" s="7"/>
      <c r="H15" s="7"/>
      <c r="I15" s="7"/>
      <c r="J15" s="8"/>
      <c r="K15" s="9"/>
    </row>
    <row r="16">
      <c r="A16" s="6"/>
      <c r="B16" s="7"/>
      <c r="C16" s="7"/>
      <c r="D16" s="7"/>
      <c r="E16" s="7"/>
      <c r="F16" s="7"/>
      <c r="G16" s="7"/>
      <c r="H16" s="7"/>
      <c r="I16" s="7"/>
      <c r="J16" s="8"/>
      <c r="K16" s="9"/>
    </row>
    <row r="17">
      <c r="A17" s="6"/>
      <c r="B17" s="7"/>
      <c r="C17" s="7"/>
      <c r="D17" s="7"/>
      <c r="E17" s="7"/>
      <c r="F17" s="7"/>
      <c r="G17" s="7"/>
      <c r="H17" s="7"/>
      <c r="I17" s="7"/>
      <c r="J17" s="8"/>
      <c r="K17" s="9"/>
    </row>
    <row r="18">
      <c r="A18" s="6"/>
      <c r="B18" s="7"/>
      <c r="C18" s="7"/>
      <c r="D18" s="7"/>
      <c r="E18" s="7"/>
      <c r="F18" s="7"/>
      <c r="G18" s="7"/>
      <c r="H18" s="7"/>
      <c r="I18" s="7"/>
      <c r="J18" s="8"/>
      <c r="K18" s="9"/>
    </row>
    <row r="19">
      <c r="A19" s="6"/>
      <c r="B19" s="7"/>
      <c r="C19" s="7"/>
      <c r="D19" s="7"/>
      <c r="E19" s="7"/>
      <c r="F19" s="7"/>
      <c r="G19" s="7"/>
      <c r="H19" s="7"/>
      <c r="I19" s="7"/>
      <c r="J19" s="8"/>
      <c r="K19" s="9"/>
    </row>
    <row r="20">
      <c r="A20" s="6"/>
      <c r="B20" s="7"/>
      <c r="C20" s="7"/>
      <c r="D20" s="7"/>
      <c r="E20" s="7"/>
      <c r="F20" s="7"/>
      <c r="G20" s="7"/>
      <c r="H20" s="7"/>
      <c r="I20" s="7"/>
      <c r="J20" s="8"/>
      <c r="K20" s="9"/>
    </row>
    <row r="21">
      <c r="A21" s="6"/>
      <c r="B21" s="7"/>
      <c r="C21" s="7"/>
      <c r="D21" s="7"/>
      <c r="E21" s="7"/>
      <c r="F21" s="7"/>
      <c r="G21" s="7"/>
      <c r="H21" s="7"/>
      <c r="I21" s="7"/>
      <c r="J21" s="8"/>
      <c r="K21" s="9"/>
    </row>
    <row r="22">
      <c r="A22" s="6"/>
      <c r="B22" s="7"/>
      <c r="C22" s="7"/>
      <c r="D22" s="7"/>
      <c r="E22" s="7"/>
      <c r="F22" s="7"/>
      <c r="G22" s="7"/>
      <c r="H22" s="7"/>
      <c r="I22" s="7"/>
      <c r="J22" s="8"/>
      <c r="K22" s="9"/>
    </row>
    <row r="23">
      <c r="A23" s="6"/>
      <c r="B23" s="7"/>
      <c r="C23" s="7"/>
      <c r="D23" s="7"/>
      <c r="E23" s="7"/>
      <c r="F23" s="7"/>
      <c r="G23" s="7"/>
      <c r="H23" s="7"/>
      <c r="I23" s="7"/>
      <c r="J23" s="8"/>
      <c r="K23" s="9"/>
    </row>
    <row r="24">
      <c r="A24" s="6"/>
      <c r="B24" s="7"/>
      <c r="C24" s="7"/>
      <c r="D24" s="7"/>
      <c r="E24" s="7"/>
      <c r="F24" s="7"/>
      <c r="G24" s="7"/>
      <c r="H24" s="7"/>
      <c r="I24" s="7"/>
      <c r="J24" s="8"/>
      <c r="K24" s="9"/>
    </row>
    <row r="25">
      <c r="A25" s="6"/>
      <c r="B25" s="7"/>
      <c r="C25" s="7"/>
      <c r="D25" s="7"/>
      <c r="E25" s="7"/>
      <c r="F25" s="7"/>
      <c r="G25" s="7"/>
      <c r="H25" s="7"/>
      <c r="I25" s="7"/>
      <c r="J25" s="8"/>
      <c r="K25" s="9"/>
    </row>
    <row r="26">
      <c r="A26" s="6"/>
      <c r="B26" s="7"/>
      <c r="C26" s="7"/>
      <c r="D26" s="7"/>
      <c r="E26" s="7"/>
      <c r="F26" s="7"/>
      <c r="G26" s="7"/>
      <c r="H26" s="7"/>
      <c r="I26" s="7"/>
      <c r="J26" s="8"/>
      <c r="K26" s="9"/>
    </row>
    <row r="27">
      <c r="A27" s="6"/>
      <c r="B27" s="7"/>
      <c r="C27" s="7"/>
      <c r="D27" s="7"/>
      <c r="E27" s="7"/>
      <c r="F27" s="7"/>
      <c r="G27" s="7"/>
      <c r="H27" s="7"/>
      <c r="I27" s="7"/>
      <c r="J27" s="8"/>
      <c r="K27" s="9"/>
    </row>
    <row r="28">
      <c r="A28" s="6"/>
      <c r="B28" s="7"/>
      <c r="C28" s="7"/>
      <c r="D28" s="7"/>
      <c r="E28" s="7"/>
      <c r="F28" s="7"/>
      <c r="G28" s="7"/>
      <c r="H28" s="7"/>
      <c r="I28" s="7"/>
      <c r="J28" s="8"/>
      <c r="K28" s="9"/>
    </row>
    <row r="29">
      <c r="A29" s="6"/>
      <c r="B29" s="7"/>
      <c r="C29" s="7"/>
      <c r="D29" s="7"/>
      <c r="E29" s="7"/>
      <c r="F29" s="7"/>
      <c r="G29" s="7"/>
      <c r="H29" s="7"/>
      <c r="I29" s="7"/>
      <c r="J29" s="8"/>
      <c r="K29" s="9"/>
    </row>
    <row r="30">
      <c r="A30" s="6"/>
      <c r="B30" s="7"/>
      <c r="C30" s="7"/>
      <c r="D30" s="7"/>
      <c r="E30" s="7"/>
      <c r="F30" s="7"/>
      <c r="G30" s="7"/>
      <c r="H30" s="7"/>
      <c r="I30" s="7"/>
      <c r="J30" s="8"/>
      <c r="K30" s="9"/>
    </row>
    <row r="31">
      <c r="A31" s="6"/>
      <c r="B31" s="7"/>
      <c r="C31" s="7"/>
      <c r="D31" s="7"/>
      <c r="E31" s="7"/>
      <c r="F31" s="7"/>
      <c r="G31" s="7"/>
      <c r="H31" s="7"/>
      <c r="I31" s="7"/>
      <c r="J31" s="8"/>
      <c r="K31" s="9"/>
    </row>
    <row r="32">
      <c r="A32" s="6"/>
      <c r="B32" s="7"/>
      <c r="C32" s="7"/>
      <c r="D32" s="7"/>
      <c r="E32" s="7"/>
      <c r="F32" s="7"/>
      <c r="G32" s="7"/>
      <c r="H32" s="7"/>
      <c r="I32" s="7"/>
      <c r="J32" s="8"/>
      <c r="K32" s="9"/>
    </row>
    <row r="33">
      <c r="A33" s="6"/>
      <c r="B33" s="7"/>
      <c r="C33" s="7"/>
      <c r="D33" s="7"/>
      <c r="E33" s="7"/>
      <c r="F33" s="7"/>
      <c r="G33" s="7"/>
      <c r="H33" s="7"/>
      <c r="I33" s="7"/>
      <c r="J33" s="8"/>
      <c r="K33" s="9"/>
    </row>
    <row r="34">
      <c r="A34" s="6"/>
      <c r="B34" s="7"/>
      <c r="C34" s="7"/>
      <c r="D34" s="7"/>
      <c r="E34" s="7"/>
      <c r="F34" s="7"/>
      <c r="G34" s="7"/>
      <c r="H34" s="7"/>
      <c r="I34" s="7"/>
      <c r="J34" s="8"/>
      <c r="K34" s="9"/>
    </row>
    <row r="35">
      <c r="A35" s="6"/>
      <c r="B35" s="7"/>
      <c r="C35" s="7"/>
      <c r="D35" s="7"/>
      <c r="E35" s="7"/>
      <c r="F35" s="7"/>
      <c r="G35" s="7"/>
      <c r="H35" s="7"/>
      <c r="I35" s="7"/>
      <c r="J35" s="8"/>
      <c r="K35" s="9"/>
    </row>
    <row r="36">
      <c r="A36" s="6"/>
      <c r="B36" s="7"/>
      <c r="C36" s="7"/>
      <c r="D36" s="7"/>
      <c r="E36" s="7"/>
      <c r="F36" s="7"/>
      <c r="G36" s="7"/>
      <c r="H36" s="7"/>
      <c r="I36" s="7"/>
      <c r="J36" s="8"/>
      <c r="K36" s="9"/>
    </row>
    <row r="37">
      <c r="A37" s="6"/>
      <c r="B37" s="7"/>
      <c r="C37" s="7"/>
      <c r="D37" s="7"/>
      <c r="E37" s="7"/>
      <c r="F37" s="7"/>
      <c r="G37" s="7"/>
      <c r="H37" s="7"/>
      <c r="I37" s="7"/>
      <c r="J37" s="8"/>
      <c r="K37" s="9"/>
    </row>
    <row r="38">
      <c r="A38" s="6"/>
      <c r="B38" s="7"/>
      <c r="C38" s="7"/>
      <c r="D38" s="7"/>
      <c r="E38" s="7"/>
      <c r="F38" s="7"/>
      <c r="G38" s="7"/>
      <c r="H38" s="7"/>
      <c r="I38" s="7"/>
      <c r="J38" s="8"/>
      <c r="K38" s="9"/>
    </row>
    <row r="39">
      <c r="A39" s="6"/>
      <c r="B39" s="7"/>
      <c r="C39" s="7"/>
      <c r="D39" s="7"/>
      <c r="E39" s="7"/>
      <c r="F39" s="7"/>
      <c r="G39" s="7"/>
      <c r="H39" s="7"/>
      <c r="I39" s="7"/>
      <c r="J39" s="8"/>
      <c r="K39" s="9"/>
    </row>
    <row r="40">
      <c r="A40" s="6"/>
      <c r="B40" s="7"/>
      <c r="C40" s="7"/>
      <c r="D40" s="7"/>
      <c r="E40" s="7"/>
      <c r="F40" s="7"/>
      <c r="G40" s="7"/>
      <c r="H40" s="7"/>
      <c r="I40" s="7"/>
      <c r="J40" s="8"/>
      <c r="K40" s="9"/>
    </row>
    <row r="41">
      <c r="A41" s="6"/>
      <c r="B41" s="7"/>
      <c r="C41" s="7"/>
      <c r="D41" s="7"/>
      <c r="E41" s="7"/>
      <c r="F41" s="7"/>
      <c r="G41" s="7"/>
      <c r="H41" s="7"/>
      <c r="I41" s="7"/>
      <c r="J41" s="8"/>
      <c r="K41" s="9"/>
    </row>
    <row r="42">
      <c r="A42" s="6"/>
      <c r="B42" s="7"/>
      <c r="C42" s="7"/>
      <c r="D42" s="7"/>
      <c r="E42" s="7"/>
      <c r="F42" s="7"/>
      <c r="G42" s="7"/>
      <c r="H42" s="7"/>
      <c r="I42" s="7"/>
      <c r="J42" s="8"/>
      <c r="K42" s="9"/>
    </row>
    <row r="43">
      <c r="A43" s="6"/>
      <c r="B43" s="7"/>
      <c r="C43" s="7"/>
      <c r="D43" s="7"/>
      <c r="E43" s="7"/>
      <c r="F43" s="7"/>
      <c r="G43" s="7"/>
      <c r="H43" s="7"/>
      <c r="I43" s="7"/>
      <c r="J43" s="8"/>
      <c r="K43" s="9"/>
    </row>
    <row r="44">
      <c r="A44" s="6"/>
      <c r="B44" s="7"/>
      <c r="C44" s="7"/>
      <c r="D44" s="7"/>
      <c r="E44" s="7"/>
      <c r="F44" s="7"/>
      <c r="G44" s="7"/>
      <c r="H44" s="7"/>
      <c r="I44" s="7"/>
      <c r="J44" s="8"/>
      <c r="K44" s="9"/>
    </row>
    <row r="45">
      <c r="A45" s="6"/>
      <c r="B45" s="7"/>
      <c r="C45" s="7"/>
      <c r="D45" s="7"/>
      <c r="E45" s="7"/>
      <c r="F45" s="7"/>
      <c r="G45" s="7"/>
      <c r="H45" s="7"/>
      <c r="I45" s="7"/>
      <c r="J45" s="8"/>
      <c r="K45" s="9"/>
    </row>
    <row r="46">
      <c r="A46" s="6"/>
      <c r="B46" s="7"/>
      <c r="C46" s="7"/>
      <c r="D46" s="7"/>
      <c r="E46" s="7"/>
      <c r="F46" s="7"/>
      <c r="G46" s="7"/>
      <c r="H46" s="7"/>
      <c r="I46" s="7"/>
      <c r="J46" s="8"/>
      <c r="K46" s="9"/>
    </row>
    <row r="47">
      <c r="A47" s="6"/>
      <c r="B47" s="7"/>
      <c r="C47" s="7"/>
      <c r="D47" s="7"/>
      <c r="E47" s="7"/>
      <c r="F47" s="7"/>
      <c r="G47" s="7"/>
      <c r="H47" s="7"/>
      <c r="I47" s="7"/>
      <c r="J47" s="8"/>
      <c r="K47" s="9"/>
    </row>
    <row r="48">
      <c r="A48" s="6"/>
      <c r="B48" s="7"/>
      <c r="C48" s="7"/>
      <c r="D48" s="7"/>
      <c r="E48" s="7"/>
      <c r="F48" s="7"/>
      <c r="G48" s="7"/>
      <c r="H48" s="7"/>
      <c r="I48" s="7"/>
      <c r="J48" s="8"/>
      <c r="K48" s="9"/>
    </row>
    <row r="49">
      <c r="A49" s="6"/>
      <c r="B49" s="7"/>
      <c r="C49" s="7"/>
      <c r="D49" s="7"/>
      <c r="E49" s="7"/>
      <c r="F49" s="7"/>
      <c r="G49" s="7"/>
      <c r="H49" s="7"/>
      <c r="I49" s="7"/>
      <c r="J49" s="8"/>
      <c r="K49" s="9"/>
    </row>
    <row r="50">
      <c r="A50" s="6"/>
      <c r="B50" s="7"/>
      <c r="C50" s="7"/>
      <c r="D50" s="7"/>
      <c r="E50" s="7"/>
      <c r="F50" s="7"/>
      <c r="G50" s="7"/>
      <c r="H50" s="7"/>
      <c r="I50" s="7"/>
      <c r="J50" s="8"/>
      <c r="K50" s="9"/>
    </row>
    <row r="51">
      <c r="A51" s="6"/>
      <c r="B51" s="7"/>
      <c r="C51" s="7"/>
      <c r="D51" s="7"/>
      <c r="E51" s="7"/>
      <c r="F51" s="7"/>
      <c r="G51" s="7"/>
      <c r="H51" s="7"/>
      <c r="I51" s="7"/>
      <c r="J51" s="8"/>
      <c r="K51" s="9"/>
    </row>
    <row r="52">
      <c r="A52" s="6"/>
      <c r="B52" s="7"/>
      <c r="C52" s="7"/>
      <c r="D52" s="7"/>
      <c r="E52" s="7"/>
      <c r="F52" s="7"/>
      <c r="G52" s="7"/>
      <c r="H52" s="7"/>
      <c r="I52" s="7"/>
      <c r="J52" s="8"/>
      <c r="K52" s="9"/>
    </row>
    <row r="53">
      <c r="A53" s="6"/>
      <c r="B53" s="7"/>
      <c r="C53" s="7"/>
      <c r="D53" s="7"/>
      <c r="E53" s="7"/>
      <c r="F53" s="7"/>
      <c r="G53" s="7"/>
      <c r="H53" s="7"/>
      <c r="I53" s="7"/>
      <c r="J53" s="8"/>
      <c r="K53" s="9"/>
    </row>
    <row r="54">
      <c r="A54" s="6"/>
      <c r="B54" s="7"/>
      <c r="C54" s="7"/>
      <c r="D54" s="7"/>
      <c r="E54" s="7"/>
      <c r="F54" s="7"/>
      <c r="G54" s="7"/>
      <c r="H54" s="7"/>
      <c r="I54" s="7"/>
      <c r="J54" s="8"/>
      <c r="K54" s="9"/>
    </row>
    <row r="55">
      <c r="A55" s="6"/>
      <c r="B55" s="7"/>
      <c r="C55" s="7"/>
      <c r="D55" s="7"/>
      <c r="E55" s="7"/>
      <c r="F55" s="7"/>
      <c r="G55" s="7"/>
      <c r="H55" s="7"/>
      <c r="I55" s="7"/>
      <c r="J55" s="8"/>
      <c r="K55" s="9"/>
    </row>
    <row r="56">
      <c r="A56" s="6"/>
      <c r="B56" s="7"/>
      <c r="C56" s="7"/>
      <c r="D56" s="7"/>
      <c r="E56" s="7"/>
      <c r="F56" s="7"/>
      <c r="G56" s="7"/>
      <c r="H56" s="7"/>
      <c r="I56" s="7"/>
      <c r="J56" s="8"/>
      <c r="K56" s="9"/>
    </row>
    <row r="57">
      <c r="A57" s="6"/>
      <c r="B57" s="7"/>
      <c r="C57" s="7"/>
      <c r="D57" s="7"/>
      <c r="E57" s="7"/>
      <c r="F57" s="7"/>
      <c r="G57" s="7"/>
      <c r="H57" s="7"/>
      <c r="I57" s="7"/>
      <c r="J57" s="8"/>
      <c r="K57" s="9"/>
    </row>
    <row r="58">
      <c r="A58" s="6"/>
      <c r="B58" s="7"/>
      <c r="C58" s="7"/>
      <c r="D58" s="7"/>
      <c r="E58" s="7"/>
      <c r="F58" s="7"/>
      <c r="G58" s="7"/>
      <c r="H58" s="7"/>
      <c r="I58" s="7"/>
      <c r="J58" s="8"/>
      <c r="K58" s="9"/>
    </row>
    <row r="59">
      <c r="A59" s="6"/>
      <c r="B59" s="7"/>
      <c r="C59" s="7"/>
      <c r="D59" s="7"/>
      <c r="E59" s="7"/>
      <c r="F59" s="7"/>
      <c r="G59" s="7"/>
      <c r="H59" s="7"/>
      <c r="I59" s="7"/>
      <c r="J59" s="8"/>
      <c r="K59" s="9"/>
    </row>
    <row r="60">
      <c r="A60" s="6"/>
      <c r="B60" s="7"/>
      <c r="C60" s="7"/>
      <c r="D60" s="7"/>
      <c r="E60" s="7"/>
      <c r="F60" s="7"/>
      <c r="G60" s="7"/>
      <c r="H60" s="7"/>
      <c r="I60" s="7"/>
      <c r="J60" s="8"/>
      <c r="K60" s="9"/>
    </row>
    <row r="61">
      <c r="A61" s="6"/>
      <c r="B61" s="7"/>
      <c r="C61" s="7"/>
      <c r="D61" s="7"/>
      <c r="E61" s="7"/>
      <c r="F61" s="7"/>
      <c r="G61" s="7"/>
      <c r="H61" s="7"/>
      <c r="I61" s="7"/>
      <c r="J61" s="8"/>
      <c r="K61" s="9"/>
    </row>
    <row r="62">
      <c r="A62" s="6"/>
      <c r="B62" s="7"/>
      <c r="C62" s="7"/>
      <c r="D62" s="7"/>
      <c r="E62" s="7"/>
      <c r="F62" s="7"/>
      <c r="G62" s="7"/>
      <c r="H62" s="7"/>
      <c r="I62" s="7"/>
      <c r="J62" s="8"/>
      <c r="K62" s="9"/>
    </row>
    <row r="63">
      <c r="A63" s="6"/>
      <c r="B63" s="7"/>
      <c r="C63" s="7"/>
      <c r="D63" s="7"/>
      <c r="E63" s="7"/>
      <c r="F63" s="7"/>
      <c r="G63" s="7"/>
      <c r="H63" s="7"/>
      <c r="I63" s="7"/>
      <c r="J63" s="8"/>
      <c r="K63" s="9"/>
    </row>
    <row r="64">
      <c r="A64" s="6"/>
      <c r="B64" s="7"/>
      <c r="C64" s="7"/>
      <c r="D64" s="7"/>
      <c r="E64" s="7"/>
      <c r="F64" s="7"/>
      <c r="G64" s="7"/>
      <c r="H64" s="7"/>
      <c r="I64" s="7"/>
      <c r="J64" s="8"/>
      <c r="K64" s="9"/>
    </row>
    <row r="65">
      <c r="A65" s="6"/>
      <c r="B65" s="7"/>
      <c r="C65" s="7"/>
      <c r="D65" s="7"/>
      <c r="E65" s="7"/>
      <c r="F65" s="7"/>
      <c r="G65" s="7"/>
      <c r="H65" s="7"/>
      <c r="I65" s="7"/>
      <c r="J65" s="8"/>
      <c r="K65" s="9"/>
    </row>
    <row r="66">
      <c r="A66" s="6"/>
      <c r="B66" s="7"/>
      <c r="C66" s="7"/>
      <c r="D66" s="7"/>
      <c r="E66" s="7"/>
      <c r="F66" s="7"/>
      <c r="G66" s="7"/>
      <c r="H66" s="7"/>
      <c r="I66" s="7"/>
      <c r="J66" s="8"/>
      <c r="K66" s="9"/>
    </row>
    <row r="67">
      <c r="A67" s="6"/>
      <c r="B67" s="7"/>
      <c r="C67" s="7"/>
      <c r="D67" s="7"/>
      <c r="E67" s="7"/>
      <c r="F67" s="7"/>
      <c r="G67" s="7"/>
      <c r="H67" s="7"/>
      <c r="I67" s="7"/>
      <c r="J67" s="8"/>
      <c r="K67" s="9"/>
    </row>
    <row r="68">
      <c r="A68" s="6"/>
      <c r="B68" s="7"/>
      <c r="C68" s="7"/>
      <c r="D68" s="7"/>
      <c r="E68" s="7"/>
      <c r="F68" s="7"/>
      <c r="G68" s="7"/>
      <c r="H68" s="7"/>
      <c r="I68" s="7"/>
      <c r="J68" s="8"/>
      <c r="K68" s="9"/>
    </row>
    <row r="69">
      <c r="A69" s="6"/>
      <c r="B69" s="7"/>
      <c r="C69" s="7"/>
      <c r="D69" s="7"/>
      <c r="E69" s="7"/>
      <c r="F69" s="7"/>
      <c r="G69" s="7"/>
      <c r="H69" s="7"/>
      <c r="I69" s="7"/>
      <c r="J69" s="8"/>
      <c r="K69" s="9"/>
    </row>
    <row r="70">
      <c r="A70" s="6"/>
      <c r="B70" s="7"/>
      <c r="C70" s="7"/>
      <c r="D70" s="7"/>
      <c r="E70" s="7"/>
      <c r="F70" s="7"/>
      <c r="G70" s="7"/>
      <c r="H70" s="7"/>
      <c r="I70" s="7"/>
      <c r="J70" s="8"/>
      <c r="K70" s="9"/>
    </row>
    <row r="71">
      <c r="A71" s="6"/>
      <c r="B71" s="7"/>
      <c r="C71" s="7"/>
      <c r="D71" s="7"/>
      <c r="E71" s="7"/>
      <c r="F71" s="7"/>
      <c r="G71" s="7"/>
      <c r="H71" s="7"/>
      <c r="I71" s="7"/>
      <c r="J71" s="8"/>
      <c r="K71" s="9"/>
    </row>
    <row r="72">
      <c r="A72" s="6"/>
      <c r="B72" s="7"/>
      <c r="C72" s="7"/>
      <c r="D72" s="7"/>
      <c r="E72" s="7"/>
      <c r="F72" s="7"/>
      <c r="G72" s="7"/>
      <c r="H72" s="7"/>
      <c r="I72" s="7"/>
      <c r="J72" s="8"/>
      <c r="K72" s="9"/>
    </row>
    <row r="73">
      <c r="A73" s="6"/>
      <c r="B73" s="7"/>
      <c r="C73" s="7"/>
      <c r="D73" s="7"/>
      <c r="E73" s="7"/>
      <c r="F73" s="7"/>
      <c r="G73" s="7"/>
      <c r="H73" s="7"/>
      <c r="I73" s="7"/>
      <c r="J73" s="8"/>
      <c r="K73" s="9"/>
    </row>
    <row r="74">
      <c r="A74" s="6"/>
      <c r="B74" s="7"/>
      <c r="C74" s="7"/>
      <c r="D74" s="7"/>
      <c r="E74" s="7"/>
      <c r="F74" s="7"/>
      <c r="G74" s="7"/>
      <c r="H74" s="7"/>
      <c r="I74" s="7"/>
      <c r="J74" s="8"/>
      <c r="K74" s="9"/>
    </row>
    <row r="75">
      <c r="A75" s="6"/>
      <c r="B75" s="7"/>
      <c r="C75" s="7"/>
      <c r="D75" s="7"/>
      <c r="E75" s="7"/>
      <c r="F75" s="7"/>
      <c r="G75" s="7"/>
      <c r="H75" s="7"/>
      <c r="I75" s="7"/>
      <c r="J75" s="8"/>
      <c r="K75" s="9"/>
    </row>
    <row r="76">
      <c r="A76" s="6"/>
      <c r="B76" s="7"/>
      <c r="C76" s="7"/>
      <c r="D76" s="7"/>
      <c r="E76" s="7"/>
      <c r="F76" s="7"/>
      <c r="G76" s="7"/>
      <c r="H76" s="7"/>
      <c r="I76" s="7"/>
      <c r="J76" s="8"/>
      <c r="K76" s="9"/>
    </row>
    <row r="77">
      <c r="A77" s="6"/>
      <c r="B77" s="7"/>
      <c r="C77" s="7"/>
      <c r="D77" s="7"/>
      <c r="E77" s="7"/>
      <c r="F77" s="7"/>
      <c r="G77" s="7"/>
      <c r="H77" s="7"/>
      <c r="I77" s="7"/>
      <c r="J77" s="8"/>
      <c r="K77" s="9"/>
    </row>
    <row r="78">
      <c r="A78" s="6"/>
      <c r="B78" s="7"/>
      <c r="C78" s="7"/>
      <c r="D78" s="7"/>
      <c r="E78" s="7"/>
      <c r="F78" s="7"/>
      <c r="G78" s="7"/>
      <c r="H78" s="7"/>
      <c r="I78" s="7"/>
      <c r="J78" s="8"/>
      <c r="K78" s="9"/>
    </row>
    <row r="79">
      <c r="A79" s="6"/>
      <c r="B79" s="7"/>
      <c r="C79" s="7"/>
      <c r="D79" s="7"/>
      <c r="E79" s="7"/>
      <c r="F79" s="7"/>
      <c r="G79" s="7"/>
      <c r="H79" s="7"/>
      <c r="I79" s="7"/>
      <c r="J79" s="8"/>
      <c r="K79" s="9"/>
    </row>
    <row r="80">
      <c r="A80" s="6"/>
      <c r="B80" s="7"/>
      <c r="C80" s="7"/>
      <c r="D80" s="7"/>
      <c r="E80" s="7"/>
      <c r="F80" s="7"/>
      <c r="G80" s="7"/>
      <c r="H80" s="7"/>
      <c r="I80" s="7"/>
      <c r="J80" s="8"/>
      <c r="K80" s="9"/>
    </row>
    <row r="81">
      <c r="A81" s="6"/>
      <c r="B81" s="7"/>
      <c r="C81" s="7"/>
      <c r="D81" s="7"/>
      <c r="E81" s="7"/>
      <c r="F81" s="7"/>
      <c r="G81" s="7"/>
      <c r="H81" s="7"/>
      <c r="I81" s="7"/>
      <c r="J81" s="8"/>
      <c r="K81" s="9"/>
    </row>
    <row r="82">
      <c r="A82" s="6"/>
      <c r="B82" s="7"/>
      <c r="C82" s="7"/>
      <c r="D82" s="7"/>
      <c r="E82" s="7"/>
      <c r="F82" s="7"/>
      <c r="G82" s="7"/>
      <c r="H82" s="7"/>
      <c r="I82" s="7"/>
      <c r="J82" s="8"/>
      <c r="K82" s="9"/>
    </row>
    <row r="83">
      <c r="A83" s="6"/>
      <c r="B83" s="7"/>
      <c r="C83" s="7"/>
      <c r="D83" s="7"/>
      <c r="E83" s="7"/>
      <c r="F83" s="7"/>
      <c r="G83" s="7"/>
      <c r="H83" s="7"/>
      <c r="I83" s="7"/>
      <c r="J83" s="8"/>
      <c r="K83" s="9"/>
    </row>
    <row r="84">
      <c r="A84" s="6"/>
      <c r="B84" s="7"/>
      <c r="C84" s="7"/>
      <c r="D84" s="7"/>
      <c r="E84" s="7"/>
      <c r="F84" s="7"/>
      <c r="G84" s="7"/>
      <c r="H84" s="7"/>
      <c r="I84" s="7"/>
      <c r="J84" s="8"/>
      <c r="K84" s="9"/>
    </row>
    <row r="85">
      <c r="A85" s="6"/>
      <c r="B85" s="7"/>
      <c r="C85" s="7"/>
      <c r="D85" s="7"/>
      <c r="E85" s="7"/>
      <c r="F85" s="7"/>
      <c r="G85" s="7"/>
      <c r="H85" s="7"/>
      <c r="I85" s="7"/>
      <c r="J85" s="8"/>
      <c r="K85" s="9"/>
    </row>
    <row r="86">
      <c r="A86" s="6"/>
      <c r="B86" s="7"/>
      <c r="C86" s="7"/>
      <c r="D86" s="7"/>
      <c r="E86" s="7"/>
      <c r="F86" s="7"/>
      <c r="G86" s="7"/>
      <c r="H86" s="7"/>
      <c r="I86" s="7"/>
      <c r="J86" s="8"/>
      <c r="K86" s="9"/>
    </row>
    <row r="87">
      <c r="A87" s="6"/>
      <c r="B87" s="7"/>
      <c r="C87" s="7"/>
      <c r="D87" s="7"/>
      <c r="E87" s="7"/>
      <c r="F87" s="7"/>
      <c r="G87" s="7"/>
      <c r="H87" s="7"/>
      <c r="I87" s="7"/>
      <c r="J87" s="8"/>
      <c r="K87" s="9"/>
    </row>
    <row r="88">
      <c r="A88" s="6"/>
      <c r="B88" s="7"/>
      <c r="C88" s="7"/>
      <c r="D88" s="7"/>
      <c r="E88" s="7"/>
      <c r="F88" s="7"/>
      <c r="G88" s="7"/>
      <c r="H88" s="7"/>
      <c r="I88" s="7"/>
      <c r="J88" s="8"/>
      <c r="K88" s="9"/>
    </row>
    <row r="89">
      <c r="A89" s="6"/>
      <c r="B89" s="7"/>
      <c r="C89" s="7"/>
      <c r="D89" s="7"/>
      <c r="E89" s="7"/>
      <c r="F89" s="7"/>
      <c r="G89" s="7"/>
      <c r="H89" s="7"/>
      <c r="I89" s="7"/>
      <c r="J89" s="8"/>
      <c r="K89" s="9"/>
    </row>
    <row r="90">
      <c r="A90" s="6"/>
      <c r="B90" s="7"/>
      <c r="C90" s="7"/>
      <c r="D90" s="7"/>
      <c r="E90" s="7"/>
      <c r="F90" s="7"/>
      <c r="G90" s="7"/>
      <c r="H90" s="7"/>
      <c r="I90" s="7"/>
      <c r="J90" s="8"/>
      <c r="K90" s="9"/>
    </row>
    <row r="91">
      <c r="A91" s="6"/>
      <c r="B91" s="7"/>
      <c r="C91" s="7"/>
      <c r="D91" s="7"/>
      <c r="E91" s="7"/>
      <c r="F91" s="7"/>
      <c r="G91" s="7"/>
      <c r="H91" s="7"/>
      <c r="I91" s="7"/>
      <c r="J91" s="8"/>
      <c r="K91" s="9"/>
    </row>
    <row r="92">
      <c r="A92" s="6"/>
      <c r="B92" s="7"/>
      <c r="C92" s="7"/>
      <c r="D92" s="7"/>
      <c r="E92" s="7"/>
      <c r="F92" s="7"/>
      <c r="G92" s="7"/>
      <c r="H92" s="7"/>
      <c r="I92" s="7"/>
      <c r="J92" s="8"/>
      <c r="K92" s="9"/>
    </row>
    <row r="93">
      <c r="A93" s="6"/>
      <c r="B93" s="7"/>
      <c r="C93" s="7"/>
      <c r="D93" s="7"/>
      <c r="E93" s="7"/>
      <c r="F93" s="7"/>
      <c r="G93" s="7"/>
      <c r="H93" s="7"/>
      <c r="I93" s="7"/>
      <c r="J93" s="8"/>
      <c r="K93" s="9"/>
    </row>
    <row r="94">
      <c r="A94" s="6"/>
      <c r="B94" s="7"/>
      <c r="C94" s="7"/>
      <c r="D94" s="7"/>
      <c r="E94" s="7"/>
      <c r="F94" s="7"/>
      <c r="G94" s="7"/>
      <c r="H94" s="7"/>
      <c r="I94" s="7"/>
      <c r="J94" s="8"/>
      <c r="K94" s="9"/>
    </row>
    <row r="95">
      <c r="A95" s="6"/>
      <c r="B95" s="7"/>
      <c r="C95" s="7"/>
      <c r="D95" s="7"/>
      <c r="E95" s="7"/>
      <c r="F95" s="7"/>
      <c r="G95" s="7"/>
      <c r="H95" s="7"/>
      <c r="I95" s="7"/>
      <c r="J95" s="8"/>
      <c r="K95" s="9"/>
    </row>
    <row r="96">
      <c r="A96" s="6"/>
      <c r="B96" s="7"/>
      <c r="C96" s="7"/>
      <c r="D96" s="7"/>
      <c r="E96" s="7"/>
      <c r="F96" s="7"/>
      <c r="G96" s="7"/>
      <c r="H96" s="7"/>
      <c r="I96" s="7"/>
      <c r="J96" s="8"/>
      <c r="K96" s="9"/>
    </row>
    <row r="97">
      <c r="A97" s="6"/>
      <c r="B97" s="7"/>
      <c r="C97" s="7"/>
      <c r="D97" s="7"/>
      <c r="E97" s="7"/>
      <c r="F97" s="7"/>
      <c r="G97" s="7"/>
      <c r="H97" s="7"/>
      <c r="I97" s="7"/>
      <c r="J97" s="8"/>
      <c r="K97" s="9"/>
    </row>
    <row r="98">
      <c r="A98" s="6"/>
      <c r="B98" s="7"/>
      <c r="C98" s="7"/>
      <c r="D98" s="7"/>
      <c r="E98" s="7"/>
      <c r="F98" s="7"/>
      <c r="G98" s="7"/>
      <c r="H98" s="7"/>
      <c r="I98" s="7"/>
      <c r="J98" s="8"/>
      <c r="K98" s="9"/>
    </row>
    <row r="99">
      <c r="A99" s="6"/>
      <c r="B99" s="7"/>
      <c r="C99" s="7"/>
      <c r="D99" s="7"/>
      <c r="E99" s="7"/>
      <c r="F99" s="7"/>
      <c r="G99" s="7"/>
      <c r="H99" s="7"/>
      <c r="I99" s="7"/>
      <c r="J99" s="8"/>
      <c r="K99" s="9"/>
    </row>
    <row r="100">
      <c r="A100" s="6"/>
      <c r="B100" s="7"/>
      <c r="C100" s="7"/>
      <c r="D100" s="7"/>
      <c r="E100" s="7"/>
      <c r="F100" s="7"/>
      <c r="G100" s="7"/>
      <c r="H100" s="7"/>
      <c r="I100" s="7"/>
      <c r="J100" s="8"/>
      <c r="K100" s="9"/>
    </row>
    <row r="101">
      <c r="A101" s="6"/>
      <c r="B101" s="7"/>
      <c r="C101" s="7"/>
      <c r="D101" s="7"/>
      <c r="E101" s="7"/>
      <c r="F101" s="7"/>
      <c r="G101" s="7"/>
      <c r="H101" s="7"/>
      <c r="I101" s="7"/>
      <c r="J101" s="8"/>
      <c r="K101" s="9"/>
    </row>
    <row r="102">
      <c r="A102" s="6"/>
      <c r="B102" s="7"/>
      <c r="C102" s="7"/>
      <c r="D102" s="7"/>
      <c r="E102" s="7"/>
      <c r="F102" s="7"/>
      <c r="G102" s="7"/>
      <c r="H102" s="7"/>
      <c r="I102" s="7"/>
      <c r="J102" s="8"/>
      <c r="K102" s="9"/>
    </row>
    <row r="103">
      <c r="A103" s="6"/>
      <c r="B103" s="7"/>
      <c r="C103" s="7"/>
      <c r="D103" s="7"/>
      <c r="E103" s="7"/>
      <c r="F103" s="7"/>
      <c r="G103" s="7"/>
      <c r="H103" s="7"/>
      <c r="I103" s="7"/>
      <c r="J103" s="8"/>
      <c r="K103" s="9"/>
    </row>
    <row r="104">
      <c r="A104" s="6"/>
      <c r="B104" s="7"/>
      <c r="C104" s="7"/>
      <c r="D104" s="7"/>
      <c r="E104" s="7"/>
      <c r="F104" s="7"/>
      <c r="G104" s="7"/>
      <c r="H104" s="7"/>
      <c r="I104" s="7"/>
      <c r="J104" s="8"/>
      <c r="K104" s="9"/>
    </row>
    <row r="105">
      <c r="A105" s="6"/>
      <c r="B105" s="7"/>
      <c r="C105" s="7"/>
      <c r="D105" s="7"/>
      <c r="E105" s="7"/>
      <c r="F105" s="7"/>
      <c r="G105" s="7"/>
      <c r="H105" s="7"/>
      <c r="I105" s="7"/>
      <c r="J105" s="8"/>
      <c r="K105" s="9"/>
    </row>
    <row r="106">
      <c r="A106" s="6"/>
      <c r="B106" s="7"/>
      <c r="C106" s="7"/>
      <c r="D106" s="7"/>
      <c r="E106" s="7"/>
      <c r="F106" s="7"/>
      <c r="G106" s="7"/>
      <c r="H106" s="7"/>
      <c r="I106" s="7"/>
      <c r="J106" s="8"/>
      <c r="K106" s="9"/>
    </row>
    <row r="107">
      <c r="A107" s="6"/>
      <c r="B107" s="7"/>
      <c r="C107" s="7"/>
      <c r="D107" s="7"/>
      <c r="E107" s="7"/>
      <c r="F107" s="7"/>
      <c r="G107" s="7"/>
      <c r="H107" s="7"/>
      <c r="I107" s="7"/>
      <c r="J107" s="8"/>
      <c r="K107" s="9"/>
    </row>
    <row r="108">
      <c r="A108" s="6"/>
      <c r="B108" s="7"/>
      <c r="C108" s="7"/>
      <c r="D108" s="7"/>
      <c r="E108" s="7"/>
      <c r="F108" s="7"/>
      <c r="G108" s="7"/>
      <c r="H108" s="7"/>
      <c r="I108" s="7"/>
      <c r="J108" s="8"/>
      <c r="K108" s="9"/>
    </row>
    <row r="109">
      <c r="A109" s="6"/>
      <c r="B109" s="7"/>
      <c r="C109" s="7"/>
      <c r="D109" s="7"/>
      <c r="E109" s="7"/>
      <c r="F109" s="7"/>
      <c r="G109" s="7"/>
      <c r="H109" s="7"/>
      <c r="I109" s="7"/>
      <c r="J109" s="8"/>
      <c r="K109" s="9"/>
    </row>
    <row r="110">
      <c r="A110" s="6"/>
      <c r="B110" s="7"/>
      <c r="C110" s="7"/>
      <c r="D110" s="7"/>
      <c r="E110" s="7"/>
      <c r="F110" s="7"/>
      <c r="G110" s="7"/>
      <c r="H110" s="7"/>
      <c r="I110" s="7"/>
      <c r="J110" s="8"/>
      <c r="K110" s="9"/>
    </row>
    <row r="111">
      <c r="A111" s="6"/>
      <c r="B111" s="7"/>
      <c r="C111" s="7"/>
      <c r="D111" s="7"/>
      <c r="E111" s="7"/>
      <c r="F111" s="7"/>
      <c r="G111" s="7"/>
      <c r="H111" s="7"/>
      <c r="I111" s="7"/>
      <c r="J111" s="8"/>
      <c r="K111" s="9"/>
    </row>
    <row r="112">
      <c r="A112" s="6"/>
      <c r="B112" s="7"/>
      <c r="C112" s="7"/>
      <c r="D112" s="7"/>
      <c r="E112" s="7"/>
      <c r="F112" s="7"/>
      <c r="G112" s="7"/>
      <c r="H112" s="7"/>
      <c r="I112" s="7"/>
      <c r="J112" s="8"/>
      <c r="K112" s="9"/>
    </row>
    <row r="113">
      <c r="A113" s="6"/>
      <c r="B113" s="7"/>
      <c r="C113" s="7"/>
      <c r="D113" s="7"/>
      <c r="E113" s="7"/>
      <c r="F113" s="7"/>
      <c r="G113" s="7"/>
      <c r="H113" s="7"/>
      <c r="I113" s="7"/>
      <c r="J113" s="8"/>
      <c r="K113" s="9"/>
    </row>
    <row r="114">
      <c r="A114" s="6"/>
      <c r="B114" s="7"/>
      <c r="C114" s="7"/>
      <c r="D114" s="7"/>
      <c r="E114" s="7"/>
      <c r="F114" s="7"/>
      <c r="G114" s="7"/>
      <c r="H114" s="7"/>
      <c r="I114" s="7"/>
      <c r="J114" s="8"/>
      <c r="K114" s="9"/>
    </row>
    <row r="115">
      <c r="A115" s="6"/>
      <c r="B115" s="7"/>
      <c r="C115" s="7"/>
      <c r="D115" s="7"/>
      <c r="E115" s="7"/>
      <c r="F115" s="7"/>
      <c r="G115" s="7"/>
      <c r="H115" s="7"/>
      <c r="I115" s="7"/>
      <c r="J115" s="8"/>
      <c r="K115" s="9"/>
    </row>
    <row r="116">
      <c r="A116" s="6"/>
      <c r="B116" s="7"/>
      <c r="C116" s="7"/>
      <c r="D116" s="7"/>
      <c r="E116" s="7"/>
      <c r="F116" s="7"/>
      <c r="G116" s="7"/>
      <c r="H116" s="7"/>
      <c r="I116" s="7"/>
      <c r="J116" s="8"/>
      <c r="K116" s="9"/>
    </row>
    <row r="117">
      <c r="A117" s="6"/>
      <c r="B117" s="7"/>
      <c r="C117" s="7"/>
      <c r="D117" s="7"/>
      <c r="E117" s="7"/>
      <c r="F117" s="7"/>
      <c r="G117" s="7"/>
      <c r="H117" s="7"/>
      <c r="I117" s="7"/>
      <c r="J117" s="8"/>
      <c r="K117" s="9"/>
    </row>
    <row r="118">
      <c r="A118" s="6"/>
      <c r="B118" s="7"/>
      <c r="C118" s="7"/>
      <c r="D118" s="7"/>
      <c r="E118" s="7"/>
      <c r="F118" s="7"/>
      <c r="G118" s="7"/>
      <c r="H118" s="7"/>
      <c r="I118" s="7"/>
      <c r="J118" s="8"/>
      <c r="K118" s="9"/>
    </row>
    <row r="119">
      <c r="A119" s="6"/>
      <c r="B119" s="7"/>
      <c r="C119" s="7"/>
      <c r="D119" s="7"/>
      <c r="E119" s="7"/>
      <c r="F119" s="7"/>
      <c r="G119" s="7"/>
      <c r="H119" s="7"/>
      <c r="I119" s="7"/>
      <c r="J119" s="8"/>
      <c r="K119" s="9"/>
    </row>
    <row r="120">
      <c r="A120" s="6"/>
      <c r="B120" s="7"/>
      <c r="C120" s="7"/>
      <c r="D120" s="7"/>
      <c r="E120" s="7"/>
      <c r="F120" s="7"/>
      <c r="G120" s="7"/>
      <c r="H120" s="7"/>
      <c r="I120" s="7"/>
      <c r="J120" s="8"/>
      <c r="K120" s="9"/>
    </row>
    <row r="121">
      <c r="A121" s="6"/>
      <c r="B121" s="7"/>
      <c r="C121" s="7"/>
      <c r="D121" s="7"/>
      <c r="E121" s="7"/>
      <c r="F121" s="7"/>
      <c r="G121" s="7"/>
      <c r="H121" s="7"/>
      <c r="I121" s="7"/>
      <c r="J121" s="8"/>
      <c r="K121" s="9"/>
    </row>
    <row r="122">
      <c r="A122" s="6"/>
      <c r="B122" s="7"/>
      <c r="C122" s="7"/>
      <c r="D122" s="7"/>
      <c r="E122" s="7"/>
      <c r="F122" s="7"/>
      <c r="G122" s="7"/>
      <c r="H122" s="7"/>
      <c r="I122" s="7"/>
      <c r="J122" s="8"/>
      <c r="K122" s="9"/>
    </row>
    <row r="123">
      <c r="A123" s="6"/>
      <c r="B123" s="7"/>
      <c r="C123" s="7"/>
      <c r="D123" s="7"/>
      <c r="E123" s="7"/>
      <c r="F123" s="7"/>
      <c r="G123" s="7"/>
      <c r="H123" s="7"/>
      <c r="I123" s="7"/>
      <c r="J123" s="8"/>
      <c r="K123" s="9"/>
    </row>
    <row r="124">
      <c r="A124" s="6"/>
      <c r="B124" s="7"/>
      <c r="C124" s="7"/>
      <c r="D124" s="7"/>
      <c r="E124" s="7"/>
      <c r="F124" s="7"/>
      <c r="G124" s="7"/>
      <c r="H124" s="7"/>
      <c r="I124" s="7"/>
      <c r="J124" s="8"/>
      <c r="K124" s="9"/>
    </row>
    <row r="125">
      <c r="A125" s="6"/>
      <c r="B125" s="7"/>
      <c r="C125" s="7"/>
      <c r="D125" s="7"/>
      <c r="E125" s="7"/>
      <c r="F125" s="7"/>
      <c r="G125" s="7"/>
      <c r="H125" s="7"/>
      <c r="I125" s="7"/>
      <c r="J125" s="8"/>
      <c r="K125" s="9"/>
    </row>
    <row r="126">
      <c r="A126" s="6"/>
      <c r="B126" s="7"/>
      <c r="C126" s="7"/>
      <c r="D126" s="7"/>
      <c r="E126" s="7"/>
      <c r="F126" s="7"/>
      <c r="G126" s="7"/>
      <c r="H126" s="7"/>
      <c r="I126" s="7"/>
      <c r="J126" s="8"/>
      <c r="K126" s="9"/>
    </row>
    <row r="127">
      <c r="A127" s="6"/>
      <c r="B127" s="7"/>
      <c r="C127" s="7"/>
      <c r="D127" s="7"/>
      <c r="E127" s="7"/>
      <c r="F127" s="7"/>
      <c r="G127" s="7"/>
      <c r="H127" s="7"/>
      <c r="I127" s="7"/>
      <c r="J127" s="8"/>
      <c r="K127" s="9"/>
    </row>
    <row r="128">
      <c r="A128" s="6"/>
      <c r="B128" s="7"/>
      <c r="C128" s="7"/>
      <c r="D128" s="7"/>
      <c r="E128" s="7"/>
      <c r="F128" s="7"/>
      <c r="G128" s="7"/>
      <c r="H128" s="7"/>
      <c r="I128" s="7"/>
      <c r="J128" s="8"/>
      <c r="K128" s="9"/>
    </row>
    <row r="129">
      <c r="A129" s="6"/>
      <c r="B129" s="7"/>
      <c r="C129" s="7"/>
      <c r="D129" s="7"/>
      <c r="E129" s="7"/>
      <c r="F129" s="7"/>
      <c r="G129" s="7"/>
      <c r="H129" s="7"/>
      <c r="I129" s="7"/>
      <c r="J129" s="8"/>
      <c r="K129" s="9"/>
    </row>
    <row r="130">
      <c r="A130" s="6"/>
      <c r="B130" s="7"/>
      <c r="C130" s="7"/>
      <c r="D130" s="7"/>
      <c r="E130" s="7"/>
      <c r="F130" s="7"/>
      <c r="G130" s="7"/>
      <c r="H130" s="7"/>
      <c r="I130" s="7"/>
      <c r="J130" s="8"/>
      <c r="K130" s="9"/>
    </row>
    <row r="131">
      <c r="A131" s="6"/>
      <c r="B131" s="7"/>
      <c r="C131" s="7"/>
      <c r="D131" s="7"/>
      <c r="E131" s="7"/>
      <c r="F131" s="7"/>
      <c r="G131" s="7"/>
      <c r="H131" s="7"/>
      <c r="I131" s="7"/>
      <c r="J131" s="8"/>
      <c r="K131" s="9"/>
    </row>
    <row r="132">
      <c r="A132" s="6"/>
      <c r="B132" s="7"/>
      <c r="C132" s="7"/>
      <c r="D132" s="7"/>
      <c r="E132" s="7"/>
      <c r="F132" s="7"/>
      <c r="G132" s="7"/>
      <c r="H132" s="7"/>
      <c r="I132" s="7"/>
      <c r="J132" s="8"/>
      <c r="K132" s="9"/>
    </row>
    <row r="133">
      <c r="A133" s="6"/>
      <c r="B133" s="7"/>
      <c r="C133" s="7"/>
      <c r="D133" s="7"/>
      <c r="E133" s="7"/>
      <c r="F133" s="7"/>
      <c r="G133" s="7"/>
      <c r="H133" s="7"/>
      <c r="I133" s="7"/>
      <c r="J133" s="8"/>
      <c r="K133" s="9"/>
    </row>
    <row r="134">
      <c r="A134" s="6"/>
      <c r="B134" s="7"/>
      <c r="C134" s="7"/>
      <c r="D134" s="7"/>
      <c r="E134" s="7"/>
      <c r="F134" s="7"/>
      <c r="G134" s="7"/>
      <c r="H134" s="7"/>
      <c r="I134" s="7"/>
      <c r="J134" s="8"/>
      <c r="K134" s="9"/>
    </row>
    <row r="135">
      <c r="A135" s="6"/>
      <c r="B135" s="7"/>
      <c r="C135" s="7"/>
      <c r="D135" s="7"/>
      <c r="E135" s="7"/>
      <c r="F135" s="7"/>
      <c r="G135" s="7"/>
      <c r="H135" s="7"/>
      <c r="I135" s="7"/>
      <c r="J135" s="8"/>
      <c r="K135" s="9"/>
    </row>
    <row r="136">
      <c r="A136" s="6"/>
      <c r="B136" s="7"/>
      <c r="C136" s="7"/>
      <c r="D136" s="7"/>
      <c r="E136" s="7"/>
      <c r="F136" s="7"/>
      <c r="G136" s="7"/>
      <c r="H136" s="7"/>
      <c r="I136" s="7"/>
      <c r="J136" s="8"/>
      <c r="K136" s="9"/>
    </row>
    <row r="137">
      <c r="A137" s="6"/>
      <c r="B137" s="7"/>
      <c r="C137" s="7"/>
      <c r="D137" s="7"/>
      <c r="E137" s="7"/>
      <c r="F137" s="7"/>
      <c r="G137" s="7"/>
      <c r="H137" s="7"/>
      <c r="I137" s="7"/>
      <c r="J137" s="8"/>
      <c r="K137" s="9"/>
    </row>
    <row r="138">
      <c r="A138" s="6"/>
      <c r="B138" s="7"/>
      <c r="C138" s="7"/>
      <c r="D138" s="7"/>
      <c r="E138" s="7"/>
      <c r="F138" s="7"/>
      <c r="G138" s="7"/>
      <c r="H138" s="7"/>
      <c r="I138" s="7"/>
      <c r="J138" s="8"/>
      <c r="K138" s="9"/>
    </row>
    <row r="139">
      <c r="A139" s="6"/>
      <c r="B139" s="7"/>
      <c r="C139" s="7"/>
      <c r="D139" s="7"/>
      <c r="E139" s="7"/>
      <c r="F139" s="7"/>
      <c r="G139" s="7"/>
      <c r="H139" s="7"/>
      <c r="I139" s="7"/>
      <c r="J139" s="8"/>
      <c r="K139" s="9"/>
    </row>
    <row r="140">
      <c r="A140" s="6"/>
      <c r="B140" s="7"/>
      <c r="C140" s="7"/>
      <c r="D140" s="7"/>
      <c r="E140" s="7"/>
      <c r="F140" s="7"/>
      <c r="G140" s="7"/>
      <c r="H140" s="7"/>
      <c r="I140" s="7"/>
      <c r="J140" s="8"/>
      <c r="K140" s="9"/>
    </row>
    <row r="141">
      <c r="A141" s="6"/>
      <c r="B141" s="7"/>
      <c r="C141" s="7"/>
      <c r="D141" s="7"/>
      <c r="E141" s="7"/>
      <c r="F141" s="7"/>
      <c r="G141" s="7"/>
      <c r="H141" s="7"/>
      <c r="I141" s="7"/>
      <c r="J141" s="8"/>
      <c r="K141" s="9"/>
    </row>
    <row r="142">
      <c r="A142" s="6"/>
      <c r="B142" s="7"/>
      <c r="C142" s="7"/>
      <c r="D142" s="7"/>
      <c r="E142" s="7"/>
      <c r="F142" s="7"/>
      <c r="G142" s="7"/>
      <c r="H142" s="7"/>
      <c r="I142" s="7"/>
      <c r="J142" s="8"/>
      <c r="K142" s="9"/>
    </row>
    <row r="143">
      <c r="A143" s="6"/>
      <c r="B143" s="7"/>
      <c r="C143" s="7"/>
      <c r="D143" s="7"/>
      <c r="E143" s="7"/>
      <c r="F143" s="7"/>
      <c r="G143" s="7"/>
      <c r="H143" s="7"/>
      <c r="I143" s="7"/>
      <c r="J143" s="8"/>
      <c r="K143" s="9"/>
    </row>
    <row r="144">
      <c r="A144" s="6"/>
      <c r="B144" s="7"/>
      <c r="C144" s="7"/>
      <c r="D144" s="7"/>
      <c r="E144" s="7"/>
      <c r="F144" s="7"/>
      <c r="G144" s="7"/>
      <c r="H144" s="7"/>
      <c r="I144" s="7"/>
      <c r="J144" s="8"/>
      <c r="K144" s="9"/>
    </row>
    <row r="145">
      <c r="A145" s="6"/>
      <c r="B145" s="7"/>
      <c r="C145" s="7"/>
      <c r="D145" s="7"/>
      <c r="E145" s="7"/>
      <c r="F145" s="7"/>
      <c r="G145" s="7"/>
      <c r="H145" s="7"/>
      <c r="I145" s="7"/>
      <c r="J145" s="8"/>
      <c r="K145" s="9"/>
    </row>
    <row r="146">
      <c r="A146" s="6"/>
      <c r="B146" s="7"/>
      <c r="C146" s="7"/>
      <c r="D146" s="7"/>
      <c r="E146" s="7"/>
      <c r="F146" s="7"/>
      <c r="G146" s="7"/>
      <c r="H146" s="7"/>
      <c r="I146" s="7"/>
      <c r="J146" s="8"/>
      <c r="K146" s="9"/>
    </row>
    <row r="147">
      <c r="A147" s="6"/>
      <c r="B147" s="7"/>
      <c r="C147" s="7"/>
      <c r="D147" s="7"/>
      <c r="E147" s="7"/>
      <c r="F147" s="7"/>
      <c r="G147" s="7"/>
      <c r="H147" s="7"/>
      <c r="I147" s="7"/>
      <c r="J147" s="8"/>
      <c r="K147" s="9"/>
    </row>
    <row r="148">
      <c r="A148" s="6"/>
      <c r="B148" s="7"/>
      <c r="C148" s="7"/>
      <c r="D148" s="7"/>
      <c r="E148" s="7"/>
      <c r="F148" s="7"/>
      <c r="G148" s="7"/>
      <c r="H148" s="7"/>
      <c r="I148" s="7"/>
      <c r="J148" s="8"/>
      <c r="K148" s="9"/>
    </row>
    <row r="149">
      <c r="A149" s="6"/>
      <c r="B149" s="7"/>
      <c r="C149" s="7"/>
      <c r="D149" s="7"/>
      <c r="E149" s="7"/>
      <c r="F149" s="7"/>
      <c r="G149" s="7"/>
      <c r="H149" s="7"/>
      <c r="I149" s="7"/>
      <c r="J149" s="8"/>
      <c r="K149" s="9"/>
    </row>
    <row r="150">
      <c r="A150" s="6"/>
      <c r="B150" s="7"/>
      <c r="C150" s="7"/>
      <c r="D150" s="7"/>
      <c r="E150" s="7"/>
      <c r="F150" s="7"/>
      <c r="G150" s="7"/>
      <c r="H150" s="7"/>
      <c r="I150" s="7"/>
      <c r="J150" s="8"/>
      <c r="K150" s="9"/>
    </row>
    <row r="151">
      <c r="A151" s="6"/>
      <c r="B151" s="7"/>
      <c r="C151" s="7"/>
      <c r="D151" s="7"/>
      <c r="E151" s="7"/>
      <c r="F151" s="7"/>
      <c r="G151" s="7"/>
      <c r="H151" s="7"/>
      <c r="I151" s="7"/>
      <c r="J151" s="8"/>
      <c r="K151" s="9"/>
    </row>
    <row r="152">
      <c r="A152" s="6"/>
      <c r="B152" s="7"/>
      <c r="C152" s="7"/>
      <c r="D152" s="7"/>
      <c r="E152" s="7"/>
      <c r="F152" s="7"/>
      <c r="G152" s="7"/>
      <c r="H152" s="7"/>
      <c r="I152" s="7"/>
      <c r="J152" s="8"/>
      <c r="K152" s="9"/>
    </row>
    <row r="153">
      <c r="A153" s="6"/>
      <c r="B153" s="7"/>
      <c r="C153" s="7"/>
      <c r="D153" s="7"/>
      <c r="E153" s="7"/>
      <c r="F153" s="7"/>
      <c r="G153" s="7"/>
      <c r="H153" s="7"/>
      <c r="I153" s="7"/>
      <c r="J153" s="8"/>
      <c r="K153" s="9"/>
    </row>
    <row r="154">
      <c r="A154" s="6"/>
      <c r="B154" s="7"/>
      <c r="C154" s="7"/>
      <c r="D154" s="7"/>
      <c r="E154" s="7"/>
      <c r="F154" s="7"/>
      <c r="G154" s="7"/>
      <c r="H154" s="7"/>
      <c r="I154" s="7"/>
      <c r="J154" s="8"/>
      <c r="K154" s="9"/>
    </row>
    <row r="155">
      <c r="A155" s="6"/>
      <c r="B155" s="7"/>
      <c r="C155" s="7"/>
      <c r="D155" s="7"/>
      <c r="E155" s="7"/>
      <c r="F155" s="7"/>
      <c r="G155" s="7"/>
      <c r="H155" s="7"/>
      <c r="I155" s="7"/>
      <c r="J155" s="8"/>
      <c r="K155" s="9"/>
    </row>
    <row r="156">
      <c r="A156" s="6"/>
      <c r="B156" s="7"/>
      <c r="C156" s="7"/>
      <c r="D156" s="7"/>
      <c r="E156" s="7"/>
      <c r="F156" s="7"/>
      <c r="G156" s="7"/>
      <c r="H156" s="7"/>
      <c r="I156" s="7"/>
      <c r="J156" s="8"/>
      <c r="K156" s="9"/>
    </row>
    <row r="157">
      <c r="A157" s="6"/>
      <c r="B157" s="7"/>
      <c r="C157" s="7"/>
      <c r="D157" s="7"/>
      <c r="E157" s="7"/>
      <c r="F157" s="7"/>
      <c r="G157" s="7"/>
      <c r="H157" s="7"/>
      <c r="I157" s="7"/>
      <c r="J157" s="8"/>
      <c r="K157" s="9"/>
    </row>
    <row r="158">
      <c r="A158" s="6"/>
      <c r="B158" s="7"/>
      <c r="C158" s="7"/>
      <c r="D158" s="7"/>
      <c r="E158" s="7"/>
      <c r="F158" s="7"/>
      <c r="G158" s="7"/>
      <c r="H158" s="7"/>
      <c r="I158" s="7"/>
      <c r="J158" s="8"/>
      <c r="K158" s="9"/>
    </row>
    <row r="159">
      <c r="A159" s="6"/>
      <c r="B159" s="7"/>
      <c r="C159" s="7"/>
      <c r="D159" s="7"/>
      <c r="E159" s="7"/>
      <c r="F159" s="7"/>
      <c r="G159" s="7"/>
      <c r="H159" s="7"/>
      <c r="I159" s="7"/>
      <c r="J159" s="8"/>
      <c r="K159" s="9"/>
    </row>
    <row r="160">
      <c r="A160" s="6"/>
      <c r="B160" s="7"/>
      <c r="C160" s="7"/>
      <c r="D160" s="7"/>
      <c r="E160" s="7"/>
      <c r="F160" s="7"/>
      <c r="G160" s="7"/>
      <c r="H160" s="7"/>
      <c r="I160" s="7"/>
      <c r="J160" s="8"/>
      <c r="K160" s="9"/>
    </row>
    <row r="161">
      <c r="A161" s="6"/>
      <c r="B161" s="7"/>
      <c r="C161" s="7"/>
      <c r="D161" s="7"/>
      <c r="E161" s="7"/>
      <c r="F161" s="7"/>
      <c r="G161" s="7"/>
      <c r="H161" s="7"/>
      <c r="I161" s="7"/>
      <c r="J161" s="8"/>
      <c r="K161" s="9"/>
    </row>
    <row r="162">
      <c r="A162" s="6"/>
      <c r="B162" s="7"/>
      <c r="C162" s="7"/>
      <c r="D162" s="7"/>
      <c r="E162" s="7"/>
      <c r="F162" s="7"/>
      <c r="G162" s="7"/>
      <c r="H162" s="7"/>
      <c r="I162" s="7"/>
      <c r="J162" s="8"/>
      <c r="K162" s="9"/>
    </row>
    <row r="163">
      <c r="A163" s="6"/>
      <c r="B163" s="7"/>
      <c r="C163" s="7"/>
      <c r="D163" s="7"/>
      <c r="E163" s="7"/>
      <c r="F163" s="7"/>
      <c r="G163" s="7"/>
      <c r="H163" s="7"/>
      <c r="I163" s="7"/>
      <c r="J163" s="8"/>
      <c r="K163" s="9"/>
    </row>
    <row r="164">
      <c r="A164" s="6"/>
      <c r="B164" s="7"/>
      <c r="C164" s="7"/>
      <c r="D164" s="7"/>
      <c r="E164" s="7"/>
      <c r="F164" s="7"/>
      <c r="G164" s="7"/>
      <c r="H164" s="7"/>
      <c r="I164" s="7"/>
      <c r="J164" s="8"/>
      <c r="K164" s="9"/>
    </row>
    <row r="165">
      <c r="A165" s="6"/>
      <c r="B165" s="7"/>
      <c r="C165" s="7"/>
      <c r="D165" s="7"/>
      <c r="E165" s="7"/>
      <c r="F165" s="7"/>
      <c r="G165" s="7"/>
      <c r="H165" s="7"/>
      <c r="I165" s="7"/>
      <c r="J165" s="8"/>
      <c r="K165" s="9"/>
    </row>
    <row r="166">
      <c r="A166" s="6"/>
      <c r="B166" s="7"/>
      <c r="C166" s="7"/>
      <c r="D166" s="7"/>
      <c r="E166" s="7"/>
      <c r="F166" s="7"/>
      <c r="G166" s="7"/>
      <c r="H166" s="7"/>
      <c r="I166" s="7"/>
      <c r="J166" s="8"/>
      <c r="K166" s="9"/>
    </row>
    <row r="167">
      <c r="A167" s="6"/>
      <c r="B167" s="7"/>
      <c r="C167" s="7"/>
      <c r="D167" s="7"/>
      <c r="E167" s="7"/>
      <c r="F167" s="7"/>
      <c r="G167" s="7"/>
      <c r="H167" s="7"/>
      <c r="I167" s="7"/>
      <c r="J167" s="8"/>
      <c r="K167" s="9"/>
    </row>
    <row r="168">
      <c r="A168" s="6"/>
      <c r="B168" s="7"/>
      <c r="C168" s="7"/>
      <c r="D168" s="7"/>
      <c r="E168" s="7"/>
      <c r="F168" s="7"/>
      <c r="G168" s="7"/>
      <c r="H168" s="7"/>
      <c r="I168" s="7"/>
      <c r="J168" s="8"/>
      <c r="K168" s="9"/>
    </row>
    <row r="169">
      <c r="A169" s="6"/>
      <c r="B169" s="7"/>
      <c r="C169" s="7"/>
      <c r="D169" s="7"/>
      <c r="E169" s="7"/>
      <c r="F169" s="7"/>
      <c r="G169" s="7"/>
      <c r="H169" s="7"/>
      <c r="I169" s="7"/>
      <c r="J169" s="8"/>
      <c r="K169" s="9"/>
    </row>
    <row r="170">
      <c r="A170" s="6"/>
      <c r="B170" s="7"/>
      <c r="C170" s="7"/>
      <c r="D170" s="7"/>
      <c r="E170" s="7"/>
      <c r="F170" s="7"/>
      <c r="G170" s="7"/>
      <c r="H170" s="7"/>
      <c r="I170" s="7"/>
      <c r="J170" s="8"/>
      <c r="K170" s="9"/>
    </row>
    <row r="171">
      <c r="A171" s="6"/>
      <c r="B171" s="7"/>
      <c r="C171" s="7"/>
      <c r="D171" s="7"/>
      <c r="E171" s="7"/>
      <c r="F171" s="7"/>
      <c r="G171" s="7"/>
      <c r="H171" s="7"/>
      <c r="I171" s="7"/>
      <c r="J171" s="8"/>
      <c r="K171" s="9"/>
    </row>
    <row r="172">
      <c r="A172" s="6"/>
      <c r="B172" s="7"/>
      <c r="C172" s="7"/>
      <c r="D172" s="7"/>
      <c r="E172" s="7"/>
      <c r="F172" s="7"/>
      <c r="G172" s="7"/>
      <c r="H172" s="7"/>
      <c r="I172" s="7"/>
      <c r="J172" s="8"/>
      <c r="K172" s="9"/>
    </row>
    <row r="173">
      <c r="A173" s="6"/>
      <c r="B173" s="7"/>
      <c r="C173" s="7"/>
      <c r="D173" s="7"/>
      <c r="E173" s="7"/>
      <c r="F173" s="7"/>
      <c r="G173" s="7"/>
      <c r="H173" s="7"/>
      <c r="I173" s="7"/>
      <c r="J173" s="8"/>
      <c r="K173" s="9"/>
    </row>
    <row r="174">
      <c r="A174" s="6"/>
      <c r="B174" s="7"/>
      <c r="C174" s="7"/>
      <c r="D174" s="7"/>
      <c r="E174" s="7"/>
      <c r="F174" s="7"/>
      <c r="G174" s="7"/>
      <c r="H174" s="7"/>
      <c r="I174" s="7"/>
      <c r="J174" s="8"/>
      <c r="K174" s="9"/>
    </row>
    <row r="175">
      <c r="A175" s="6"/>
      <c r="B175" s="7"/>
      <c r="C175" s="7"/>
      <c r="D175" s="7"/>
      <c r="E175" s="7"/>
      <c r="F175" s="7"/>
      <c r="G175" s="7"/>
      <c r="H175" s="7"/>
      <c r="I175" s="7"/>
      <c r="J175" s="8"/>
      <c r="K175" s="9"/>
    </row>
    <row r="176">
      <c r="A176" s="6"/>
      <c r="B176" s="7"/>
      <c r="C176" s="7"/>
      <c r="D176" s="7"/>
      <c r="E176" s="7"/>
      <c r="F176" s="7"/>
      <c r="G176" s="7"/>
      <c r="H176" s="7"/>
      <c r="I176" s="7"/>
      <c r="J176" s="8"/>
      <c r="K176" s="9"/>
    </row>
    <row r="177">
      <c r="A177" s="6"/>
      <c r="B177" s="7"/>
      <c r="C177" s="7"/>
      <c r="D177" s="7"/>
      <c r="E177" s="7"/>
      <c r="F177" s="7"/>
      <c r="G177" s="7"/>
      <c r="H177" s="7"/>
      <c r="I177" s="7"/>
      <c r="J177" s="8"/>
      <c r="K177" s="9"/>
    </row>
    <row r="178">
      <c r="A178" s="6"/>
      <c r="B178" s="7"/>
      <c r="C178" s="7"/>
      <c r="D178" s="7"/>
      <c r="E178" s="7"/>
      <c r="F178" s="7"/>
      <c r="G178" s="7"/>
      <c r="H178" s="7"/>
      <c r="I178" s="7"/>
      <c r="J178" s="8"/>
      <c r="K178" s="9"/>
    </row>
    <row r="179">
      <c r="A179" s="6"/>
      <c r="B179" s="7"/>
      <c r="C179" s="7"/>
      <c r="D179" s="7"/>
      <c r="E179" s="7"/>
      <c r="F179" s="7"/>
      <c r="G179" s="7"/>
      <c r="H179" s="7"/>
      <c r="I179" s="7"/>
      <c r="J179" s="8"/>
      <c r="K179" s="9"/>
    </row>
    <row r="180">
      <c r="A180" s="6"/>
      <c r="B180" s="7"/>
      <c r="C180" s="7"/>
      <c r="D180" s="7"/>
      <c r="E180" s="7"/>
      <c r="F180" s="7"/>
      <c r="G180" s="7"/>
      <c r="H180" s="7"/>
      <c r="I180" s="7"/>
      <c r="J180" s="8"/>
      <c r="K180" s="9"/>
    </row>
    <row r="181">
      <c r="A181" s="6"/>
      <c r="B181" s="7"/>
      <c r="C181" s="7"/>
      <c r="D181" s="7"/>
      <c r="E181" s="7"/>
      <c r="F181" s="7"/>
      <c r="G181" s="7"/>
      <c r="H181" s="7"/>
      <c r="I181" s="7"/>
      <c r="J181" s="8"/>
      <c r="K181" s="9"/>
    </row>
    <row r="182">
      <c r="A182" s="6"/>
      <c r="B182" s="7"/>
      <c r="C182" s="7"/>
      <c r="D182" s="7"/>
      <c r="E182" s="7"/>
      <c r="F182" s="7"/>
      <c r="G182" s="7"/>
      <c r="H182" s="7"/>
      <c r="I182" s="7"/>
      <c r="J182" s="8"/>
      <c r="K182" s="9"/>
    </row>
    <row r="183">
      <c r="A183" s="6"/>
      <c r="B183" s="7"/>
      <c r="C183" s="7"/>
      <c r="D183" s="7"/>
      <c r="E183" s="7"/>
      <c r="F183" s="7"/>
      <c r="G183" s="7"/>
      <c r="H183" s="7"/>
      <c r="I183" s="7"/>
      <c r="J183" s="8"/>
      <c r="K183" s="9"/>
    </row>
    <row r="184">
      <c r="A184" s="6"/>
      <c r="B184" s="7"/>
      <c r="C184" s="7"/>
      <c r="D184" s="7"/>
      <c r="E184" s="7"/>
      <c r="F184" s="7"/>
      <c r="G184" s="7"/>
      <c r="H184" s="7"/>
      <c r="I184" s="7"/>
      <c r="J184" s="8"/>
      <c r="K184" s="9"/>
    </row>
    <row r="185">
      <c r="A185" s="6"/>
      <c r="B185" s="7"/>
      <c r="C185" s="7"/>
      <c r="D185" s="7"/>
      <c r="E185" s="7"/>
      <c r="F185" s="7"/>
      <c r="G185" s="7"/>
      <c r="H185" s="7"/>
      <c r="I185" s="7"/>
      <c r="J185" s="8"/>
      <c r="K185" s="9"/>
    </row>
    <row r="186">
      <c r="A186" s="6"/>
      <c r="B186" s="7"/>
      <c r="C186" s="7"/>
      <c r="D186" s="7"/>
      <c r="E186" s="7"/>
      <c r="F186" s="7"/>
      <c r="G186" s="7"/>
      <c r="H186" s="7"/>
      <c r="I186" s="7"/>
      <c r="J186" s="8"/>
      <c r="K186" s="9"/>
    </row>
    <row r="187">
      <c r="A187" s="6"/>
      <c r="B187" s="7"/>
      <c r="C187" s="7"/>
      <c r="D187" s="7"/>
      <c r="E187" s="7"/>
      <c r="F187" s="7"/>
      <c r="G187" s="7"/>
      <c r="H187" s="7"/>
      <c r="I187" s="7"/>
      <c r="J187" s="8"/>
      <c r="K187" s="9"/>
    </row>
    <row r="188">
      <c r="A188" s="6"/>
      <c r="B188" s="7"/>
      <c r="C188" s="7"/>
      <c r="D188" s="7"/>
      <c r="E188" s="7"/>
      <c r="F188" s="7"/>
      <c r="G188" s="7"/>
      <c r="H188" s="7"/>
      <c r="I188" s="7"/>
      <c r="J188" s="8"/>
      <c r="K188" s="9"/>
    </row>
    <row r="189">
      <c r="A189" s="6"/>
      <c r="B189" s="7"/>
      <c r="C189" s="7"/>
      <c r="D189" s="7"/>
      <c r="E189" s="7"/>
      <c r="F189" s="7"/>
      <c r="G189" s="7"/>
      <c r="H189" s="7"/>
      <c r="I189" s="7"/>
      <c r="J189" s="8"/>
      <c r="K189" s="9"/>
    </row>
    <row r="190">
      <c r="A190" s="6"/>
      <c r="B190" s="7"/>
      <c r="C190" s="7"/>
      <c r="D190" s="7"/>
      <c r="E190" s="7"/>
      <c r="F190" s="7"/>
      <c r="G190" s="7"/>
      <c r="H190" s="7"/>
      <c r="I190" s="7"/>
      <c r="J190" s="8"/>
      <c r="K190" s="9"/>
    </row>
    <row r="191">
      <c r="A191" s="6"/>
      <c r="B191" s="7"/>
      <c r="C191" s="7"/>
      <c r="D191" s="7"/>
      <c r="E191" s="7"/>
      <c r="F191" s="7"/>
      <c r="G191" s="7"/>
      <c r="H191" s="7"/>
      <c r="I191" s="7"/>
      <c r="J191" s="8"/>
      <c r="K191" s="9"/>
    </row>
    <row r="192">
      <c r="A192" s="6"/>
      <c r="B192" s="7"/>
      <c r="C192" s="7"/>
      <c r="D192" s="7"/>
      <c r="E192" s="7"/>
      <c r="F192" s="7"/>
      <c r="G192" s="7"/>
      <c r="H192" s="7"/>
      <c r="I192" s="7"/>
      <c r="J192" s="8"/>
      <c r="K192" s="9"/>
    </row>
    <row r="193">
      <c r="A193" s="6"/>
      <c r="B193" s="7"/>
      <c r="C193" s="7"/>
      <c r="D193" s="7"/>
      <c r="E193" s="7"/>
      <c r="F193" s="7"/>
      <c r="G193" s="7"/>
      <c r="H193" s="7"/>
      <c r="I193" s="7"/>
      <c r="J193" s="8"/>
      <c r="K193" s="9"/>
    </row>
    <row r="194">
      <c r="A194" s="6"/>
      <c r="B194" s="7"/>
      <c r="C194" s="7"/>
      <c r="D194" s="7"/>
      <c r="E194" s="7"/>
      <c r="F194" s="7"/>
      <c r="G194" s="7"/>
      <c r="H194" s="7"/>
      <c r="I194" s="7"/>
      <c r="J194" s="8"/>
      <c r="K194" s="9"/>
    </row>
    <row r="195">
      <c r="A195" s="6"/>
      <c r="B195" s="7"/>
      <c r="C195" s="7"/>
      <c r="D195" s="7"/>
      <c r="E195" s="7"/>
      <c r="F195" s="7"/>
      <c r="G195" s="7"/>
      <c r="H195" s="7"/>
      <c r="I195" s="7"/>
      <c r="J195" s="8"/>
      <c r="K195" s="9"/>
    </row>
    <row r="196">
      <c r="A196" s="6"/>
      <c r="B196" s="7"/>
      <c r="C196" s="7"/>
      <c r="D196" s="7"/>
      <c r="E196" s="7"/>
      <c r="F196" s="7"/>
      <c r="G196" s="7"/>
      <c r="H196" s="7"/>
      <c r="I196" s="7"/>
      <c r="J196" s="8"/>
      <c r="K196" s="9"/>
    </row>
    <row r="197">
      <c r="A197" s="6"/>
      <c r="B197" s="7"/>
      <c r="C197" s="7"/>
      <c r="D197" s="7"/>
      <c r="E197" s="7"/>
      <c r="F197" s="7"/>
      <c r="G197" s="7"/>
      <c r="H197" s="7"/>
      <c r="I197" s="7"/>
      <c r="J197" s="8"/>
      <c r="K197" s="9"/>
    </row>
    <row r="198">
      <c r="A198" s="6"/>
      <c r="B198" s="7"/>
      <c r="C198" s="7"/>
      <c r="D198" s="7"/>
      <c r="E198" s="7"/>
      <c r="F198" s="7"/>
      <c r="G198" s="7"/>
      <c r="H198" s="7"/>
      <c r="I198" s="7"/>
      <c r="J198" s="8"/>
      <c r="K198" s="9"/>
    </row>
    <row r="199">
      <c r="A199" s="6"/>
      <c r="B199" s="7"/>
      <c r="C199" s="7"/>
      <c r="D199" s="7"/>
      <c r="E199" s="7"/>
      <c r="F199" s="7"/>
      <c r="G199" s="7"/>
      <c r="H199" s="7"/>
      <c r="I199" s="7"/>
      <c r="J199" s="8"/>
      <c r="K199" s="9"/>
    </row>
    <row r="200">
      <c r="A200" s="6"/>
      <c r="B200" s="7"/>
      <c r="C200" s="7"/>
      <c r="D200" s="7"/>
      <c r="E200" s="7"/>
      <c r="F200" s="7"/>
      <c r="G200" s="7"/>
      <c r="H200" s="7"/>
      <c r="I200" s="7"/>
      <c r="J200" s="8"/>
      <c r="K200" s="9"/>
    </row>
    <row r="201">
      <c r="A201" s="6"/>
      <c r="B201" s="7"/>
      <c r="C201" s="7"/>
      <c r="D201" s="7"/>
      <c r="E201" s="7"/>
      <c r="F201" s="7"/>
      <c r="G201" s="7"/>
      <c r="H201" s="7"/>
      <c r="I201" s="7"/>
      <c r="J201" s="8"/>
      <c r="K201" s="9"/>
    </row>
    <row r="202">
      <c r="A202" s="6"/>
      <c r="B202" s="7"/>
      <c r="C202" s="7"/>
      <c r="D202" s="7"/>
      <c r="E202" s="7"/>
      <c r="F202" s="7"/>
      <c r="G202" s="7"/>
      <c r="H202" s="7"/>
      <c r="I202" s="7"/>
      <c r="J202" s="8"/>
      <c r="K202" s="9"/>
    </row>
    <row r="203">
      <c r="A203" s="6"/>
      <c r="B203" s="7"/>
      <c r="C203" s="7"/>
      <c r="D203" s="7"/>
      <c r="E203" s="7"/>
      <c r="F203" s="7"/>
      <c r="G203" s="7"/>
      <c r="H203" s="7"/>
      <c r="I203" s="7"/>
      <c r="J203" s="8"/>
      <c r="K203" s="9"/>
    </row>
    <row r="204">
      <c r="A204" s="6"/>
      <c r="B204" s="7"/>
      <c r="C204" s="7"/>
      <c r="D204" s="7"/>
      <c r="E204" s="7"/>
      <c r="F204" s="7"/>
      <c r="G204" s="7"/>
      <c r="H204" s="7"/>
      <c r="I204" s="7"/>
      <c r="J204" s="8"/>
      <c r="K204" s="9"/>
    </row>
    <row r="205">
      <c r="A205" s="6"/>
      <c r="B205" s="7"/>
      <c r="C205" s="7"/>
      <c r="D205" s="7"/>
      <c r="E205" s="7"/>
      <c r="F205" s="7"/>
      <c r="G205" s="7"/>
      <c r="H205" s="7"/>
      <c r="I205" s="7"/>
      <c r="J205" s="8"/>
      <c r="K205" s="9"/>
    </row>
    <row r="206">
      <c r="A206" s="6"/>
      <c r="B206" s="7"/>
      <c r="C206" s="7"/>
      <c r="D206" s="7"/>
      <c r="E206" s="7"/>
      <c r="F206" s="7"/>
      <c r="G206" s="7"/>
      <c r="H206" s="7"/>
      <c r="I206" s="7"/>
      <c r="J206" s="8"/>
      <c r="K206" s="9"/>
    </row>
    <row r="207">
      <c r="A207" s="6"/>
      <c r="B207" s="7"/>
      <c r="C207" s="7"/>
      <c r="D207" s="7"/>
      <c r="E207" s="7"/>
      <c r="F207" s="7"/>
      <c r="G207" s="7"/>
      <c r="H207" s="7"/>
      <c r="I207" s="7"/>
      <c r="J207" s="8"/>
      <c r="K207" s="9"/>
    </row>
    <row r="208">
      <c r="A208" s="6"/>
      <c r="B208" s="7"/>
      <c r="C208" s="7"/>
      <c r="D208" s="7"/>
      <c r="E208" s="7"/>
      <c r="F208" s="7"/>
      <c r="G208" s="7"/>
      <c r="H208" s="7"/>
      <c r="I208" s="7"/>
      <c r="J208" s="8"/>
      <c r="K208" s="9"/>
    </row>
    <row r="209">
      <c r="A209" s="6"/>
      <c r="B209" s="7"/>
      <c r="C209" s="7"/>
      <c r="D209" s="7"/>
      <c r="E209" s="7"/>
      <c r="F209" s="7"/>
      <c r="G209" s="7"/>
      <c r="H209" s="7"/>
      <c r="I209" s="7"/>
      <c r="J209" s="8"/>
      <c r="K209" s="9"/>
    </row>
    <row r="210">
      <c r="A210" s="6"/>
      <c r="B210" s="7"/>
      <c r="C210" s="7"/>
      <c r="D210" s="7"/>
      <c r="E210" s="7"/>
      <c r="F210" s="7"/>
      <c r="G210" s="7"/>
      <c r="H210" s="7"/>
      <c r="I210" s="7"/>
      <c r="J210" s="8"/>
      <c r="K210" s="9"/>
    </row>
    <row r="211">
      <c r="A211" s="6"/>
      <c r="B211" s="7"/>
      <c r="C211" s="7"/>
      <c r="D211" s="7"/>
      <c r="E211" s="7"/>
      <c r="F211" s="7"/>
      <c r="G211" s="7"/>
      <c r="H211" s="7"/>
      <c r="I211" s="7"/>
      <c r="J211" s="8"/>
      <c r="K211" s="9"/>
    </row>
    <row r="212">
      <c r="A212" s="6"/>
      <c r="B212" s="7"/>
      <c r="C212" s="7"/>
      <c r="D212" s="7"/>
      <c r="E212" s="7"/>
      <c r="F212" s="7"/>
      <c r="G212" s="7"/>
      <c r="H212" s="7"/>
      <c r="I212" s="7"/>
      <c r="J212" s="8"/>
      <c r="K212" s="9"/>
    </row>
    <row r="213">
      <c r="A213" s="6"/>
      <c r="B213" s="7"/>
      <c r="C213" s="7"/>
      <c r="D213" s="7"/>
      <c r="E213" s="7"/>
      <c r="F213" s="7"/>
      <c r="G213" s="7"/>
      <c r="H213" s="7"/>
      <c r="I213" s="7"/>
      <c r="J213" s="8"/>
      <c r="K213" s="9"/>
    </row>
    <row r="214">
      <c r="A214" s="6"/>
      <c r="B214" s="7"/>
      <c r="C214" s="7"/>
      <c r="D214" s="7"/>
      <c r="E214" s="7"/>
      <c r="F214" s="7"/>
      <c r="G214" s="7"/>
      <c r="H214" s="7"/>
      <c r="I214" s="7"/>
      <c r="J214" s="8"/>
      <c r="K214" s="9"/>
    </row>
    <row r="215">
      <c r="A215" s="6"/>
      <c r="B215" s="7"/>
      <c r="C215" s="7"/>
      <c r="D215" s="7"/>
      <c r="E215" s="7"/>
      <c r="F215" s="7"/>
      <c r="G215" s="7"/>
      <c r="H215" s="7"/>
      <c r="I215" s="7"/>
      <c r="J215" s="8"/>
      <c r="K215" s="9"/>
    </row>
    <row r="216">
      <c r="A216" s="6"/>
      <c r="B216" s="7"/>
      <c r="C216" s="7"/>
      <c r="D216" s="7"/>
      <c r="E216" s="7"/>
      <c r="F216" s="7"/>
      <c r="G216" s="7"/>
      <c r="H216" s="7"/>
      <c r="I216" s="7"/>
      <c r="J216" s="8"/>
      <c r="K216" s="9"/>
    </row>
    <row r="217">
      <c r="A217" s="6"/>
      <c r="B217" s="7"/>
      <c r="C217" s="7"/>
      <c r="D217" s="7"/>
      <c r="E217" s="7"/>
      <c r="F217" s="7"/>
      <c r="G217" s="7"/>
      <c r="H217" s="7"/>
      <c r="I217" s="7"/>
      <c r="J217" s="8"/>
      <c r="K217" s="9"/>
    </row>
    <row r="218">
      <c r="A218" s="6"/>
      <c r="B218" s="7"/>
      <c r="C218" s="7"/>
      <c r="D218" s="7"/>
      <c r="E218" s="7"/>
      <c r="F218" s="7"/>
      <c r="G218" s="7"/>
      <c r="H218" s="7"/>
      <c r="I218" s="7"/>
      <c r="J218" s="8"/>
      <c r="K218" s="9"/>
    </row>
    <row r="219">
      <c r="A219" s="6"/>
      <c r="B219" s="7"/>
      <c r="C219" s="7"/>
      <c r="D219" s="7"/>
      <c r="E219" s="7"/>
      <c r="F219" s="7"/>
      <c r="G219" s="7"/>
      <c r="H219" s="7"/>
      <c r="I219" s="7"/>
      <c r="J219" s="8"/>
      <c r="K219" s="9"/>
    </row>
    <row r="220">
      <c r="A220" s="6"/>
      <c r="B220" s="7"/>
      <c r="C220" s="7"/>
      <c r="D220" s="7"/>
      <c r="E220" s="7"/>
      <c r="F220" s="7"/>
      <c r="G220" s="7"/>
      <c r="H220" s="7"/>
      <c r="I220" s="7"/>
      <c r="J220" s="8"/>
      <c r="K220" s="9"/>
    </row>
    <row r="221">
      <c r="A221" s="6"/>
      <c r="B221" s="7"/>
      <c r="C221" s="7"/>
      <c r="D221" s="7"/>
      <c r="E221" s="7"/>
      <c r="F221" s="7"/>
      <c r="G221" s="7"/>
      <c r="H221" s="7"/>
      <c r="I221" s="7"/>
      <c r="J221" s="8"/>
      <c r="K221" s="9"/>
    </row>
    <row r="222">
      <c r="A222" s="6"/>
      <c r="B222" s="7"/>
      <c r="C222" s="7"/>
      <c r="D222" s="7"/>
      <c r="E222" s="7"/>
      <c r="F222" s="7"/>
      <c r="G222" s="7"/>
      <c r="H222" s="7"/>
      <c r="I222" s="7"/>
      <c r="J222" s="8"/>
      <c r="K222" s="9"/>
    </row>
    <row r="223">
      <c r="A223" s="6"/>
      <c r="B223" s="7"/>
      <c r="C223" s="7"/>
      <c r="D223" s="7"/>
      <c r="E223" s="7"/>
      <c r="F223" s="7"/>
      <c r="G223" s="7"/>
      <c r="H223" s="7"/>
      <c r="I223" s="7"/>
      <c r="J223" s="8"/>
      <c r="K223" s="9"/>
    </row>
    <row r="224">
      <c r="A224" s="6"/>
      <c r="B224" s="7"/>
      <c r="C224" s="7"/>
      <c r="D224" s="7"/>
      <c r="E224" s="7"/>
      <c r="F224" s="7"/>
      <c r="G224" s="7"/>
      <c r="H224" s="7"/>
      <c r="I224" s="7"/>
      <c r="J224" s="8"/>
      <c r="K224" s="9"/>
    </row>
    <row r="225">
      <c r="A225" s="6"/>
      <c r="B225" s="7"/>
      <c r="C225" s="7"/>
      <c r="D225" s="7"/>
      <c r="E225" s="7"/>
      <c r="F225" s="7"/>
      <c r="G225" s="7"/>
      <c r="H225" s="7"/>
      <c r="I225" s="7"/>
      <c r="J225" s="8"/>
      <c r="K225" s="9"/>
    </row>
    <row r="226">
      <c r="A226" s="6"/>
      <c r="B226" s="7"/>
      <c r="C226" s="7"/>
      <c r="D226" s="7"/>
      <c r="E226" s="7"/>
      <c r="F226" s="7"/>
      <c r="G226" s="7"/>
      <c r="H226" s="7"/>
      <c r="I226" s="7"/>
      <c r="J226" s="8"/>
      <c r="K226" s="9"/>
    </row>
    <row r="227">
      <c r="A227" s="6"/>
      <c r="B227" s="7"/>
      <c r="C227" s="7"/>
      <c r="D227" s="7"/>
      <c r="E227" s="7"/>
      <c r="F227" s="7"/>
      <c r="G227" s="7"/>
      <c r="H227" s="7"/>
      <c r="I227" s="7"/>
      <c r="J227" s="8"/>
      <c r="K227" s="9"/>
    </row>
    <row r="228">
      <c r="A228" s="6"/>
      <c r="B228" s="7"/>
      <c r="C228" s="7"/>
      <c r="D228" s="7"/>
      <c r="E228" s="7"/>
      <c r="F228" s="7"/>
      <c r="G228" s="7"/>
      <c r="H228" s="7"/>
      <c r="I228" s="7"/>
      <c r="J228" s="8"/>
      <c r="K228" s="9"/>
    </row>
    <row r="229">
      <c r="A229" s="6"/>
      <c r="B229" s="7"/>
      <c r="C229" s="7"/>
      <c r="D229" s="7"/>
      <c r="E229" s="7"/>
      <c r="F229" s="7"/>
      <c r="G229" s="7"/>
      <c r="H229" s="7"/>
      <c r="I229" s="7"/>
      <c r="J229" s="8"/>
      <c r="K229" s="9"/>
    </row>
    <row r="230">
      <c r="A230" s="6"/>
      <c r="B230" s="7"/>
      <c r="C230" s="7"/>
      <c r="D230" s="7"/>
      <c r="E230" s="7"/>
      <c r="F230" s="7"/>
      <c r="G230" s="7"/>
      <c r="H230" s="7"/>
      <c r="I230" s="7"/>
      <c r="J230" s="8"/>
      <c r="K230" s="9"/>
    </row>
    <row r="231">
      <c r="A231" s="6"/>
      <c r="B231" s="7"/>
      <c r="C231" s="7"/>
      <c r="D231" s="7"/>
      <c r="E231" s="7"/>
      <c r="F231" s="7"/>
      <c r="G231" s="7"/>
      <c r="H231" s="7"/>
      <c r="I231" s="7"/>
      <c r="J231" s="8"/>
      <c r="K231" s="9"/>
    </row>
    <row r="232">
      <c r="A232" s="6"/>
      <c r="B232" s="7"/>
      <c r="C232" s="7"/>
      <c r="D232" s="7"/>
      <c r="E232" s="7"/>
      <c r="F232" s="7"/>
      <c r="G232" s="7"/>
      <c r="H232" s="7"/>
      <c r="I232" s="7"/>
      <c r="J232" s="8"/>
      <c r="K232" s="9"/>
    </row>
    <row r="233">
      <c r="A233" s="6"/>
      <c r="B233" s="7"/>
      <c r="C233" s="7"/>
      <c r="D233" s="7"/>
      <c r="E233" s="7"/>
      <c r="F233" s="7"/>
      <c r="G233" s="7"/>
      <c r="H233" s="7"/>
      <c r="I233" s="7"/>
      <c r="J233" s="8"/>
      <c r="K233" s="9"/>
    </row>
    <row r="234">
      <c r="A234" s="6"/>
      <c r="B234" s="7"/>
      <c r="C234" s="7"/>
      <c r="D234" s="7"/>
      <c r="E234" s="7"/>
      <c r="F234" s="7"/>
      <c r="G234" s="7"/>
      <c r="H234" s="7"/>
      <c r="I234" s="7"/>
      <c r="J234" s="8"/>
      <c r="K234" s="9"/>
    </row>
    <row r="235">
      <c r="A235" s="6"/>
      <c r="B235" s="7"/>
      <c r="C235" s="7"/>
      <c r="D235" s="7"/>
      <c r="E235" s="7"/>
      <c r="F235" s="7"/>
      <c r="G235" s="7"/>
      <c r="H235" s="7"/>
      <c r="I235" s="7"/>
      <c r="J235" s="8"/>
      <c r="K235" s="9"/>
    </row>
    <row r="236">
      <c r="A236" s="6"/>
      <c r="B236" s="7"/>
      <c r="C236" s="7"/>
      <c r="D236" s="7"/>
      <c r="E236" s="7"/>
      <c r="F236" s="7"/>
      <c r="G236" s="7"/>
      <c r="H236" s="7"/>
      <c r="I236" s="7"/>
      <c r="J236" s="8"/>
      <c r="K236" s="9"/>
    </row>
    <row r="237">
      <c r="A237" s="6"/>
      <c r="B237" s="7"/>
      <c r="C237" s="7"/>
      <c r="D237" s="7"/>
      <c r="E237" s="7"/>
      <c r="F237" s="7"/>
      <c r="G237" s="7"/>
      <c r="H237" s="7"/>
      <c r="I237" s="7"/>
      <c r="J237" s="8"/>
      <c r="K237" s="9"/>
    </row>
    <row r="238">
      <c r="A238" s="6"/>
      <c r="B238" s="7"/>
      <c r="C238" s="7"/>
      <c r="D238" s="7"/>
      <c r="E238" s="7"/>
      <c r="F238" s="7"/>
      <c r="G238" s="7"/>
      <c r="H238" s="7"/>
      <c r="I238" s="7"/>
      <c r="J238" s="8"/>
      <c r="K238" s="9"/>
    </row>
    <row r="239">
      <c r="A239" s="6"/>
      <c r="B239" s="7"/>
      <c r="C239" s="7"/>
      <c r="D239" s="7"/>
      <c r="E239" s="7"/>
      <c r="F239" s="7"/>
      <c r="G239" s="7"/>
      <c r="H239" s="7"/>
      <c r="I239" s="7"/>
      <c r="J239" s="8"/>
      <c r="K239" s="9"/>
    </row>
    <row r="240">
      <c r="A240" s="6"/>
      <c r="B240" s="7"/>
      <c r="C240" s="7"/>
      <c r="D240" s="7"/>
      <c r="E240" s="7"/>
      <c r="F240" s="7"/>
      <c r="G240" s="7"/>
      <c r="H240" s="7"/>
      <c r="I240" s="7"/>
      <c r="J240" s="8"/>
      <c r="K240" s="9"/>
    </row>
    <row r="241">
      <c r="A241" s="6"/>
      <c r="B241" s="7"/>
      <c r="C241" s="7"/>
      <c r="D241" s="7"/>
      <c r="E241" s="7"/>
      <c r="F241" s="7"/>
      <c r="G241" s="7"/>
      <c r="H241" s="7"/>
      <c r="I241" s="7"/>
      <c r="J241" s="8"/>
      <c r="K241" s="9"/>
    </row>
    <row r="242">
      <c r="A242" s="6"/>
      <c r="B242" s="7"/>
      <c r="C242" s="7"/>
      <c r="D242" s="7"/>
      <c r="E242" s="7"/>
      <c r="F242" s="7"/>
      <c r="G242" s="7"/>
      <c r="H242" s="7"/>
      <c r="I242" s="7"/>
      <c r="J242" s="8"/>
      <c r="K242" s="9"/>
    </row>
    <row r="243">
      <c r="A243" s="6"/>
      <c r="B243" s="7"/>
      <c r="C243" s="7"/>
      <c r="D243" s="7"/>
      <c r="E243" s="7"/>
      <c r="F243" s="7"/>
      <c r="G243" s="7"/>
      <c r="H243" s="7"/>
      <c r="I243" s="7"/>
      <c r="J243" s="8"/>
      <c r="K243" s="9"/>
    </row>
    <row r="244">
      <c r="A244" s="6"/>
      <c r="B244" s="7"/>
      <c r="C244" s="7"/>
      <c r="D244" s="7"/>
      <c r="E244" s="7"/>
      <c r="F244" s="7"/>
      <c r="G244" s="7"/>
      <c r="H244" s="7"/>
      <c r="I244" s="7"/>
      <c r="J244" s="8"/>
      <c r="K244" s="9"/>
    </row>
    <row r="245">
      <c r="A245" s="6"/>
      <c r="B245" s="7"/>
      <c r="C245" s="7"/>
      <c r="D245" s="7"/>
      <c r="E245" s="7"/>
      <c r="F245" s="7"/>
      <c r="G245" s="7"/>
      <c r="H245" s="7"/>
      <c r="I245" s="7"/>
      <c r="J245" s="8"/>
      <c r="K245" s="9"/>
    </row>
    <row r="246">
      <c r="A246" s="6"/>
      <c r="B246" s="7"/>
      <c r="C246" s="7"/>
      <c r="D246" s="7"/>
      <c r="E246" s="7"/>
      <c r="F246" s="7"/>
      <c r="G246" s="7"/>
      <c r="H246" s="7"/>
      <c r="I246" s="7"/>
      <c r="J246" s="8"/>
      <c r="K246" s="9"/>
    </row>
    <row r="247">
      <c r="A247" s="6"/>
      <c r="B247" s="7"/>
      <c r="C247" s="7"/>
      <c r="D247" s="7"/>
      <c r="E247" s="7"/>
      <c r="F247" s="7"/>
      <c r="G247" s="7"/>
      <c r="H247" s="7"/>
      <c r="I247" s="7"/>
      <c r="J247" s="8"/>
      <c r="K247" s="9"/>
    </row>
    <row r="248">
      <c r="A248" s="6"/>
      <c r="B248" s="7"/>
      <c r="C248" s="7"/>
      <c r="D248" s="7"/>
      <c r="E248" s="7"/>
      <c r="F248" s="7"/>
      <c r="G248" s="7"/>
      <c r="H248" s="7"/>
      <c r="I248" s="7"/>
      <c r="J248" s="8"/>
      <c r="K248" s="9"/>
    </row>
    <row r="249">
      <c r="A249" s="6"/>
      <c r="B249" s="7"/>
      <c r="C249" s="7"/>
      <c r="D249" s="7"/>
      <c r="E249" s="7"/>
      <c r="F249" s="7"/>
      <c r="G249" s="7"/>
      <c r="H249" s="7"/>
      <c r="I249" s="7"/>
      <c r="J249" s="8"/>
      <c r="K249" s="9"/>
    </row>
    <row r="250">
      <c r="A250" s="6"/>
      <c r="B250" s="7"/>
      <c r="C250" s="7"/>
      <c r="D250" s="7"/>
      <c r="E250" s="7"/>
      <c r="F250" s="7"/>
      <c r="G250" s="7"/>
      <c r="H250" s="7"/>
      <c r="I250" s="7"/>
      <c r="J250" s="8"/>
      <c r="K250" s="9"/>
    </row>
    <row r="251">
      <c r="A251" s="6"/>
      <c r="B251" s="7"/>
      <c r="C251" s="7"/>
      <c r="D251" s="7"/>
      <c r="E251" s="7"/>
      <c r="F251" s="7"/>
      <c r="G251" s="7"/>
      <c r="H251" s="7"/>
      <c r="I251" s="7"/>
      <c r="J251" s="8"/>
      <c r="K251" s="9"/>
    </row>
    <row r="252">
      <c r="A252" s="6"/>
      <c r="B252" s="7"/>
      <c r="C252" s="7"/>
      <c r="D252" s="7"/>
      <c r="E252" s="7"/>
      <c r="F252" s="7"/>
      <c r="G252" s="7"/>
      <c r="H252" s="7"/>
      <c r="I252" s="7"/>
      <c r="J252" s="8"/>
      <c r="K252" s="9"/>
    </row>
    <row r="253">
      <c r="A253" s="6"/>
      <c r="B253" s="7"/>
      <c r="C253" s="7"/>
      <c r="D253" s="7"/>
      <c r="E253" s="7"/>
      <c r="F253" s="7"/>
      <c r="G253" s="7"/>
      <c r="H253" s="7"/>
      <c r="I253" s="7"/>
      <c r="J253" s="8"/>
      <c r="K253" s="9"/>
    </row>
    <row r="254">
      <c r="A254" s="6"/>
      <c r="B254" s="7"/>
      <c r="C254" s="7"/>
      <c r="D254" s="7"/>
      <c r="E254" s="7"/>
      <c r="F254" s="7"/>
      <c r="G254" s="7"/>
      <c r="H254" s="7"/>
      <c r="I254" s="7"/>
      <c r="J254" s="8"/>
      <c r="K254" s="9"/>
    </row>
    <row r="255">
      <c r="A255" s="6"/>
      <c r="B255" s="7"/>
      <c r="C255" s="7"/>
      <c r="D255" s="7"/>
      <c r="E255" s="7"/>
      <c r="F255" s="7"/>
      <c r="G255" s="7"/>
      <c r="H255" s="7"/>
      <c r="I255" s="7"/>
      <c r="J255" s="8"/>
      <c r="K255" s="9"/>
    </row>
    <row r="256">
      <c r="A256" s="6"/>
      <c r="B256" s="7"/>
      <c r="C256" s="7"/>
      <c r="D256" s="7"/>
      <c r="E256" s="7"/>
      <c r="F256" s="7"/>
      <c r="G256" s="7"/>
      <c r="H256" s="7"/>
      <c r="I256" s="7"/>
      <c r="J256" s="8"/>
      <c r="K256" s="9"/>
    </row>
    <row r="257">
      <c r="A257" s="6"/>
      <c r="B257" s="7"/>
      <c r="C257" s="7"/>
      <c r="D257" s="7"/>
      <c r="E257" s="7"/>
      <c r="F257" s="7"/>
      <c r="G257" s="7"/>
      <c r="H257" s="7"/>
      <c r="I257" s="7"/>
      <c r="J257" s="8"/>
      <c r="K257" s="9"/>
    </row>
    <row r="258">
      <c r="A258" s="6"/>
      <c r="B258" s="7"/>
      <c r="C258" s="7"/>
      <c r="D258" s="7"/>
      <c r="E258" s="7"/>
      <c r="F258" s="7"/>
      <c r="G258" s="7"/>
      <c r="H258" s="7"/>
      <c r="I258" s="7"/>
      <c r="J258" s="8"/>
      <c r="K258" s="9"/>
    </row>
    <row r="259">
      <c r="A259" s="6"/>
      <c r="B259" s="7"/>
      <c r="C259" s="7"/>
      <c r="D259" s="7"/>
      <c r="E259" s="7"/>
      <c r="F259" s="7"/>
      <c r="G259" s="7"/>
      <c r="H259" s="7"/>
      <c r="I259" s="7"/>
      <c r="J259" s="8"/>
      <c r="K259" s="9"/>
    </row>
    <row r="260">
      <c r="A260" s="6"/>
      <c r="B260" s="7"/>
      <c r="C260" s="7"/>
      <c r="D260" s="7"/>
      <c r="E260" s="7"/>
      <c r="F260" s="7"/>
      <c r="G260" s="7"/>
      <c r="H260" s="7"/>
      <c r="I260" s="7"/>
      <c r="J260" s="8"/>
      <c r="K260" s="9"/>
    </row>
    <row r="261">
      <c r="A261" s="6"/>
      <c r="B261" s="7"/>
      <c r="C261" s="7"/>
      <c r="D261" s="7"/>
      <c r="E261" s="7"/>
      <c r="F261" s="7"/>
      <c r="G261" s="7"/>
      <c r="H261" s="7"/>
      <c r="I261" s="7"/>
      <c r="J261" s="8"/>
      <c r="K261" s="9"/>
    </row>
    <row r="262">
      <c r="A262" s="6"/>
      <c r="B262" s="7"/>
      <c r="C262" s="7"/>
      <c r="D262" s="7"/>
      <c r="E262" s="7"/>
      <c r="F262" s="7"/>
      <c r="G262" s="7"/>
      <c r="H262" s="7"/>
      <c r="I262" s="7"/>
      <c r="J262" s="8"/>
      <c r="K262" s="9"/>
    </row>
    <row r="263">
      <c r="A263" s="6"/>
      <c r="B263" s="7"/>
      <c r="C263" s="7"/>
      <c r="D263" s="7"/>
      <c r="E263" s="7"/>
      <c r="F263" s="7"/>
      <c r="G263" s="7"/>
      <c r="H263" s="7"/>
      <c r="I263" s="7"/>
      <c r="J263" s="8"/>
      <c r="K263" s="9"/>
    </row>
    <row r="264">
      <c r="A264" s="6"/>
      <c r="B264" s="7"/>
      <c r="C264" s="7"/>
      <c r="D264" s="7"/>
      <c r="E264" s="7"/>
      <c r="F264" s="7"/>
      <c r="G264" s="7"/>
      <c r="H264" s="7"/>
      <c r="I264" s="7"/>
      <c r="J264" s="8"/>
      <c r="K264" s="9"/>
    </row>
    <row r="265">
      <c r="A265" s="6"/>
      <c r="B265" s="7"/>
      <c r="C265" s="7"/>
      <c r="D265" s="7"/>
      <c r="E265" s="7"/>
      <c r="F265" s="7"/>
      <c r="G265" s="7"/>
      <c r="H265" s="7"/>
      <c r="I265" s="7"/>
      <c r="J265" s="8"/>
      <c r="K265" s="9"/>
    </row>
    <row r="266">
      <c r="A266" s="6"/>
      <c r="B266" s="7"/>
      <c r="C266" s="7"/>
      <c r="D266" s="7"/>
      <c r="E266" s="7"/>
      <c r="F266" s="7"/>
      <c r="G266" s="7"/>
      <c r="H266" s="7"/>
      <c r="I266" s="7"/>
      <c r="J266" s="8"/>
      <c r="K266" s="9"/>
    </row>
    <row r="267">
      <c r="A267" s="6"/>
      <c r="B267" s="7"/>
      <c r="C267" s="7"/>
      <c r="D267" s="7"/>
      <c r="E267" s="7"/>
      <c r="F267" s="7"/>
      <c r="G267" s="7"/>
      <c r="H267" s="7"/>
      <c r="I267" s="7"/>
      <c r="J267" s="8"/>
      <c r="K267" s="9"/>
    </row>
    <row r="268">
      <c r="A268" s="6"/>
      <c r="B268" s="7"/>
      <c r="C268" s="7"/>
      <c r="D268" s="7"/>
      <c r="E268" s="7"/>
      <c r="F268" s="7"/>
      <c r="G268" s="7"/>
      <c r="H268" s="7"/>
      <c r="I268" s="7"/>
      <c r="J268" s="8"/>
      <c r="K268" s="9"/>
    </row>
    <row r="269">
      <c r="A269" s="6"/>
      <c r="B269" s="7"/>
      <c r="C269" s="7"/>
      <c r="D269" s="7"/>
      <c r="E269" s="7"/>
      <c r="F269" s="7"/>
      <c r="G269" s="7"/>
      <c r="H269" s="7"/>
      <c r="I269" s="7"/>
      <c r="J269" s="8"/>
      <c r="K269" s="9"/>
    </row>
    <row r="270">
      <c r="A270" s="6"/>
      <c r="B270" s="7"/>
      <c r="C270" s="7"/>
      <c r="D270" s="7"/>
      <c r="E270" s="7"/>
      <c r="F270" s="7"/>
      <c r="G270" s="7"/>
      <c r="H270" s="7"/>
      <c r="I270" s="7"/>
      <c r="J270" s="8"/>
      <c r="K270" s="9"/>
    </row>
    <row r="271">
      <c r="A271" s="6"/>
      <c r="B271" s="7"/>
      <c r="C271" s="7"/>
      <c r="D271" s="7"/>
      <c r="E271" s="7"/>
      <c r="F271" s="7"/>
      <c r="G271" s="7"/>
      <c r="H271" s="7"/>
      <c r="I271" s="7"/>
      <c r="J271" s="8"/>
      <c r="K271" s="9"/>
    </row>
    <row r="272">
      <c r="A272" s="6"/>
      <c r="B272" s="7"/>
      <c r="C272" s="7"/>
      <c r="D272" s="7"/>
      <c r="E272" s="7"/>
      <c r="F272" s="7"/>
      <c r="G272" s="7"/>
      <c r="H272" s="7"/>
      <c r="I272" s="7"/>
      <c r="J272" s="8"/>
      <c r="K272" s="9"/>
    </row>
    <row r="273">
      <c r="A273" s="6"/>
      <c r="B273" s="7"/>
      <c r="C273" s="7"/>
      <c r="D273" s="7"/>
      <c r="E273" s="7"/>
      <c r="F273" s="7"/>
      <c r="G273" s="7"/>
      <c r="H273" s="7"/>
      <c r="I273" s="7"/>
      <c r="J273" s="8"/>
      <c r="K273" s="9"/>
    </row>
    <row r="274">
      <c r="A274" s="6"/>
      <c r="B274" s="7"/>
      <c r="C274" s="7"/>
      <c r="D274" s="7"/>
      <c r="E274" s="7"/>
      <c r="F274" s="7"/>
      <c r="G274" s="7"/>
      <c r="H274" s="7"/>
      <c r="I274" s="7"/>
      <c r="J274" s="8"/>
      <c r="K274" s="9"/>
    </row>
    <row r="275">
      <c r="A275" s="6"/>
      <c r="B275" s="7"/>
      <c r="C275" s="7"/>
      <c r="D275" s="7"/>
      <c r="E275" s="7"/>
      <c r="F275" s="7"/>
      <c r="G275" s="7"/>
      <c r="H275" s="7"/>
      <c r="I275" s="7"/>
      <c r="J275" s="8"/>
      <c r="K275" s="9"/>
    </row>
    <row r="276">
      <c r="A276" s="6"/>
      <c r="B276" s="7"/>
      <c r="C276" s="7"/>
      <c r="D276" s="7"/>
      <c r="E276" s="7"/>
      <c r="F276" s="7"/>
      <c r="G276" s="7"/>
      <c r="H276" s="7"/>
      <c r="I276" s="7"/>
      <c r="J276" s="8"/>
      <c r="K276" s="9"/>
    </row>
    <row r="277">
      <c r="A277" s="6"/>
      <c r="B277" s="7"/>
      <c r="C277" s="7"/>
      <c r="D277" s="7"/>
      <c r="E277" s="7"/>
      <c r="F277" s="7"/>
      <c r="G277" s="7"/>
      <c r="H277" s="7"/>
      <c r="I277" s="7"/>
      <c r="J277" s="8"/>
      <c r="K277" s="9"/>
    </row>
    <row r="278">
      <c r="A278" s="6"/>
      <c r="B278" s="7"/>
      <c r="C278" s="7"/>
      <c r="D278" s="7"/>
      <c r="E278" s="7"/>
      <c r="F278" s="7"/>
      <c r="G278" s="7"/>
      <c r="H278" s="7"/>
      <c r="I278" s="7"/>
      <c r="J278" s="8"/>
      <c r="K278" s="9"/>
    </row>
    <row r="279">
      <c r="A279" s="6"/>
      <c r="B279" s="7"/>
      <c r="C279" s="7"/>
      <c r="D279" s="7"/>
      <c r="E279" s="7"/>
      <c r="F279" s="7"/>
      <c r="G279" s="7"/>
      <c r="H279" s="7"/>
      <c r="I279" s="7"/>
      <c r="J279" s="8"/>
      <c r="K279" s="9"/>
    </row>
    <row r="280">
      <c r="A280" s="6"/>
      <c r="B280" s="7"/>
      <c r="C280" s="7"/>
      <c r="D280" s="7"/>
      <c r="E280" s="7"/>
      <c r="F280" s="7"/>
      <c r="G280" s="7"/>
      <c r="H280" s="7"/>
      <c r="I280" s="7"/>
      <c r="J280" s="8"/>
      <c r="K280" s="9"/>
    </row>
    <row r="281">
      <c r="A281" s="6"/>
      <c r="B281" s="7"/>
      <c r="C281" s="7"/>
      <c r="D281" s="7"/>
      <c r="E281" s="7"/>
      <c r="F281" s="7"/>
      <c r="G281" s="7"/>
      <c r="H281" s="7"/>
      <c r="I281" s="7"/>
      <c r="J281" s="8"/>
      <c r="K281" s="9"/>
    </row>
    <row r="282">
      <c r="A282" s="6"/>
      <c r="B282" s="7"/>
      <c r="C282" s="7"/>
      <c r="D282" s="7"/>
      <c r="E282" s="7"/>
      <c r="F282" s="7"/>
      <c r="G282" s="7"/>
      <c r="H282" s="7"/>
      <c r="I282" s="7"/>
      <c r="J282" s="8"/>
      <c r="K282" s="9"/>
    </row>
    <row r="283">
      <c r="A283" s="6"/>
      <c r="B283" s="7"/>
      <c r="C283" s="7"/>
      <c r="D283" s="7"/>
      <c r="E283" s="7"/>
      <c r="F283" s="7"/>
      <c r="G283" s="7"/>
      <c r="H283" s="7"/>
      <c r="I283" s="7"/>
      <c r="J283" s="8"/>
      <c r="K283" s="9"/>
    </row>
    <row r="284">
      <c r="A284" s="6"/>
      <c r="B284" s="7"/>
      <c r="C284" s="7"/>
      <c r="D284" s="7"/>
      <c r="E284" s="7"/>
      <c r="F284" s="7"/>
      <c r="G284" s="7"/>
      <c r="H284" s="7"/>
      <c r="I284" s="7"/>
      <c r="J284" s="8"/>
      <c r="K284" s="9"/>
    </row>
    <row r="285">
      <c r="A285" s="6"/>
      <c r="B285" s="7"/>
      <c r="C285" s="7"/>
      <c r="D285" s="7"/>
      <c r="E285" s="7"/>
      <c r="F285" s="7"/>
      <c r="G285" s="7"/>
      <c r="H285" s="7"/>
      <c r="I285" s="7"/>
      <c r="J285" s="8"/>
      <c r="K285" s="9"/>
    </row>
    <row r="286">
      <c r="A286" s="6"/>
      <c r="B286" s="7"/>
      <c r="C286" s="7"/>
      <c r="D286" s="7"/>
      <c r="E286" s="7"/>
      <c r="F286" s="7"/>
      <c r="G286" s="7"/>
      <c r="H286" s="7"/>
      <c r="I286" s="7"/>
      <c r="J286" s="8"/>
      <c r="K286" s="9"/>
    </row>
    <row r="287">
      <c r="A287" s="6"/>
      <c r="B287" s="7"/>
      <c r="C287" s="7"/>
      <c r="D287" s="7"/>
      <c r="E287" s="7"/>
      <c r="F287" s="7"/>
      <c r="G287" s="7"/>
      <c r="H287" s="7"/>
      <c r="I287" s="7"/>
      <c r="J287" s="8"/>
      <c r="K287" s="9"/>
    </row>
    <row r="288">
      <c r="A288" s="6"/>
      <c r="B288" s="7"/>
      <c r="C288" s="7"/>
      <c r="D288" s="7"/>
      <c r="E288" s="7"/>
      <c r="F288" s="7"/>
      <c r="G288" s="7"/>
      <c r="H288" s="7"/>
      <c r="I288" s="7"/>
      <c r="J288" s="8"/>
      <c r="K288" s="9"/>
    </row>
    <row r="289">
      <c r="A289" s="6"/>
      <c r="B289" s="7"/>
      <c r="C289" s="7"/>
      <c r="D289" s="7"/>
      <c r="E289" s="7"/>
      <c r="F289" s="7"/>
      <c r="G289" s="7"/>
      <c r="H289" s="7"/>
      <c r="I289" s="7"/>
      <c r="J289" s="8"/>
      <c r="K289" s="9"/>
    </row>
    <row r="290">
      <c r="A290" s="6"/>
      <c r="B290" s="7"/>
      <c r="C290" s="7"/>
      <c r="D290" s="7"/>
      <c r="E290" s="7"/>
      <c r="F290" s="7"/>
      <c r="G290" s="7"/>
      <c r="H290" s="7"/>
      <c r="I290" s="7"/>
      <c r="J290" s="8"/>
      <c r="K290" s="9"/>
    </row>
    <row r="291">
      <c r="A291" s="6"/>
      <c r="B291" s="7"/>
      <c r="C291" s="7"/>
      <c r="D291" s="7"/>
      <c r="E291" s="7"/>
      <c r="F291" s="7"/>
      <c r="G291" s="7"/>
      <c r="H291" s="7"/>
      <c r="I291" s="7"/>
      <c r="J291" s="8"/>
      <c r="K291" s="9"/>
    </row>
    <row r="292">
      <c r="A292" s="6"/>
      <c r="B292" s="7"/>
      <c r="C292" s="7"/>
      <c r="D292" s="7"/>
      <c r="E292" s="7"/>
      <c r="F292" s="7"/>
      <c r="G292" s="7"/>
      <c r="H292" s="7"/>
      <c r="I292" s="7"/>
      <c r="J292" s="8"/>
      <c r="K292" s="9"/>
    </row>
    <row r="293">
      <c r="A293" s="6"/>
      <c r="B293" s="7"/>
      <c r="C293" s="7"/>
      <c r="D293" s="7"/>
      <c r="E293" s="7"/>
      <c r="F293" s="7"/>
      <c r="G293" s="7"/>
      <c r="H293" s="7"/>
      <c r="I293" s="7"/>
      <c r="J293" s="8"/>
      <c r="K293" s="9"/>
    </row>
    <row r="294">
      <c r="A294" s="6"/>
      <c r="B294" s="7"/>
      <c r="C294" s="7"/>
      <c r="D294" s="7"/>
      <c r="E294" s="7"/>
      <c r="F294" s="7"/>
      <c r="G294" s="7"/>
      <c r="H294" s="7"/>
      <c r="I294" s="7"/>
      <c r="J294" s="8"/>
      <c r="K294" s="9"/>
    </row>
    <row r="295">
      <c r="A295" s="6"/>
      <c r="B295" s="7"/>
      <c r="C295" s="7"/>
      <c r="D295" s="7"/>
      <c r="E295" s="7"/>
      <c r="F295" s="7"/>
      <c r="G295" s="7"/>
      <c r="H295" s="7"/>
      <c r="I295" s="7"/>
      <c r="J295" s="8"/>
      <c r="K295" s="9"/>
    </row>
    <row r="296">
      <c r="A296" s="6"/>
      <c r="B296" s="7"/>
      <c r="C296" s="7"/>
      <c r="D296" s="7"/>
      <c r="E296" s="7"/>
      <c r="F296" s="7"/>
      <c r="G296" s="7"/>
      <c r="H296" s="7"/>
      <c r="I296" s="7"/>
      <c r="J296" s="8"/>
      <c r="K296" s="9"/>
    </row>
    <row r="297">
      <c r="A297" s="6"/>
      <c r="B297" s="7"/>
      <c r="C297" s="7"/>
      <c r="D297" s="7"/>
      <c r="E297" s="7"/>
      <c r="F297" s="7"/>
      <c r="G297" s="7"/>
      <c r="H297" s="7"/>
      <c r="I297" s="7"/>
      <c r="J297" s="8"/>
      <c r="K297" s="9"/>
    </row>
    <row r="298">
      <c r="A298" s="6"/>
      <c r="B298" s="7"/>
      <c r="C298" s="7"/>
      <c r="D298" s="7"/>
      <c r="E298" s="7"/>
      <c r="F298" s="7"/>
      <c r="G298" s="7"/>
      <c r="H298" s="7"/>
      <c r="I298" s="7"/>
      <c r="J298" s="8"/>
      <c r="K298" s="9"/>
    </row>
    <row r="299">
      <c r="A299" s="6"/>
      <c r="B299" s="7"/>
      <c r="C299" s="7"/>
      <c r="D299" s="7"/>
      <c r="E299" s="7"/>
      <c r="F299" s="7"/>
      <c r="G299" s="7"/>
      <c r="H299" s="7"/>
      <c r="I299" s="7"/>
      <c r="J299" s="8"/>
      <c r="K299" s="9"/>
    </row>
    <row r="300">
      <c r="A300" s="6"/>
      <c r="B300" s="7"/>
      <c r="C300" s="7"/>
      <c r="D300" s="7"/>
      <c r="E300" s="7"/>
      <c r="F300" s="7"/>
      <c r="G300" s="7"/>
      <c r="H300" s="7"/>
      <c r="I300" s="7"/>
      <c r="J300" s="8"/>
      <c r="K300" s="9"/>
    </row>
    <row r="301">
      <c r="A301" s="6"/>
      <c r="B301" s="7"/>
      <c r="C301" s="7"/>
      <c r="D301" s="7"/>
      <c r="E301" s="7"/>
      <c r="F301" s="7"/>
      <c r="G301" s="7"/>
      <c r="H301" s="7"/>
      <c r="I301" s="7"/>
      <c r="J301" s="8"/>
      <c r="K301" s="9"/>
    </row>
    <row r="302">
      <c r="A302" s="6"/>
      <c r="B302" s="7"/>
      <c r="C302" s="7"/>
      <c r="D302" s="7"/>
      <c r="E302" s="7"/>
      <c r="F302" s="7"/>
      <c r="G302" s="7"/>
      <c r="H302" s="7"/>
      <c r="I302" s="7"/>
      <c r="J302" s="8"/>
      <c r="K302" s="9"/>
    </row>
    <row r="303">
      <c r="A303" s="6"/>
      <c r="B303" s="7"/>
      <c r="C303" s="7"/>
      <c r="D303" s="7"/>
      <c r="E303" s="7"/>
      <c r="F303" s="7"/>
      <c r="G303" s="7"/>
      <c r="H303" s="7"/>
      <c r="I303" s="7"/>
      <c r="J303" s="8"/>
      <c r="K303" s="9"/>
    </row>
    <row r="304">
      <c r="A304" s="6"/>
      <c r="B304" s="7"/>
      <c r="C304" s="7"/>
      <c r="D304" s="7"/>
      <c r="E304" s="7"/>
      <c r="F304" s="7"/>
      <c r="G304" s="7"/>
      <c r="H304" s="7"/>
      <c r="I304" s="7"/>
      <c r="J304" s="8"/>
      <c r="K304" s="9"/>
    </row>
    <row r="305">
      <c r="A305" s="6"/>
      <c r="B305" s="7"/>
      <c r="C305" s="7"/>
      <c r="D305" s="7"/>
      <c r="E305" s="7"/>
      <c r="F305" s="7"/>
      <c r="G305" s="7"/>
      <c r="H305" s="7"/>
      <c r="I305" s="7"/>
      <c r="J305" s="8"/>
      <c r="K305" s="9"/>
    </row>
    <row r="306">
      <c r="A306" s="6"/>
      <c r="B306" s="7"/>
      <c r="C306" s="7"/>
      <c r="D306" s="7"/>
      <c r="E306" s="7"/>
      <c r="F306" s="7"/>
      <c r="G306" s="7"/>
      <c r="H306" s="7"/>
      <c r="I306" s="7"/>
      <c r="J306" s="8"/>
      <c r="K306" s="9"/>
    </row>
    <row r="307">
      <c r="A307" s="6"/>
      <c r="B307" s="7"/>
      <c r="C307" s="7"/>
      <c r="D307" s="7"/>
      <c r="E307" s="7"/>
      <c r="F307" s="7"/>
      <c r="G307" s="7"/>
      <c r="H307" s="7"/>
      <c r="I307" s="7"/>
      <c r="J307" s="8"/>
      <c r="K307" s="9"/>
    </row>
    <row r="308">
      <c r="A308" s="6"/>
      <c r="B308" s="7"/>
      <c r="C308" s="7"/>
      <c r="D308" s="7"/>
      <c r="E308" s="7"/>
      <c r="F308" s="7"/>
      <c r="G308" s="7"/>
      <c r="H308" s="7"/>
      <c r="I308" s="7"/>
      <c r="J308" s="8"/>
      <c r="K308" s="9"/>
    </row>
    <row r="309">
      <c r="A309" s="6"/>
      <c r="B309" s="7"/>
      <c r="C309" s="7"/>
      <c r="D309" s="7"/>
      <c r="E309" s="7"/>
      <c r="F309" s="7"/>
      <c r="G309" s="7"/>
      <c r="H309" s="7"/>
      <c r="I309" s="7"/>
      <c r="J309" s="8"/>
      <c r="K309" s="9"/>
    </row>
    <row r="310">
      <c r="A310" s="6"/>
      <c r="B310" s="7"/>
      <c r="C310" s="7"/>
      <c r="D310" s="7"/>
      <c r="E310" s="7"/>
      <c r="F310" s="7"/>
      <c r="G310" s="7"/>
      <c r="H310" s="7"/>
      <c r="I310" s="7"/>
      <c r="J310" s="8"/>
      <c r="K310" s="9"/>
    </row>
    <row r="311">
      <c r="A311" s="6"/>
      <c r="B311" s="7"/>
      <c r="C311" s="7"/>
      <c r="D311" s="7"/>
      <c r="E311" s="7"/>
      <c r="F311" s="7"/>
      <c r="G311" s="7"/>
      <c r="H311" s="7"/>
      <c r="I311" s="7"/>
      <c r="J311" s="8"/>
      <c r="K311" s="9"/>
    </row>
    <row r="312">
      <c r="A312" s="6"/>
      <c r="B312" s="7"/>
      <c r="C312" s="7"/>
      <c r="D312" s="7"/>
      <c r="E312" s="7"/>
      <c r="F312" s="7"/>
      <c r="G312" s="7"/>
      <c r="H312" s="7"/>
      <c r="I312" s="7"/>
      <c r="J312" s="8"/>
      <c r="K312" s="9"/>
    </row>
    <row r="313">
      <c r="A313" s="6"/>
      <c r="B313" s="7"/>
      <c r="C313" s="7"/>
      <c r="D313" s="7"/>
      <c r="E313" s="7"/>
      <c r="F313" s="7"/>
      <c r="G313" s="7"/>
      <c r="H313" s="7"/>
      <c r="I313" s="7"/>
      <c r="J313" s="8"/>
      <c r="K313" s="9"/>
    </row>
    <row r="314">
      <c r="A314" s="6"/>
      <c r="B314" s="7"/>
      <c r="C314" s="7"/>
      <c r="D314" s="7"/>
      <c r="E314" s="7"/>
      <c r="F314" s="7"/>
      <c r="G314" s="7"/>
      <c r="H314" s="7"/>
      <c r="I314" s="7"/>
      <c r="J314" s="8"/>
      <c r="K314" s="9"/>
    </row>
    <row r="315">
      <c r="A315" s="6"/>
      <c r="B315" s="7"/>
      <c r="C315" s="7"/>
      <c r="D315" s="7"/>
      <c r="E315" s="7"/>
      <c r="F315" s="7"/>
      <c r="G315" s="7"/>
      <c r="H315" s="7"/>
      <c r="I315" s="7"/>
      <c r="J315" s="8"/>
      <c r="K315" s="9"/>
    </row>
    <row r="316">
      <c r="A316" s="6"/>
      <c r="B316" s="7"/>
      <c r="C316" s="7"/>
      <c r="D316" s="7"/>
      <c r="E316" s="7"/>
      <c r="F316" s="7"/>
      <c r="G316" s="7"/>
      <c r="H316" s="7"/>
      <c r="I316" s="7"/>
      <c r="J316" s="8"/>
      <c r="K316" s="9"/>
    </row>
    <row r="317">
      <c r="A317" s="6"/>
      <c r="B317" s="7"/>
      <c r="C317" s="7"/>
      <c r="D317" s="7"/>
      <c r="E317" s="7"/>
      <c r="F317" s="7"/>
      <c r="G317" s="7"/>
      <c r="H317" s="7"/>
      <c r="I317" s="7"/>
      <c r="J317" s="8"/>
      <c r="K317" s="9"/>
    </row>
    <row r="318">
      <c r="A318" s="6"/>
      <c r="B318" s="7"/>
      <c r="C318" s="7"/>
      <c r="D318" s="7"/>
      <c r="E318" s="7"/>
      <c r="F318" s="7"/>
      <c r="G318" s="7"/>
      <c r="H318" s="7"/>
      <c r="I318" s="7"/>
      <c r="J318" s="8"/>
      <c r="K318" s="9"/>
    </row>
    <row r="319">
      <c r="A319" s="6"/>
      <c r="B319" s="7"/>
      <c r="C319" s="7"/>
      <c r="D319" s="7"/>
      <c r="E319" s="7"/>
      <c r="F319" s="7"/>
      <c r="G319" s="7"/>
      <c r="H319" s="7"/>
      <c r="I319" s="7"/>
      <c r="J319" s="8"/>
      <c r="K319" s="9"/>
    </row>
    <row r="320">
      <c r="A320" s="6"/>
      <c r="B320" s="7"/>
      <c r="C320" s="7"/>
      <c r="D320" s="7"/>
      <c r="E320" s="7"/>
      <c r="F320" s="7"/>
      <c r="G320" s="7"/>
      <c r="H320" s="7"/>
      <c r="I320" s="7"/>
      <c r="J320" s="8"/>
      <c r="K320" s="9"/>
    </row>
    <row r="321">
      <c r="A321" s="6"/>
      <c r="B321" s="7"/>
      <c r="C321" s="7"/>
      <c r="D321" s="7"/>
      <c r="E321" s="7"/>
      <c r="F321" s="7"/>
      <c r="G321" s="7"/>
      <c r="H321" s="7"/>
      <c r="I321" s="7"/>
      <c r="J321" s="8"/>
      <c r="K321" s="9"/>
    </row>
    <row r="322">
      <c r="A322" s="6"/>
      <c r="B322" s="7"/>
      <c r="C322" s="7"/>
      <c r="D322" s="7"/>
      <c r="E322" s="7"/>
      <c r="F322" s="7"/>
      <c r="G322" s="7"/>
      <c r="H322" s="7"/>
      <c r="I322" s="7"/>
      <c r="J322" s="8"/>
      <c r="K322" s="9"/>
    </row>
    <row r="323">
      <c r="A323" s="6"/>
      <c r="B323" s="7"/>
      <c r="C323" s="7"/>
      <c r="D323" s="7"/>
      <c r="E323" s="7"/>
      <c r="F323" s="7"/>
      <c r="G323" s="7"/>
      <c r="H323" s="7"/>
      <c r="I323" s="7"/>
      <c r="J323" s="8"/>
      <c r="K323" s="9"/>
    </row>
    <row r="324">
      <c r="A324" s="6"/>
      <c r="B324" s="7"/>
      <c r="C324" s="7"/>
      <c r="D324" s="7"/>
      <c r="E324" s="7"/>
      <c r="F324" s="7"/>
      <c r="G324" s="7"/>
      <c r="H324" s="7"/>
      <c r="I324" s="7"/>
      <c r="J324" s="8"/>
      <c r="K324" s="9"/>
    </row>
    <row r="325">
      <c r="A325" s="6"/>
      <c r="B325" s="7"/>
      <c r="C325" s="7"/>
      <c r="D325" s="7"/>
      <c r="E325" s="7"/>
      <c r="F325" s="7"/>
      <c r="G325" s="7"/>
      <c r="H325" s="7"/>
      <c r="I325" s="7"/>
      <c r="J325" s="8"/>
      <c r="K325" s="9"/>
    </row>
    <row r="326">
      <c r="A326" s="6"/>
      <c r="B326" s="7"/>
      <c r="C326" s="7"/>
      <c r="D326" s="7"/>
      <c r="E326" s="7"/>
      <c r="F326" s="7"/>
      <c r="G326" s="7"/>
      <c r="H326" s="7"/>
      <c r="I326" s="7"/>
      <c r="J326" s="8"/>
      <c r="K326" s="9"/>
    </row>
    <row r="327">
      <c r="A327" s="6"/>
      <c r="B327" s="7"/>
      <c r="C327" s="7"/>
      <c r="D327" s="7"/>
      <c r="E327" s="7"/>
      <c r="F327" s="7"/>
      <c r="G327" s="7"/>
      <c r="H327" s="7"/>
      <c r="I327" s="7"/>
      <c r="J327" s="8"/>
      <c r="K327" s="9"/>
    </row>
    <row r="328">
      <c r="A328" s="6"/>
      <c r="B328" s="7"/>
      <c r="C328" s="7"/>
      <c r="D328" s="7"/>
      <c r="E328" s="7"/>
      <c r="F328" s="7"/>
      <c r="G328" s="7"/>
      <c r="H328" s="7"/>
      <c r="I328" s="7"/>
      <c r="J328" s="8"/>
      <c r="K328" s="9"/>
    </row>
    <row r="329">
      <c r="A329" s="6"/>
      <c r="B329" s="7"/>
      <c r="C329" s="7"/>
      <c r="D329" s="7"/>
      <c r="E329" s="7"/>
      <c r="F329" s="7"/>
      <c r="G329" s="7"/>
      <c r="H329" s="7"/>
      <c r="I329" s="7"/>
      <c r="J329" s="8"/>
      <c r="K329" s="9"/>
    </row>
    <row r="330">
      <c r="A330" s="6"/>
      <c r="B330" s="7"/>
      <c r="C330" s="7"/>
      <c r="D330" s="7"/>
      <c r="E330" s="7"/>
      <c r="F330" s="7"/>
      <c r="G330" s="7"/>
      <c r="H330" s="7"/>
      <c r="I330" s="7"/>
      <c r="J330" s="8"/>
      <c r="K330" s="9"/>
    </row>
    <row r="331">
      <c r="A331" s="6"/>
      <c r="B331" s="7"/>
      <c r="C331" s="7"/>
      <c r="D331" s="7"/>
      <c r="E331" s="7"/>
      <c r="F331" s="7"/>
      <c r="G331" s="7"/>
      <c r="H331" s="7"/>
      <c r="I331" s="7"/>
      <c r="J331" s="8"/>
      <c r="K331" s="9"/>
    </row>
    <row r="332">
      <c r="A332" s="6"/>
      <c r="B332" s="7"/>
      <c r="C332" s="7"/>
      <c r="D332" s="7"/>
      <c r="E332" s="7"/>
      <c r="F332" s="7"/>
      <c r="G332" s="7"/>
      <c r="H332" s="7"/>
      <c r="I332" s="7"/>
      <c r="J332" s="8"/>
      <c r="K332" s="9"/>
    </row>
    <row r="333">
      <c r="A333" s="6"/>
      <c r="B333" s="7"/>
      <c r="C333" s="7"/>
      <c r="D333" s="7"/>
      <c r="E333" s="7"/>
      <c r="F333" s="7"/>
      <c r="G333" s="7"/>
      <c r="H333" s="7"/>
      <c r="I333" s="7"/>
      <c r="J333" s="8"/>
      <c r="K333" s="9"/>
    </row>
    <row r="334">
      <c r="A334" s="6"/>
      <c r="B334" s="7"/>
      <c r="C334" s="7"/>
      <c r="D334" s="7"/>
      <c r="E334" s="7"/>
      <c r="F334" s="7"/>
      <c r="G334" s="7"/>
      <c r="H334" s="7"/>
      <c r="I334" s="7"/>
      <c r="J334" s="8"/>
      <c r="K334" s="9"/>
    </row>
    <row r="335">
      <c r="A335" s="6"/>
      <c r="B335" s="7"/>
      <c r="C335" s="7"/>
      <c r="D335" s="7"/>
      <c r="E335" s="7"/>
      <c r="F335" s="7"/>
      <c r="G335" s="7"/>
      <c r="H335" s="7"/>
      <c r="I335" s="7"/>
      <c r="J335" s="8"/>
      <c r="K335" s="9"/>
    </row>
    <row r="336">
      <c r="A336" s="6"/>
      <c r="B336" s="7"/>
      <c r="C336" s="7"/>
      <c r="D336" s="7"/>
      <c r="E336" s="7"/>
      <c r="F336" s="7"/>
      <c r="G336" s="7"/>
      <c r="H336" s="7"/>
      <c r="I336" s="7"/>
      <c r="J336" s="8"/>
      <c r="K336" s="9"/>
    </row>
    <row r="337">
      <c r="A337" s="6"/>
      <c r="B337" s="7"/>
      <c r="C337" s="7"/>
      <c r="D337" s="7"/>
      <c r="E337" s="7"/>
      <c r="F337" s="7"/>
      <c r="G337" s="7"/>
      <c r="H337" s="7"/>
      <c r="I337" s="7"/>
      <c r="J337" s="8"/>
      <c r="K337" s="9"/>
    </row>
    <row r="338">
      <c r="A338" s="6"/>
      <c r="B338" s="7"/>
      <c r="C338" s="7"/>
      <c r="D338" s="7"/>
      <c r="E338" s="7"/>
      <c r="F338" s="7"/>
      <c r="G338" s="7"/>
      <c r="H338" s="7"/>
      <c r="I338" s="7"/>
      <c r="J338" s="8"/>
      <c r="K338" s="9"/>
    </row>
    <row r="339">
      <c r="A339" s="6"/>
      <c r="B339" s="7"/>
      <c r="C339" s="7"/>
      <c r="D339" s="7"/>
      <c r="E339" s="7"/>
      <c r="F339" s="7"/>
      <c r="G339" s="7"/>
      <c r="H339" s="7"/>
      <c r="I339" s="7"/>
      <c r="J339" s="8"/>
      <c r="K339" s="9"/>
    </row>
    <row r="340">
      <c r="A340" s="6"/>
      <c r="B340" s="7"/>
      <c r="C340" s="7"/>
      <c r="D340" s="7"/>
      <c r="E340" s="7"/>
      <c r="F340" s="7"/>
      <c r="G340" s="7"/>
      <c r="H340" s="7"/>
      <c r="I340" s="7"/>
      <c r="J340" s="8"/>
      <c r="K340" s="9"/>
    </row>
    <row r="341">
      <c r="A341" s="6"/>
      <c r="B341" s="7"/>
      <c r="C341" s="7"/>
      <c r="D341" s="7"/>
      <c r="E341" s="7"/>
      <c r="F341" s="7"/>
      <c r="G341" s="7"/>
      <c r="H341" s="7"/>
      <c r="I341" s="7"/>
      <c r="J341" s="8"/>
      <c r="K341" s="9"/>
    </row>
    <row r="342">
      <c r="A342" s="6"/>
      <c r="B342" s="7"/>
      <c r="C342" s="7"/>
      <c r="D342" s="7"/>
      <c r="E342" s="7"/>
      <c r="F342" s="7"/>
      <c r="G342" s="7"/>
      <c r="H342" s="7"/>
      <c r="I342" s="7"/>
      <c r="J342" s="8"/>
      <c r="K342" s="9"/>
    </row>
    <row r="343">
      <c r="A343" s="6"/>
      <c r="B343" s="7"/>
      <c r="C343" s="7"/>
      <c r="D343" s="7"/>
      <c r="E343" s="7"/>
      <c r="F343" s="7"/>
      <c r="G343" s="7"/>
      <c r="H343" s="7"/>
      <c r="I343" s="7"/>
      <c r="J343" s="8"/>
      <c r="K343" s="9"/>
    </row>
    <row r="344">
      <c r="A344" s="6"/>
      <c r="B344" s="7"/>
      <c r="C344" s="7"/>
      <c r="D344" s="7"/>
      <c r="E344" s="7"/>
      <c r="F344" s="7"/>
      <c r="G344" s="7"/>
      <c r="H344" s="7"/>
      <c r="I344" s="7"/>
      <c r="J344" s="8"/>
      <c r="K344" s="9"/>
    </row>
    <row r="345">
      <c r="A345" s="6"/>
      <c r="B345" s="7"/>
      <c r="C345" s="7"/>
      <c r="D345" s="7"/>
      <c r="E345" s="7"/>
      <c r="F345" s="7"/>
      <c r="G345" s="7"/>
      <c r="H345" s="7"/>
      <c r="I345" s="7"/>
      <c r="J345" s="8"/>
      <c r="K345" s="9"/>
    </row>
    <row r="346">
      <c r="A346" s="6"/>
      <c r="B346" s="7"/>
      <c r="C346" s="7"/>
      <c r="D346" s="7"/>
      <c r="E346" s="7"/>
      <c r="F346" s="7"/>
      <c r="G346" s="7"/>
      <c r="H346" s="7"/>
      <c r="I346" s="7"/>
      <c r="J346" s="8"/>
      <c r="K346" s="9"/>
    </row>
    <row r="347">
      <c r="A347" s="6"/>
      <c r="B347" s="7"/>
      <c r="C347" s="7"/>
      <c r="D347" s="7"/>
      <c r="E347" s="7"/>
      <c r="F347" s="7"/>
      <c r="G347" s="7"/>
      <c r="H347" s="7"/>
      <c r="I347" s="7"/>
      <c r="J347" s="8"/>
      <c r="K347" s="9"/>
    </row>
    <row r="348">
      <c r="A348" s="6"/>
      <c r="B348" s="7"/>
      <c r="C348" s="7"/>
      <c r="D348" s="7"/>
      <c r="E348" s="7"/>
      <c r="F348" s="7"/>
      <c r="G348" s="7"/>
      <c r="H348" s="7"/>
      <c r="I348" s="7"/>
      <c r="J348" s="8"/>
      <c r="K348" s="9"/>
    </row>
    <row r="349">
      <c r="A349" s="6"/>
      <c r="B349" s="7"/>
      <c r="C349" s="7"/>
      <c r="D349" s="7"/>
      <c r="E349" s="7"/>
      <c r="F349" s="7"/>
      <c r="G349" s="7"/>
      <c r="H349" s="7"/>
      <c r="I349" s="7"/>
      <c r="J349" s="8"/>
      <c r="K349" s="9"/>
    </row>
    <row r="350">
      <c r="A350" s="6"/>
      <c r="B350" s="7"/>
      <c r="C350" s="7"/>
      <c r="D350" s="7"/>
      <c r="E350" s="7"/>
      <c r="F350" s="7"/>
      <c r="G350" s="7"/>
      <c r="H350" s="7"/>
      <c r="I350" s="7"/>
      <c r="J350" s="8"/>
      <c r="K350" s="9"/>
    </row>
    <row r="351">
      <c r="A351" s="6"/>
      <c r="B351" s="7"/>
      <c r="C351" s="7"/>
      <c r="D351" s="7"/>
      <c r="E351" s="7"/>
      <c r="F351" s="7"/>
      <c r="G351" s="7"/>
      <c r="H351" s="7"/>
      <c r="I351" s="7"/>
      <c r="J351" s="8"/>
      <c r="K351" s="9"/>
    </row>
    <row r="352">
      <c r="A352" s="6"/>
      <c r="B352" s="7"/>
      <c r="C352" s="7"/>
      <c r="D352" s="7"/>
      <c r="E352" s="7"/>
      <c r="F352" s="7"/>
      <c r="G352" s="7"/>
      <c r="H352" s="7"/>
      <c r="I352" s="7"/>
      <c r="J352" s="8"/>
      <c r="K352" s="9"/>
    </row>
    <row r="353">
      <c r="A353" s="6"/>
      <c r="B353" s="7"/>
      <c r="C353" s="7"/>
      <c r="D353" s="7"/>
      <c r="E353" s="7"/>
      <c r="F353" s="7"/>
      <c r="G353" s="7"/>
      <c r="H353" s="7"/>
      <c r="I353" s="7"/>
      <c r="J353" s="8"/>
      <c r="K353" s="9"/>
    </row>
    <row r="354">
      <c r="A354" s="6"/>
      <c r="B354" s="7"/>
      <c r="C354" s="7"/>
      <c r="D354" s="7"/>
      <c r="E354" s="7"/>
      <c r="F354" s="7"/>
      <c r="G354" s="7"/>
      <c r="H354" s="7"/>
      <c r="I354" s="7"/>
      <c r="J354" s="8"/>
      <c r="K354" s="9"/>
    </row>
    <row r="355">
      <c r="A355" s="6"/>
      <c r="B355" s="7"/>
      <c r="C355" s="7"/>
      <c r="D355" s="7"/>
      <c r="E355" s="7"/>
      <c r="F355" s="7"/>
      <c r="G355" s="7"/>
      <c r="H355" s="7"/>
      <c r="I355" s="7"/>
      <c r="J355" s="8"/>
      <c r="K355" s="9"/>
    </row>
    <row r="356">
      <c r="A356" s="6"/>
      <c r="B356" s="7"/>
      <c r="C356" s="7"/>
      <c r="D356" s="7"/>
      <c r="E356" s="7"/>
      <c r="F356" s="7"/>
      <c r="G356" s="7"/>
      <c r="H356" s="7"/>
      <c r="I356" s="7"/>
      <c r="J356" s="8"/>
      <c r="K356" s="9"/>
    </row>
    <row r="357">
      <c r="A357" s="6"/>
      <c r="B357" s="7"/>
      <c r="C357" s="7"/>
      <c r="D357" s="7"/>
      <c r="E357" s="7"/>
      <c r="F357" s="7"/>
      <c r="G357" s="7"/>
      <c r="H357" s="7"/>
      <c r="I357" s="7"/>
      <c r="J357" s="8"/>
      <c r="K357" s="9"/>
    </row>
    <row r="358">
      <c r="A358" s="6"/>
      <c r="B358" s="7"/>
      <c r="C358" s="7"/>
      <c r="D358" s="7"/>
      <c r="E358" s="7"/>
      <c r="F358" s="7"/>
      <c r="G358" s="7"/>
      <c r="H358" s="7"/>
      <c r="I358" s="7"/>
      <c r="J358" s="8"/>
      <c r="K358" s="9"/>
    </row>
    <row r="359">
      <c r="A359" s="6"/>
      <c r="B359" s="7"/>
      <c r="C359" s="7"/>
      <c r="D359" s="7"/>
      <c r="E359" s="7"/>
      <c r="F359" s="7"/>
      <c r="G359" s="7"/>
      <c r="H359" s="7"/>
      <c r="I359" s="7"/>
      <c r="J359" s="8"/>
      <c r="K359" s="9"/>
    </row>
    <row r="360">
      <c r="A360" s="6"/>
      <c r="B360" s="7"/>
      <c r="C360" s="7"/>
      <c r="D360" s="7"/>
      <c r="E360" s="7"/>
      <c r="F360" s="7"/>
      <c r="G360" s="7"/>
      <c r="H360" s="7"/>
      <c r="I360" s="7"/>
      <c r="J360" s="8"/>
      <c r="K360" s="9"/>
    </row>
    <row r="361">
      <c r="A361" s="6"/>
      <c r="B361" s="7"/>
      <c r="C361" s="7"/>
      <c r="D361" s="7"/>
      <c r="E361" s="7"/>
      <c r="F361" s="7"/>
      <c r="G361" s="7"/>
      <c r="H361" s="7"/>
      <c r="I361" s="7"/>
      <c r="J361" s="8"/>
      <c r="K361" s="9"/>
    </row>
    <row r="362">
      <c r="A362" s="6"/>
      <c r="B362" s="7"/>
      <c r="C362" s="7"/>
      <c r="D362" s="7"/>
      <c r="E362" s="7"/>
      <c r="F362" s="7"/>
      <c r="G362" s="7"/>
      <c r="H362" s="7"/>
      <c r="I362" s="7"/>
      <c r="J362" s="8"/>
      <c r="K362" s="9"/>
    </row>
    <row r="363">
      <c r="A363" s="6"/>
      <c r="B363" s="7"/>
      <c r="C363" s="7"/>
      <c r="D363" s="7"/>
      <c r="E363" s="7"/>
      <c r="F363" s="7"/>
      <c r="G363" s="7"/>
      <c r="H363" s="7"/>
      <c r="I363" s="7"/>
      <c r="J363" s="8"/>
      <c r="K363" s="9"/>
    </row>
    <row r="364">
      <c r="A364" s="6"/>
      <c r="B364" s="7"/>
      <c r="C364" s="7"/>
      <c r="D364" s="7"/>
      <c r="E364" s="7"/>
      <c r="F364" s="7"/>
      <c r="G364" s="7"/>
      <c r="H364" s="7"/>
      <c r="I364" s="7"/>
      <c r="J364" s="8"/>
      <c r="K364" s="9"/>
    </row>
    <row r="365">
      <c r="A365" s="6"/>
      <c r="B365" s="7"/>
      <c r="C365" s="7"/>
      <c r="D365" s="7"/>
      <c r="E365" s="7"/>
      <c r="F365" s="7"/>
      <c r="G365" s="7"/>
      <c r="H365" s="7"/>
      <c r="I365" s="7"/>
      <c r="J365" s="8"/>
      <c r="K365" s="9"/>
    </row>
    <row r="366">
      <c r="A366" s="6"/>
      <c r="B366" s="7"/>
      <c r="C366" s="7"/>
      <c r="D366" s="7"/>
      <c r="E366" s="7"/>
      <c r="F366" s="7"/>
      <c r="G366" s="7"/>
      <c r="H366" s="7"/>
      <c r="I366" s="7"/>
      <c r="J366" s="8"/>
      <c r="K366" s="9"/>
    </row>
    <row r="367">
      <c r="A367" s="6"/>
      <c r="B367" s="7"/>
      <c r="C367" s="7"/>
      <c r="D367" s="7"/>
      <c r="E367" s="7"/>
      <c r="F367" s="7"/>
      <c r="G367" s="7"/>
      <c r="H367" s="7"/>
      <c r="I367" s="7"/>
      <c r="J367" s="8"/>
      <c r="K367" s="9"/>
    </row>
    <row r="368">
      <c r="A368" s="6"/>
      <c r="B368" s="7"/>
      <c r="C368" s="7"/>
      <c r="D368" s="7"/>
      <c r="E368" s="7"/>
      <c r="F368" s="7"/>
      <c r="G368" s="7"/>
      <c r="H368" s="7"/>
      <c r="I368" s="7"/>
      <c r="J368" s="8"/>
      <c r="K368" s="9"/>
    </row>
    <row r="369">
      <c r="A369" s="6"/>
      <c r="B369" s="7"/>
      <c r="C369" s="7"/>
      <c r="D369" s="7"/>
      <c r="E369" s="7"/>
      <c r="F369" s="7"/>
      <c r="G369" s="7"/>
      <c r="H369" s="7"/>
      <c r="I369" s="7"/>
      <c r="J369" s="8"/>
      <c r="K369" s="9"/>
    </row>
    <row r="370">
      <c r="A370" s="6"/>
      <c r="B370" s="7"/>
      <c r="C370" s="7"/>
      <c r="D370" s="7"/>
      <c r="E370" s="7"/>
      <c r="F370" s="7"/>
      <c r="G370" s="7"/>
      <c r="H370" s="7"/>
      <c r="I370" s="7"/>
      <c r="J370" s="8"/>
      <c r="K370" s="9"/>
    </row>
    <row r="371">
      <c r="A371" s="6"/>
      <c r="B371" s="7"/>
      <c r="C371" s="7"/>
      <c r="D371" s="7"/>
      <c r="E371" s="7"/>
      <c r="F371" s="7"/>
      <c r="G371" s="7"/>
      <c r="H371" s="7"/>
      <c r="I371" s="7"/>
      <c r="J371" s="8"/>
      <c r="K371" s="9"/>
    </row>
    <row r="372">
      <c r="A372" s="6"/>
      <c r="B372" s="7"/>
      <c r="C372" s="7"/>
      <c r="D372" s="7"/>
      <c r="E372" s="7"/>
      <c r="F372" s="7"/>
      <c r="G372" s="7"/>
      <c r="H372" s="7"/>
      <c r="I372" s="7"/>
      <c r="J372" s="8"/>
      <c r="K372" s="9"/>
    </row>
    <row r="373">
      <c r="A373" s="6"/>
      <c r="B373" s="7"/>
      <c r="C373" s="7"/>
      <c r="D373" s="7"/>
      <c r="E373" s="7"/>
      <c r="F373" s="7"/>
      <c r="G373" s="7"/>
      <c r="H373" s="7"/>
      <c r="I373" s="7"/>
      <c r="J373" s="8"/>
      <c r="K373" s="9"/>
    </row>
    <row r="374">
      <c r="A374" s="6"/>
      <c r="B374" s="7"/>
      <c r="C374" s="7"/>
      <c r="D374" s="7"/>
      <c r="E374" s="7"/>
      <c r="F374" s="7"/>
      <c r="G374" s="7"/>
      <c r="H374" s="7"/>
      <c r="I374" s="7"/>
      <c r="J374" s="8"/>
      <c r="K374" s="9"/>
    </row>
    <row r="375">
      <c r="A375" s="6"/>
      <c r="B375" s="7"/>
      <c r="C375" s="7"/>
      <c r="D375" s="7"/>
      <c r="E375" s="7"/>
      <c r="F375" s="7"/>
      <c r="G375" s="7"/>
      <c r="H375" s="7"/>
      <c r="I375" s="7"/>
      <c r="J375" s="8"/>
      <c r="K375" s="9"/>
    </row>
    <row r="376">
      <c r="A376" s="6"/>
      <c r="B376" s="7"/>
      <c r="C376" s="7"/>
      <c r="D376" s="7"/>
      <c r="E376" s="7"/>
      <c r="F376" s="7"/>
      <c r="G376" s="7"/>
      <c r="H376" s="7"/>
      <c r="I376" s="7"/>
      <c r="J376" s="8"/>
      <c r="K376" s="9"/>
    </row>
    <row r="377">
      <c r="A377" s="6"/>
      <c r="B377" s="7"/>
      <c r="C377" s="7"/>
      <c r="D377" s="7"/>
      <c r="E377" s="7"/>
      <c r="F377" s="7"/>
      <c r="G377" s="7"/>
      <c r="H377" s="7"/>
      <c r="I377" s="7"/>
      <c r="J377" s="8"/>
      <c r="K377" s="9"/>
    </row>
    <row r="378">
      <c r="A378" s="6"/>
      <c r="B378" s="7"/>
      <c r="C378" s="7"/>
      <c r="D378" s="7"/>
      <c r="E378" s="7"/>
      <c r="F378" s="7"/>
      <c r="G378" s="7"/>
      <c r="H378" s="7"/>
      <c r="I378" s="7"/>
      <c r="J378" s="8"/>
      <c r="K378" s="9"/>
    </row>
    <row r="379">
      <c r="A379" s="6"/>
      <c r="B379" s="7"/>
      <c r="C379" s="7"/>
      <c r="D379" s="7"/>
      <c r="E379" s="7"/>
      <c r="F379" s="7"/>
      <c r="G379" s="7"/>
      <c r="H379" s="7"/>
      <c r="I379" s="7"/>
      <c r="J379" s="8"/>
      <c r="K379" s="9"/>
    </row>
    <row r="380">
      <c r="A380" s="6"/>
      <c r="B380" s="7"/>
      <c r="C380" s="7"/>
      <c r="D380" s="7"/>
      <c r="E380" s="7"/>
      <c r="F380" s="7"/>
      <c r="G380" s="7"/>
      <c r="H380" s="7"/>
      <c r="I380" s="7"/>
      <c r="J380" s="8"/>
      <c r="K380" s="9"/>
    </row>
    <row r="381">
      <c r="A381" s="6"/>
      <c r="B381" s="7"/>
      <c r="C381" s="7"/>
      <c r="D381" s="7"/>
      <c r="E381" s="7"/>
      <c r="F381" s="7"/>
      <c r="G381" s="7"/>
      <c r="H381" s="7"/>
      <c r="I381" s="7"/>
      <c r="J381" s="8"/>
      <c r="K381" s="9"/>
    </row>
    <row r="382">
      <c r="A382" s="6"/>
      <c r="B382" s="7"/>
      <c r="C382" s="7"/>
      <c r="D382" s="7"/>
      <c r="E382" s="7"/>
      <c r="F382" s="7"/>
      <c r="G382" s="7"/>
      <c r="H382" s="7"/>
      <c r="I382" s="7"/>
      <c r="J382" s="8"/>
      <c r="K382" s="9"/>
    </row>
    <row r="383">
      <c r="A383" s="6"/>
      <c r="B383" s="7"/>
      <c r="C383" s="7"/>
      <c r="D383" s="7"/>
      <c r="E383" s="7"/>
      <c r="F383" s="7"/>
      <c r="G383" s="7"/>
      <c r="H383" s="7"/>
      <c r="I383" s="7"/>
      <c r="J383" s="8"/>
      <c r="K383" s="9"/>
    </row>
    <row r="384">
      <c r="A384" s="6"/>
      <c r="B384" s="7"/>
      <c r="C384" s="7"/>
      <c r="D384" s="7"/>
      <c r="E384" s="7"/>
      <c r="F384" s="7"/>
      <c r="G384" s="7"/>
      <c r="H384" s="7"/>
      <c r="I384" s="7"/>
      <c r="J384" s="8"/>
      <c r="K384" s="9"/>
    </row>
    <row r="385">
      <c r="A385" s="6"/>
      <c r="B385" s="7"/>
      <c r="C385" s="7"/>
      <c r="D385" s="7"/>
      <c r="E385" s="7"/>
      <c r="F385" s="7"/>
      <c r="G385" s="7"/>
      <c r="H385" s="7"/>
      <c r="I385" s="7"/>
      <c r="J385" s="8"/>
      <c r="K385" s="9"/>
    </row>
    <row r="386">
      <c r="A386" s="6"/>
      <c r="B386" s="7"/>
      <c r="C386" s="7"/>
      <c r="D386" s="7"/>
      <c r="E386" s="7"/>
      <c r="F386" s="7"/>
      <c r="G386" s="7"/>
      <c r="H386" s="7"/>
      <c r="I386" s="7"/>
      <c r="J386" s="8"/>
      <c r="K386" s="9"/>
    </row>
    <row r="387">
      <c r="A387" s="6"/>
      <c r="B387" s="7"/>
      <c r="C387" s="7"/>
      <c r="D387" s="7"/>
      <c r="E387" s="7"/>
      <c r="F387" s="7"/>
      <c r="G387" s="7"/>
      <c r="H387" s="7"/>
      <c r="I387" s="7"/>
      <c r="J387" s="8"/>
      <c r="K387" s="9"/>
    </row>
    <row r="388">
      <c r="A388" s="6"/>
      <c r="B388" s="7"/>
      <c r="C388" s="7"/>
      <c r="D388" s="7"/>
      <c r="E388" s="7"/>
      <c r="F388" s="7"/>
      <c r="G388" s="7"/>
      <c r="H388" s="7"/>
      <c r="I388" s="7"/>
      <c r="J388" s="8"/>
      <c r="K388" s="9"/>
    </row>
    <row r="389">
      <c r="A389" s="6"/>
      <c r="B389" s="7"/>
      <c r="C389" s="7"/>
      <c r="D389" s="7"/>
      <c r="E389" s="7"/>
      <c r="F389" s="7"/>
      <c r="G389" s="7"/>
      <c r="H389" s="7"/>
      <c r="I389" s="7"/>
      <c r="J389" s="8"/>
      <c r="K389" s="9"/>
    </row>
    <row r="390">
      <c r="A390" s="6"/>
      <c r="B390" s="7"/>
      <c r="C390" s="7"/>
      <c r="D390" s="7"/>
      <c r="E390" s="7"/>
      <c r="F390" s="7"/>
      <c r="G390" s="7"/>
      <c r="H390" s="7"/>
      <c r="I390" s="7"/>
      <c r="J390" s="8"/>
      <c r="K390" s="9"/>
    </row>
    <row r="391">
      <c r="A391" s="6"/>
      <c r="B391" s="7"/>
      <c r="C391" s="7"/>
      <c r="D391" s="7"/>
      <c r="E391" s="7"/>
      <c r="F391" s="7"/>
      <c r="G391" s="7"/>
      <c r="H391" s="7"/>
      <c r="I391" s="7"/>
      <c r="J391" s="8"/>
      <c r="K391" s="9"/>
    </row>
    <row r="392">
      <c r="A392" s="6"/>
      <c r="B392" s="7"/>
      <c r="C392" s="7"/>
      <c r="D392" s="7"/>
      <c r="E392" s="7"/>
      <c r="F392" s="7"/>
      <c r="G392" s="7"/>
      <c r="H392" s="7"/>
      <c r="I392" s="7"/>
      <c r="J392" s="8"/>
      <c r="K392" s="9"/>
    </row>
    <row r="393">
      <c r="A393" s="6"/>
      <c r="B393" s="7"/>
      <c r="C393" s="7"/>
      <c r="D393" s="7"/>
      <c r="E393" s="7"/>
      <c r="F393" s="7"/>
      <c r="G393" s="7"/>
      <c r="H393" s="7"/>
      <c r="I393" s="7"/>
      <c r="J393" s="8"/>
      <c r="K393" s="9"/>
    </row>
    <row r="394">
      <c r="A394" s="6"/>
      <c r="B394" s="7"/>
      <c r="C394" s="7"/>
      <c r="D394" s="7"/>
      <c r="E394" s="7"/>
      <c r="F394" s="7"/>
      <c r="G394" s="7"/>
      <c r="H394" s="7"/>
      <c r="I394" s="7"/>
      <c r="J394" s="8"/>
      <c r="K394" s="9"/>
    </row>
    <row r="395">
      <c r="A395" s="6"/>
      <c r="B395" s="7"/>
      <c r="C395" s="7"/>
      <c r="D395" s="7"/>
      <c r="E395" s="7"/>
      <c r="F395" s="7"/>
      <c r="G395" s="7"/>
      <c r="H395" s="7"/>
      <c r="I395" s="7"/>
      <c r="J395" s="8"/>
      <c r="K395" s="9"/>
    </row>
    <row r="396">
      <c r="A396" s="6"/>
      <c r="B396" s="7"/>
      <c r="C396" s="7"/>
      <c r="D396" s="7"/>
      <c r="E396" s="7"/>
      <c r="F396" s="7"/>
      <c r="G396" s="7"/>
      <c r="H396" s="7"/>
      <c r="I396" s="7"/>
      <c r="J396" s="8"/>
      <c r="K396" s="9"/>
    </row>
    <row r="397">
      <c r="A397" s="6"/>
      <c r="B397" s="7"/>
      <c r="C397" s="7"/>
      <c r="D397" s="7"/>
      <c r="E397" s="7"/>
      <c r="F397" s="7"/>
      <c r="G397" s="7"/>
      <c r="H397" s="7"/>
      <c r="I397" s="7"/>
      <c r="J397" s="8"/>
      <c r="K397" s="9"/>
    </row>
    <row r="398">
      <c r="A398" s="6"/>
      <c r="B398" s="7"/>
      <c r="C398" s="7"/>
      <c r="D398" s="7"/>
      <c r="E398" s="7"/>
      <c r="F398" s="7"/>
      <c r="G398" s="7"/>
      <c r="H398" s="7"/>
      <c r="I398" s="7"/>
      <c r="J398" s="8"/>
      <c r="K398" s="9"/>
    </row>
    <row r="399">
      <c r="A399" s="6"/>
      <c r="B399" s="7"/>
      <c r="C399" s="7"/>
      <c r="D399" s="7"/>
      <c r="E399" s="7"/>
      <c r="F399" s="7"/>
      <c r="G399" s="7"/>
      <c r="H399" s="7"/>
      <c r="I399" s="7"/>
      <c r="J399" s="8"/>
      <c r="K399" s="9"/>
    </row>
    <row r="400">
      <c r="A400" s="6"/>
      <c r="B400" s="7"/>
      <c r="C400" s="7"/>
      <c r="D400" s="7"/>
      <c r="E400" s="7"/>
      <c r="F400" s="7"/>
      <c r="G400" s="7"/>
      <c r="H400" s="7"/>
      <c r="I400" s="7"/>
      <c r="J400" s="8"/>
      <c r="K400" s="9"/>
    </row>
    <row r="401">
      <c r="A401" s="6"/>
      <c r="B401" s="7"/>
      <c r="C401" s="7"/>
      <c r="D401" s="7"/>
      <c r="E401" s="7"/>
      <c r="F401" s="7"/>
      <c r="G401" s="7"/>
      <c r="H401" s="7"/>
      <c r="I401" s="7"/>
      <c r="J401" s="8"/>
      <c r="K401" s="9"/>
    </row>
    <row r="402">
      <c r="A402" s="6"/>
      <c r="B402" s="7"/>
      <c r="C402" s="7"/>
      <c r="D402" s="7"/>
      <c r="E402" s="7"/>
      <c r="F402" s="7"/>
      <c r="G402" s="7"/>
      <c r="H402" s="7"/>
      <c r="I402" s="7"/>
      <c r="J402" s="8"/>
      <c r="K402" s="9"/>
    </row>
    <row r="403">
      <c r="A403" s="6"/>
      <c r="B403" s="7"/>
      <c r="C403" s="7"/>
      <c r="D403" s="7"/>
      <c r="E403" s="7"/>
      <c r="F403" s="7"/>
      <c r="G403" s="7"/>
      <c r="H403" s="7"/>
      <c r="I403" s="7"/>
      <c r="J403" s="8"/>
      <c r="K403" s="9"/>
    </row>
    <row r="404">
      <c r="A404" s="6"/>
      <c r="B404" s="7"/>
      <c r="C404" s="7"/>
      <c r="D404" s="7"/>
      <c r="E404" s="7"/>
      <c r="F404" s="7"/>
      <c r="G404" s="7"/>
      <c r="H404" s="7"/>
      <c r="I404" s="7"/>
      <c r="J404" s="8"/>
      <c r="K404" s="9"/>
    </row>
    <row r="405">
      <c r="A405" s="6"/>
      <c r="B405" s="7"/>
      <c r="C405" s="7"/>
      <c r="D405" s="7"/>
      <c r="E405" s="7"/>
      <c r="F405" s="7"/>
      <c r="G405" s="7"/>
      <c r="H405" s="7"/>
      <c r="I405" s="7"/>
      <c r="J405" s="8"/>
      <c r="K405" s="9"/>
    </row>
    <row r="406">
      <c r="A406" s="6"/>
      <c r="B406" s="7"/>
      <c r="C406" s="7"/>
      <c r="D406" s="7"/>
      <c r="E406" s="7"/>
      <c r="F406" s="7"/>
      <c r="G406" s="7"/>
      <c r="H406" s="7"/>
      <c r="I406" s="7"/>
      <c r="J406" s="8"/>
      <c r="K406" s="9"/>
    </row>
    <row r="407">
      <c r="A407" s="6"/>
      <c r="B407" s="7"/>
      <c r="C407" s="7"/>
      <c r="D407" s="7"/>
      <c r="E407" s="7"/>
      <c r="F407" s="7"/>
      <c r="G407" s="7"/>
      <c r="H407" s="7"/>
      <c r="I407" s="7"/>
      <c r="J407" s="8"/>
      <c r="K407" s="9"/>
    </row>
    <row r="408">
      <c r="A408" s="6"/>
      <c r="B408" s="7"/>
      <c r="C408" s="7"/>
      <c r="D408" s="7"/>
      <c r="E408" s="7"/>
      <c r="F408" s="7"/>
      <c r="G408" s="7"/>
      <c r="H408" s="7"/>
      <c r="I408" s="7"/>
      <c r="J408" s="8"/>
      <c r="K408" s="9"/>
    </row>
    <row r="409">
      <c r="A409" s="6"/>
      <c r="B409" s="7"/>
      <c r="C409" s="7"/>
      <c r="D409" s="7"/>
      <c r="E409" s="7"/>
      <c r="F409" s="7"/>
      <c r="G409" s="7"/>
      <c r="H409" s="7"/>
      <c r="I409" s="7"/>
      <c r="J409" s="8"/>
      <c r="K409" s="9"/>
    </row>
    <row r="410">
      <c r="A410" s="6"/>
      <c r="B410" s="7"/>
      <c r="C410" s="7"/>
      <c r="D410" s="7"/>
      <c r="E410" s="7"/>
      <c r="F410" s="7"/>
      <c r="G410" s="7"/>
      <c r="H410" s="7"/>
      <c r="I410" s="7"/>
      <c r="J410" s="8"/>
      <c r="K410" s="9"/>
    </row>
    <row r="411">
      <c r="A411" s="6"/>
      <c r="B411" s="7"/>
      <c r="C411" s="7"/>
      <c r="D411" s="7"/>
      <c r="E411" s="7"/>
      <c r="F411" s="7"/>
      <c r="G411" s="7"/>
      <c r="H411" s="7"/>
      <c r="I411" s="7"/>
      <c r="J411" s="8"/>
      <c r="K411" s="9"/>
    </row>
    <row r="412">
      <c r="A412" s="6"/>
      <c r="B412" s="7"/>
      <c r="C412" s="7"/>
      <c r="D412" s="7"/>
      <c r="E412" s="7"/>
      <c r="F412" s="7"/>
      <c r="G412" s="7"/>
      <c r="H412" s="7"/>
      <c r="I412" s="7"/>
      <c r="J412" s="8"/>
      <c r="K412" s="9"/>
    </row>
    <row r="413">
      <c r="A413" s="6"/>
      <c r="B413" s="7"/>
      <c r="C413" s="7"/>
      <c r="D413" s="7"/>
      <c r="E413" s="7"/>
      <c r="F413" s="7"/>
      <c r="G413" s="7"/>
      <c r="H413" s="7"/>
      <c r="I413" s="7"/>
      <c r="J413" s="8"/>
      <c r="K413" s="9"/>
    </row>
    <row r="414">
      <c r="A414" s="6"/>
      <c r="B414" s="7"/>
      <c r="C414" s="7"/>
      <c r="D414" s="7"/>
      <c r="E414" s="7"/>
      <c r="F414" s="7"/>
      <c r="G414" s="7"/>
      <c r="H414" s="7"/>
      <c r="I414" s="7"/>
      <c r="J414" s="8"/>
      <c r="K414" s="9"/>
    </row>
    <row r="415">
      <c r="A415" s="6"/>
      <c r="B415" s="7"/>
      <c r="C415" s="7"/>
      <c r="D415" s="7"/>
      <c r="E415" s="7"/>
      <c r="F415" s="7"/>
      <c r="G415" s="7"/>
      <c r="H415" s="7"/>
      <c r="I415" s="7"/>
      <c r="J415" s="8"/>
      <c r="K415" s="9"/>
    </row>
    <row r="416">
      <c r="A416" s="6"/>
      <c r="B416" s="7"/>
      <c r="C416" s="7"/>
      <c r="D416" s="7"/>
      <c r="E416" s="7"/>
      <c r="F416" s="7"/>
      <c r="G416" s="7"/>
      <c r="H416" s="7"/>
      <c r="I416" s="7"/>
      <c r="J416" s="8"/>
      <c r="K416" s="9"/>
    </row>
    <row r="417">
      <c r="A417" s="6"/>
      <c r="B417" s="7"/>
      <c r="C417" s="7"/>
      <c r="D417" s="7"/>
      <c r="E417" s="7"/>
      <c r="F417" s="7"/>
      <c r="G417" s="7"/>
      <c r="H417" s="7"/>
      <c r="I417" s="7"/>
      <c r="J417" s="8"/>
      <c r="K417" s="9"/>
    </row>
    <row r="418">
      <c r="A418" s="6"/>
      <c r="B418" s="7"/>
      <c r="C418" s="7"/>
      <c r="D418" s="7"/>
      <c r="E418" s="7"/>
      <c r="F418" s="7"/>
      <c r="G418" s="7"/>
      <c r="H418" s="7"/>
      <c r="I418" s="7"/>
      <c r="J418" s="8"/>
      <c r="K418" s="9"/>
    </row>
    <row r="419">
      <c r="A419" s="6"/>
      <c r="B419" s="7"/>
      <c r="C419" s="7"/>
      <c r="D419" s="7"/>
      <c r="E419" s="7"/>
      <c r="F419" s="7"/>
      <c r="G419" s="7"/>
      <c r="H419" s="7"/>
      <c r="I419" s="7"/>
      <c r="J419" s="8"/>
      <c r="K419" s="9"/>
    </row>
    <row r="420">
      <c r="A420" s="6"/>
      <c r="B420" s="7"/>
      <c r="C420" s="7"/>
      <c r="D420" s="7"/>
      <c r="E420" s="7"/>
      <c r="F420" s="7"/>
      <c r="G420" s="7"/>
      <c r="H420" s="7"/>
      <c r="I420" s="7"/>
      <c r="J420" s="8"/>
      <c r="K420" s="9"/>
    </row>
    <row r="421">
      <c r="A421" s="6"/>
      <c r="B421" s="7"/>
      <c r="C421" s="7"/>
      <c r="D421" s="7"/>
      <c r="E421" s="7"/>
      <c r="F421" s="7"/>
      <c r="G421" s="7"/>
      <c r="H421" s="7"/>
      <c r="I421" s="7"/>
      <c r="J421" s="8"/>
      <c r="K421" s="9"/>
    </row>
    <row r="422">
      <c r="A422" s="6"/>
      <c r="B422" s="7"/>
      <c r="C422" s="7"/>
      <c r="D422" s="7"/>
      <c r="E422" s="7"/>
      <c r="F422" s="7"/>
      <c r="G422" s="7"/>
      <c r="H422" s="7"/>
      <c r="I422" s="7"/>
      <c r="J422" s="8"/>
      <c r="K422" s="9"/>
    </row>
    <row r="423">
      <c r="A423" s="6"/>
      <c r="B423" s="7"/>
      <c r="C423" s="7"/>
      <c r="D423" s="7"/>
      <c r="E423" s="7"/>
      <c r="F423" s="7"/>
      <c r="G423" s="7"/>
      <c r="H423" s="7"/>
      <c r="I423" s="7"/>
      <c r="J423" s="8"/>
      <c r="K423" s="9"/>
    </row>
    <row r="424">
      <c r="A424" s="6"/>
      <c r="B424" s="7"/>
      <c r="C424" s="7"/>
      <c r="D424" s="7"/>
      <c r="E424" s="7"/>
      <c r="F424" s="7"/>
      <c r="G424" s="7"/>
      <c r="H424" s="7"/>
      <c r="I424" s="7"/>
      <c r="J424" s="8"/>
      <c r="K424" s="9"/>
    </row>
    <row r="425">
      <c r="A425" s="6"/>
      <c r="B425" s="7"/>
      <c r="C425" s="7"/>
      <c r="D425" s="7"/>
      <c r="E425" s="7"/>
      <c r="F425" s="7"/>
      <c r="G425" s="7"/>
      <c r="H425" s="7"/>
      <c r="I425" s="7"/>
      <c r="J425" s="8"/>
      <c r="K425" s="9"/>
    </row>
    <row r="426">
      <c r="A426" s="6"/>
      <c r="B426" s="7"/>
      <c r="C426" s="7"/>
      <c r="D426" s="7"/>
      <c r="E426" s="7"/>
      <c r="F426" s="7"/>
      <c r="G426" s="7"/>
      <c r="H426" s="7"/>
      <c r="I426" s="7"/>
      <c r="J426" s="8"/>
      <c r="K426" s="9"/>
    </row>
    <row r="427">
      <c r="A427" s="6"/>
      <c r="B427" s="7"/>
      <c r="C427" s="7"/>
      <c r="D427" s="7"/>
      <c r="E427" s="7"/>
      <c r="F427" s="7"/>
      <c r="G427" s="7"/>
      <c r="H427" s="7"/>
      <c r="I427" s="7"/>
      <c r="J427" s="8"/>
      <c r="K427" s="9"/>
    </row>
    <row r="428">
      <c r="A428" s="6"/>
      <c r="B428" s="7"/>
      <c r="C428" s="7"/>
      <c r="D428" s="7"/>
      <c r="E428" s="7"/>
      <c r="F428" s="7"/>
      <c r="G428" s="7"/>
      <c r="H428" s="7"/>
      <c r="I428" s="7"/>
      <c r="J428" s="8"/>
      <c r="K428" s="9"/>
    </row>
    <row r="429">
      <c r="A429" s="6"/>
      <c r="B429" s="7"/>
      <c r="C429" s="7"/>
      <c r="D429" s="7"/>
      <c r="E429" s="7"/>
      <c r="F429" s="7"/>
      <c r="G429" s="7"/>
      <c r="H429" s="7"/>
      <c r="I429" s="7"/>
      <c r="J429" s="8"/>
      <c r="K429" s="9"/>
    </row>
    <row r="430">
      <c r="A430" s="6"/>
      <c r="B430" s="7"/>
      <c r="C430" s="7"/>
      <c r="D430" s="7"/>
      <c r="E430" s="7"/>
      <c r="F430" s="7"/>
      <c r="G430" s="7"/>
      <c r="H430" s="7"/>
      <c r="I430" s="7"/>
      <c r="J430" s="8"/>
      <c r="K430" s="9"/>
    </row>
    <row r="431">
      <c r="A431" s="6"/>
      <c r="B431" s="7"/>
      <c r="C431" s="7"/>
      <c r="D431" s="7"/>
      <c r="E431" s="7"/>
      <c r="F431" s="7"/>
      <c r="G431" s="7"/>
      <c r="H431" s="7"/>
      <c r="I431" s="7"/>
      <c r="J431" s="8"/>
      <c r="K431" s="9"/>
    </row>
    <row r="432">
      <c r="A432" s="6"/>
      <c r="B432" s="7"/>
      <c r="C432" s="7"/>
      <c r="D432" s="7"/>
      <c r="E432" s="7"/>
      <c r="F432" s="7"/>
      <c r="G432" s="7"/>
      <c r="H432" s="7"/>
      <c r="I432" s="7"/>
      <c r="J432" s="8"/>
      <c r="K432" s="9"/>
    </row>
    <row r="433">
      <c r="A433" s="6"/>
      <c r="B433" s="7"/>
      <c r="C433" s="7"/>
      <c r="D433" s="7"/>
      <c r="E433" s="7"/>
      <c r="F433" s="7"/>
      <c r="G433" s="7"/>
      <c r="H433" s="7"/>
      <c r="I433" s="7"/>
      <c r="J433" s="8"/>
      <c r="K433" s="9"/>
    </row>
    <row r="434">
      <c r="A434" s="6"/>
      <c r="B434" s="7"/>
      <c r="C434" s="7"/>
      <c r="D434" s="7"/>
      <c r="E434" s="7"/>
      <c r="F434" s="7"/>
      <c r="G434" s="7"/>
      <c r="H434" s="7"/>
      <c r="I434" s="7"/>
      <c r="J434" s="8"/>
      <c r="K434" s="9"/>
    </row>
    <row r="435">
      <c r="A435" s="6"/>
      <c r="B435" s="7"/>
      <c r="C435" s="7"/>
      <c r="D435" s="7"/>
      <c r="E435" s="7"/>
      <c r="F435" s="7"/>
      <c r="G435" s="7"/>
      <c r="H435" s="7"/>
      <c r="I435" s="7"/>
      <c r="J435" s="8"/>
      <c r="K435" s="9"/>
    </row>
    <row r="436">
      <c r="A436" s="6"/>
      <c r="B436" s="7"/>
      <c r="C436" s="7"/>
      <c r="D436" s="7"/>
      <c r="E436" s="7"/>
      <c r="F436" s="7"/>
      <c r="G436" s="7"/>
      <c r="H436" s="7"/>
      <c r="I436" s="7"/>
      <c r="J436" s="8"/>
      <c r="K436" s="9"/>
    </row>
    <row r="437">
      <c r="A437" s="6"/>
      <c r="B437" s="7"/>
      <c r="C437" s="7"/>
      <c r="D437" s="7"/>
      <c r="E437" s="7"/>
      <c r="F437" s="7"/>
      <c r="G437" s="7"/>
      <c r="H437" s="7"/>
      <c r="I437" s="7"/>
      <c r="J437" s="8"/>
      <c r="K437" s="9"/>
    </row>
    <row r="438">
      <c r="A438" s="6"/>
      <c r="B438" s="7"/>
      <c r="C438" s="7"/>
      <c r="D438" s="7"/>
      <c r="E438" s="7"/>
      <c r="F438" s="7"/>
      <c r="G438" s="7"/>
      <c r="H438" s="7"/>
      <c r="I438" s="7"/>
      <c r="J438" s="8"/>
      <c r="K438" s="9"/>
    </row>
    <row r="439">
      <c r="A439" s="6"/>
      <c r="B439" s="7"/>
      <c r="C439" s="7"/>
      <c r="D439" s="7"/>
      <c r="E439" s="7"/>
      <c r="F439" s="7"/>
      <c r="G439" s="7"/>
      <c r="H439" s="7"/>
      <c r="I439" s="7"/>
      <c r="J439" s="8"/>
      <c r="K439" s="9"/>
    </row>
    <row r="440">
      <c r="A440" s="6"/>
      <c r="B440" s="7"/>
      <c r="C440" s="7"/>
      <c r="D440" s="7"/>
      <c r="E440" s="7"/>
      <c r="F440" s="7"/>
      <c r="G440" s="7"/>
      <c r="H440" s="7"/>
      <c r="I440" s="7"/>
      <c r="J440" s="8"/>
      <c r="K440" s="9"/>
    </row>
    <row r="441">
      <c r="A441" s="6"/>
      <c r="B441" s="7"/>
      <c r="C441" s="7"/>
      <c r="D441" s="7"/>
      <c r="E441" s="7"/>
      <c r="F441" s="7"/>
      <c r="G441" s="7"/>
      <c r="H441" s="7"/>
      <c r="I441" s="7"/>
      <c r="J441" s="8"/>
      <c r="K441" s="9"/>
    </row>
    <row r="442">
      <c r="A442" s="6"/>
      <c r="B442" s="7"/>
      <c r="C442" s="7"/>
      <c r="D442" s="7"/>
      <c r="E442" s="7"/>
      <c r="F442" s="7"/>
      <c r="G442" s="7"/>
      <c r="H442" s="7"/>
      <c r="I442" s="7"/>
      <c r="J442" s="8"/>
      <c r="K442" s="9"/>
    </row>
    <row r="443">
      <c r="A443" s="6"/>
      <c r="B443" s="7"/>
      <c r="C443" s="7"/>
      <c r="D443" s="7"/>
      <c r="E443" s="7"/>
      <c r="F443" s="7"/>
      <c r="G443" s="7"/>
      <c r="H443" s="7"/>
      <c r="I443" s="7"/>
      <c r="J443" s="8"/>
      <c r="K443" s="9"/>
    </row>
    <row r="444">
      <c r="A444" s="6"/>
      <c r="B444" s="7"/>
      <c r="C444" s="7"/>
      <c r="D444" s="7"/>
      <c r="E444" s="7"/>
      <c r="F444" s="7"/>
      <c r="G444" s="7"/>
      <c r="H444" s="7"/>
      <c r="I444" s="7"/>
      <c r="J444" s="8"/>
      <c r="K444" s="9"/>
    </row>
    <row r="445">
      <c r="A445" s="6"/>
      <c r="B445" s="7"/>
      <c r="C445" s="7"/>
      <c r="D445" s="7"/>
      <c r="E445" s="7"/>
      <c r="F445" s="7"/>
      <c r="G445" s="7"/>
      <c r="H445" s="7"/>
      <c r="I445" s="7"/>
      <c r="J445" s="8"/>
      <c r="K445" s="9"/>
    </row>
    <row r="446">
      <c r="A446" s="6"/>
      <c r="B446" s="7"/>
      <c r="C446" s="7"/>
      <c r="D446" s="7"/>
      <c r="E446" s="7"/>
      <c r="F446" s="7"/>
      <c r="G446" s="7"/>
      <c r="H446" s="7"/>
      <c r="I446" s="7"/>
      <c r="J446" s="8"/>
      <c r="K446" s="9"/>
    </row>
    <row r="447">
      <c r="A447" s="6"/>
      <c r="B447" s="7"/>
      <c r="C447" s="7"/>
      <c r="D447" s="7"/>
      <c r="E447" s="7"/>
      <c r="F447" s="7"/>
      <c r="G447" s="7"/>
      <c r="H447" s="7"/>
      <c r="I447" s="7"/>
      <c r="J447" s="8"/>
      <c r="K447" s="9"/>
    </row>
    <row r="448">
      <c r="A448" s="6"/>
      <c r="B448" s="7"/>
      <c r="C448" s="7"/>
      <c r="D448" s="7"/>
      <c r="E448" s="7"/>
      <c r="F448" s="7"/>
      <c r="G448" s="7"/>
      <c r="H448" s="7"/>
      <c r="I448" s="7"/>
      <c r="J448" s="8"/>
      <c r="K448" s="9"/>
    </row>
    <row r="449">
      <c r="A449" s="6"/>
      <c r="B449" s="7"/>
      <c r="C449" s="7"/>
      <c r="D449" s="7"/>
      <c r="E449" s="7"/>
      <c r="F449" s="7"/>
      <c r="G449" s="7"/>
      <c r="H449" s="7"/>
      <c r="I449" s="7"/>
      <c r="J449" s="8"/>
      <c r="K449" s="9"/>
    </row>
    <row r="450">
      <c r="A450" s="6"/>
      <c r="B450" s="7"/>
      <c r="C450" s="7"/>
      <c r="D450" s="7"/>
      <c r="E450" s="7"/>
      <c r="F450" s="7"/>
      <c r="G450" s="7"/>
      <c r="H450" s="7"/>
      <c r="I450" s="7"/>
      <c r="J450" s="8"/>
      <c r="K450" s="9"/>
    </row>
    <row r="451">
      <c r="A451" s="6"/>
      <c r="B451" s="7"/>
      <c r="C451" s="7"/>
      <c r="D451" s="7"/>
      <c r="E451" s="7"/>
      <c r="F451" s="7"/>
      <c r="G451" s="7"/>
      <c r="H451" s="7"/>
      <c r="I451" s="7"/>
      <c r="J451" s="8"/>
      <c r="K451" s="9"/>
    </row>
    <row r="452">
      <c r="A452" s="6"/>
      <c r="B452" s="7"/>
      <c r="C452" s="7"/>
      <c r="D452" s="7"/>
      <c r="E452" s="7"/>
      <c r="F452" s="7"/>
      <c r="G452" s="7"/>
      <c r="H452" s="7"/>
      <c r="I452" s="7"/>
      <c r="J452" s="8"/>
      <c r="K452" s="9"/>
    </row>
    <row r="453">
      <c r="A453" s="6"/>
      <c r="B453" s="7"/>
      <c r="C453" s="7"/>
      <c r="D453" s="7"/>
      <c r="E453" s="7"/>
      <c r="F453" s="7"/>
      <c r="G453" s="7"/>
      <c r="H453" s="7"/>
      <c r="I453" s="7"/>
      <c r="J453" s="8"/>
      <c r="K453" s="9"/>
    </row>
    <row r="454">
      <c r="A454" s="6"/>
      <c r="B454" s="7"/>
      <c r="C454" s="7"/>
      <c r="D454" s="7"/>
      <c r="E454" s="7"/>
      <c r="F454" s="7"/>
      <c r="G454" s="7"/>
      <c r="H454" s="7"/>
      <c r="I454" s="7"/>
      <c r="J454" s="8"/>
      <c r="K454" s="9"/>
    </row>
    <row r="455">
      <c r="A455" s="6"/>
      <c r="B455" s="7"/>
      <c r="C455" s="7"/>
      <c r="D455" s="7"/>
      <c r="E455" s="7"/>
      <c r="F455" s="7"/>
      <c r="G455" s="7"/>
      <c r="H455" s="7"/>
      <c r="I455" s="7"/>
      <c r="J455" s="8"/>
      <c r="K455" s="9"/>
    </row>
    <row r="456">
      <c r="A456" s="6"/>
      <c r="B456" s="7"/>
      <c r="C456" s="7"/>
      <c r="D456" s="7"/>
      <c r="E456" s="7"/>
      <c r="F456" s="7"/>
      <c r="G456" s="7"/>
      <c r="H456" s="7"/>
      <c r="I456" s="7"/>
      <c r="J456" s="8"/>
      <c r="K456" s="9"/>
    </row>
    <row r="457">
      <c r="A457" s="6"/>
      <c r="B457" s="7"/>
      <c r="C457" s="7"/>
      <c r="D457" s="7"/>
      <c r="E457" s="7"/>
      <c r="F457" s="7"/>
      <c r="G457" s="7"/>
      <c r="H457" s="7"/>
      <c r="I457" s="7"/>
      <c r="J457" s="8"/>
      <c r="K457" s="9"/>
    </row>
    <row r="458">
      <c r="A458" s="6"/>
      <c r="B458" s="7"/>
      <c r="C458" s="7"/>
      <c r="D458" s="7"/>
      <c r="E458" s="7"/>
      <c r="F458" s="7"/>
      <c r="G458" s="7"/>
      <c r="H458" s="7"/>
      <c r="I458" s="7"/>
      <c r="J458" s="8"/>
      <c r="K458" s="9"/>
    </row>
    <row r="459">
      <c r="A459" s="6"/>
      <c r="B459" s="7"/>
      <c r="C459" s="7"/>
      <c r="D459" s="7"/>
      <c r="E459" s="7"/>
      <c r="F459" s="7"/>
      <c r="G459" s="7"/>
      <c r="H459" s="7"/>
      <c r="I459" s="7"/>
      <c r="J459" s="8"/>
      <c r="K459" s="9"/>
    </row>
    <row r="460">
      <c r="A460" s="6"/>
      <c r="B460" s="7"/>
      <c r="C460" s="7"/>
      <c r="D460" s="7"/>
      <c r="E460" s="7"/>
      <c r="F460" s="7"/>
      <c r="G460" s="7"/>
      <c r="H460" s="7"/>
      <c r="I460" s="7"/>
      <c r="J460" s="8"/>
      <c r="K460" s="9"/>
    </row>
    <row r="461">
      <c r="A461" s="6"/>
      <c r="B461" s="7"/>
      <c r="C461" s="7"/>
      <c r="D461" s="7"/>
      <c r="E461" s="7"/>
      <c r="F461" s="7"/>
      <c r="G461" s="7"/>
      <c r="H461" s="7"/>
      <c r="I461" s="7"/>
      <c r="J461" s="8"/>
      <c r="K461" s="9"/>
    </row>
    <row r="462">
      <c r="A462" s="6"/>
      <c r="B462" s="7"/>
      <c r="C462" s="7"/>
      <c r="D462" s="7"/>
      <c r="E462" s="7"/>
      <c r="F462" s="7"/>
      <c r="G462" s="7"/>
      <c r="H462" s="7"/>
      <c r="I462" s="7"/>
      <c r="J462" s="8"/>
      <c r="K462" s="9"/>
    </row>
    <row r="463">
      <c r="A463" s="6"/>
      <c r="B463" s="7"/>
      <c r="C463" s="7"/>
      <c r="D463" s="7"/>
      <c r="E463" s="7"/>
      <c r="F463" s="7"/>
      <c r="G463" s="7"/>
      <c r="H463" s="7"/>
      <c r="I463" s="7"/>
      <c r="J463" s="8"/>
      <c r="K463" s="9"/>
    </row>
    <row r="464">
      <c r="A464" s="6"/>
      <c r="B464" s="7"/>
      <c r="C464" s="7"/>
      <c r="D464" s="7"/>
      <c r="E464" s="7"/>
      <c r="F464" s="7"/>
      <c r="G464" s="7"/>
      <c r="H464" s="7"/>
      <c r="I464" s="7"/>
      <c r="J464" s="8"/>
      <c r="K464" s="9"/>
    </row>
    <row r="465">
      <c r="A465" s="6"/>
      <c r="B465" s="7"/>
      <c r="C465" s="7"/>
      <c r="D465" s="7"/>
      <c r="E465" s="7"/>
      <c r="F465" s="7"/>
      <c r="G465" s="7"/>
      <c r="H465" s="7"/>
      <c r="I465" s="7"/>
      <c r="J465" s="8"/>
      <c r="K465" s="9"/>
    </row>
    <row r="466">
      <c r="A466" s="6"/>
      <c r="B466" s="7"/>
      <c r="C466" s="7"/>
      <c r="D466" s="7"/>
      <c r="E466" s="7"/>
      <c r="F466" s="7"/>
      <c r="G466" s="7"/>
      <c r="H466" s="7"/>
      <c r="I466" s="7"/>
      <c r="J466" s="8"/>
      <c r="K466" s="9"/>
    </row>
    <row r="467">
      <c r="A467" s="6"/>
      <c r="B467" s="7"/>
      <c r="C467" s="7"/>
      <c r="D467" s="7"/>
      <c r="E467" s="7"/>
      <c r="F467" s="7"/>
      <c r="G467" s="7"/>
      <c r="H467" s="7"/>
      <c r="I467" s="7"/>
      <c r="J467" s="8"/>
      <c r="K467" s="9"/>
    </row>
    <row r="468">
      <c r="A468" s="6"/>
      <c r="B468" s="7"/>
      <c r="C468" s="7"/>
      <c r="D468" s="7"/>
      <c r="E468" s="7"/>
      <c r="F468" s="7"/>
      <c r="G468" s="7"/>
      <c r="H468" s="7"/>
      <c r="I468" s="7"/>
      <c r="J468" s="8"/>
      <c r="K468" s="9"/>
    </row>
    <row r="469">
      <c r="A469" s="6"/>
      <c r="B469" s="7"/>
      <c r="C469" s="7"/>
      <c r="D469" s="7"/>
      <c r="E469" s="7"/>
      <c r="F469" s="7"/>
      <c r="G469" s="7"/>
      <c r="H469" s="7"/>
      <c r="I469" s="7"/>
      <c r="J469" s="8"/>
      <c r="K469" s="9"/>
    </row>
    <row r="470">
      <c r="A470" s="6"/>
      <c r="B470" s="7"/>
      <c r="C470" s="7"/>
      <c r="D470" s="7"/>
      <c r="E470" s="7"/>
      <c r="F470" s="7"/>
      <c r="G470" s="7"/>
      <c r="H470" s="7"/>
      <c r="I470" s="7"/>
      <c r="J470" s="8"/>
      <c r="K470" s="9"/>
    </row>
    <row r="471">
      <c r="A471" s="6"/>
      <c r="B471" s="7"/>
      <c r="C471" s="7"/>
      <c r="D471" s="7"/>
      <c r="E471" s="7"/>
      <c r="F471" s="7"/>
      <c r="G471" s="7"/>
      <c r="H471" s="7"/>
      <c r="I471" s="7"/>
      <c r="J471" s="8"/>
      <c r="K471" s="9"/>
    </row>
    <row r="472">
      <c r="A472" s="6"/>
      <c r="B472" s="7"/>
      <c r="C472" s="7"/>
      <c r="D472" s="7"/>
      <c r="E472" s="7"/>
      <c r="F472" s="7"/>
      <c r="G472" s="7"/>
      <c r="H472" s="7"/>
      <c r="I472" s="7"/>
      <c r="J472" s="8"/>
      <c r="K472" s="9"/>
    </row>
    <row r="473">
      <c r="A473" s="6"/>
      <c r="B473" s="7"/>
      <c r="C473" s="7"/>
      <c r="D473" s="7"/>
      <c r="E473" s="7"/>
      <c r="F473" s="7"/>
      <c r="G473" s="7"/>
      <c r="H473" s="7"/>
      <c r="I473" s="7"/>
      <c r="J473" s="8"/>
      <c r="K473" s="9"/>
    </row>
    <row r="474">
      <c r="A474" s="6"/>
      <c r="B474" s="7"/>
      <c r="C474" s="7"/>
      <c r="D474" s="7"/>
      <c r="E474" s="7"/>
      <c r="F474" s="7"/>
      <c r="G474" s="7"/>
      <c r="H474" s="7"/>
      <c r="I474" s="7"/>
      <c r="J474" s="8"/>
      <c r="K474" s="9"/>
    </row>
    <row r="475">
      <c r="A475" s="6"/>
      <c r="B475" s="7"/>
      <c r="C475" s="7"/>
      <c r="D475" s="7"/>
      <c r="E475" s="7"/>
      <c r="F475" s="7"/>
      <c r="G475" s="7"/>
      <c r="H475" s="7"/>
      <c r="I475" s="7"/>
      <c r="J475" s="8"/>
      <c r="K475" s="9"/>
    </row>
    <row r="476">
      <c r="A476" s="6"/>
      <c r="B476" s="7"/>
      <c r="C476" s="7"/>
      <c r="D476" s="7"/>
      <c r="E476" s="7"/>
      <c r="F476" s="7"/>
      <c r="G476" s="7"/>
      <c r="H476" s="7"/>
      <c r="I476" s="7"/>
      <c r="J476" s="8"/>
      <c r="K476" s="9"/>
    </row>
    <row r="477">
      <c r="A477" s="6"/>
      <c r="B477" s="7"/>
      <c r="C477" s="7"/>
      <c r="D477" s="7"/>
      <c r="E477" s="7"/>
      <c r="F477" s="7"/>
      <c r="G477" s="7"/>
      <c r="H477" s="7"/>
      <c r="I477" s="7"/>
      <c r="J477" s="8"/>
      <c r="K477" s="9"/>
    </row>
    <row r="478">
      <c r="A478" s="6"/>
      <c r="B478" s="7"/>
      <c r="C478" s="7"/>
      <c r="D478" s="7"/>
      <c r="E478" s="7"/>
      <c r="F478" s="7"/>
      <c r="G478" s="7"/>
      <c r="H478" s="7"/>
      <c r="I478" s="7"/>
      <c r="J478" s="8"/>
      <c r="K478" s="9"/>
    </row>
    <row r="479">
      <c r="A479" s="6"/>
      <c r="B479" s="7"/>
      <c r="C479" s="7"/>
      <c r="D479" s="7"/>
      <c r="E479" s="7"/>
      <c r="F479" s="7"/>
      <c r="G479" s="7"/>
      <c r="H479" s="7"/>
      <c r="I479" s="7"/>
      <c r="J479" s="8"/>
      <c r="K479" s="9"/>
    </row>
    <row r="480">
      <c r="A480" s="6"/>
      <c r="B480" s="7"/>
      <c r="C480" s="7"/>
      <c r="D480" s="7"/>
      <c r="E480" s="7"/>
      <c r="F480" s="7"/>
      <c r="G480" s="7"/>
      <c r="H480" s="7"/>
      <c r="I480" s="7"/>
      <c r="J480" s="8"/>
      <c r="K480" s="9"/>
    </row>
    <row r="481">
      <c r="A481" s="6"/>
      <c r="B481" s="7"/>
      <c r="C481" s="7"/>
      <c r="D481" s="7"/>
      <c r="E481" s="7"/>
      <c r="F481" s="7"/>
      <c r="G481" s="7"/>
      <c r="H481" s="7"/>
      <c r="I481" s="7"/>
      <c r="J481" s="8"/>
      <c r="K481" s="9"/>
    </row>
    <row r="482">
      <c r="A482" s="6"/>
      <c r="B482" s="7"/>
      <c r="C482" s="7"/>
      <c r="D482" s="7"/>
      <c r="E482" s="7"/>
      <c r="F482" s="7"/>
      <c r="G482" s="7"/>
      <c r="H482" s="7"/>
      <c r="I482" s="7"/>
      <c r="J482" s="8"/>
      <c r="K482" s="9"/>
    </row>
    <row r="483">
      <c r="A483" s="6"/>
      <c r="B483" s="7"/>
      <c r="C483" s="7"/>
      <c r="D483" s="7"/>
      <c r="E483" s="7"/>
      <c r="F483" s="7"/>
      <c r="G483" s="7"/>
      <c r="H483" s="7"/>
      <c r="I483" s="7"/>
      <c r="J483" s="8"/>
      <c r="K483" s="9"/>
    </row>
    <row r="484">
      <c r="A484" s="6"/>
      <c r="B484" s="7"/>
      <c r="C484" s="7"/>
      <c r="D484" s="7"/>
      <c r="E484" s="7"/>
      <c r="F484" s="7"/>
      <c r="G484" s="7"/>
      <c r="H484" s="7"/>
      <c r="I484" s="7"/>
      <c r="J484" s="8"/>
      <c r="K484" s="9"/>
    </row>
    <row r="485">
      <c r="A485" s="6"/>
      <c r="B485" s="7"/>
      <c r="C485" s="7"/>
      <c r="D485" s="7"/>
      <c r="E485" s="7"/>
      <c r="F485" s="7"/>
      <c r="G485" s="7"/>
      <c r="H485" s="7"/>
      <c r="I485" s="7"/>
      <c r="J485" s="8"/>
      <c r="K485" s="9"/>
    </row>
    <row r="486">
      <c r="A486" s="6"/>
      <c r="B486" s="7"/>
      <c r="C486" s="7"/>
      <c r="D486" s="7"/>
      <c r="E486" s="7"/>
      <c r="F486" s="7"/>
      <c r="G486" s="7"/>
      <c r="H486" s="7"/>
      <c r="I486" s="7"/>
      <c r="J486" s="8"/>
      <c r="K486" s="9"/>
    </row>
    <row r="487">
      <c r="A487" s="6"/>
      <c r="B487" s="7"/>
      <c r="C487" s="7"/>
      <c r="D487" s="7"/>
      <c r="E487" s="7"/>
      <c r="F487" s="7"/>
      <c r="G487" s="7"/>
      <c r="H487" s="7"/>
      <c r="I487" s="7"/>
      <c r="J487" s="8"/>
      <c r="K487" s="9"/>
    </row>
    <row r="488">
      <c r="A488" s="6"/>
      <c r="B488" s="7"/>
      <c r="C488" s="7"/>
      <c r="D488" s="7"/>
      <c r="E488" s="7"/>
      <c r="F488" s="7"/>
      <c r="G488" s="7"/>
      <c r="H488" s="7"/>
      <c r="I488" s="7"/>
      <c r="J488" s="8"/>
      <c r="K488" s="9"/>
    </row>
    <row r="489">
      <c r="A489" s="6"/>
      <c r="B489" s="7"/>
      <c r="C489" s="7"/>
      <c r="D489" s="7"/>
      <c r="E489" s="7"/>
      <c r="F489" s="7"/>
      <c r="G489" s="7"/>
      <c r="H489" s="7"/>
      <c r="I489" s="7"/>
      <c r="J489" s="8"/>
      <c r="K489" s="9"/>
    </row>
    <row r="490">
      <c r="A490" s="6"/>
      <c r="B490" s="7"/>
      <c r="C490" s="7"/>
      <c r="D490" s="7"/>
      <c r="E490" s="7"/>
      <c r="F490" s="7"/>
      <c r="G490" s="7"/>
      <c r="H490" s="7"/>
      <c r="I490" s="7"/>
      <c r="J490" s="8"/>
      <c r="K490" s="9"/>
    </row>
    <row r="491">
      <c r="A491" s="6"/>
      <c r="B491" s="7"/>
      <c r="C491" s="7"/>
      <c r="D491" s="7"/>
      <c r="E491" s="7"/>
      <c r="F491" s="7"/>
      <c r="G491" s="7"/>
      <c r="H491" s="7"/>
      <c r="I491" s="7"/>
      <c r="J491" s="8"/>
      <c r="K491" s="9"/>
    </row>
    <row r="492">
      <c r="A492" s="6"/>
      <c r="B492" s="7"/>
      <c r="C492" s="7"/>
      <c r="D492" s="7"/>
      <c r="E492" s="7"/>
      <c r="F492" s="7"/>
      <c r="G492" s="7"/>
      <c r="H492" s="7"/>
      <c r="I492" s="7"/>
      <c r="J492" s="8"/>
      <c r="K492" s="9"/>
    </row>
    <row r="493">
      <c r="A493" s="6"/>
      <c r="B493" s="7"/>
      <c r="C493" s="7"/>
      <c r="D493" s="7"/>
      <c r="E493" s="7"/>
      <c r="F493" s="7"/>
      <c r="G493" s="7"/>
      <c r="H493" s="7"/>
      <c r="I493" s="7"/>
      <c r="J493" s="8"/>
      <c r="K493" s="9"/>
    </row>
    <row r="494">
      <c r="A494" s="6"/>
      <c r="B494" s="7"/>
      <c r="C494" s="7"/>
      <c r="D494" s="7"/>
      <c r="E494" s="7"/>
      <c r="F494" s="7"/>
      <c r="G494" s="7"/>
      <c r="H494" s="7"/>
      <c r="I494" s="7"/>
      <c r="J494" s="8"/>
      <c r="K494" s="9"/>
    </row>
    <row r="495">
      <c r="A495" s="6"/>
      <c r="B495" s="7"/>
      <c r="C495" s="7"/>
      <c r="D495" s="7"/>
      <c r="E495" s="7"/>
      <c r="F495" s="7"/>
      <c r="G495" s="7"/>
      <c r="H495" s="7"/>
      <c r="I495" s="7"/>
      <c r="J495" s="8"/>
      <c r="K495" s="9"/>
    </row>
    <row r="496">
      <c r="A496" s="6"/>
      <c r="B496" s="7"/>
      <c r="C496" s="7"/>
      <c r="D496" s="7"/>
      <c r="E496" s="7"/>
      <c r="F496" s="7"/>
      <c r="G496" s="7"/>
      <c r="H496" s="7"/>
      <c r="I496" s="7"/>
      <c r="J496" s="8"/>
      <c r="K496" s="9"/>
    </row>
    <row r="497">
      <c r="A497" s="6"/>
      <c r="B497" s="7"/>
      <c r="C497" s="7"/>
      <c r="D497" s="7"/>
      <c r="E497" s="7"/>
      <c r="F497" s="7"/>
      <c r="G497" s="7"/>
      <c r="H497" s="7"/>
      <c r="I497" s="7"/>
      <c r="J497" s="8"/>
      <c r="K497" s="9"/>
    </row>
    <row r="498">
      <c r="A498" s="6"/>
      <c r="B498" s="7"/>
      <c r="C498" s="7"/>
      <c r="D498" s="7"/>
      <c r="E498" s="7"/>
      <c r="F498" s="7"/>
      <c r="G498" s="7"/>
      <c r="H498" s="7"/>
      <c r="I498" s="7"/>
      <c r="J498" s="8"/>
      <c r="K498" s="9"/>
    </row>
    <row r="499">
      <c r="A499" s="6"/>
      <c r="B499" s="7"/>
      <c r="C499" s="7"/>
      <c r="D499" s="7"/>
      <c r="E499" s="7"/>
      <c r="F499" s="7"/>
      <c r="G499" s="7"/>
      <c r="H499" s="7"/>
      <c r="I499" s="7"/>
      <c r="J499" s="8"/>
      <c r="K499" s="9"/>
    </row>
    <row r="500">
      <c r="A500" s="6"/>
      <c r="B500" s="7"/>
      <c r="C500" s="7"/>
      <c r="D500" s="7"/>
      <c r="E500" s="7"/>
      <c r="F500" s="7"/>
      <c r="G500" s="7"/>
      <c r="H500" s="7"/>
      <c r="I500" s="7"/>
      <c r="J500" s="8"/>
      <c r="K500" s="9"/>
    </row>
    <row r="501">
      <c r="A501" s="6"/>
      <c r="B501" s="7"/>
      <c r="C501" s="7"/>
      <c r="D501" s="7"/>
      <c r="E501" s="7"/>
      <c r="F501" s="7"/>
      <c r="G501" s="7"/>
      <c r="H501" s="7"/>
      <c r="I501" s="7"/>
      <c r="J501" s="8"/>
      <c r="K501" s="9"/>
    </row>
    <row r="502">
      <c r="A502" s="6"/>
      <c r="B502" s="7"/>
      <c r="C502" s="7"/>
      <c r="D502" s="7"/>
      <c r="E502" s="7"/>
      <c r="F502" s="7"/>
      <c r="G502" s="7"/>
      <c r="H502" s="7"/>
      <c r="I502" s="7"/>
      <c r="J502" s="8"/>
      <c r="K502" s="9"/>
    </row>
    <row r="503">
      <c r="A503" s="6"/>
      <c r="B503" s="7"/>
      <c r="C503" s="7"/>
      <c r="D503" s="7"/>
      <c r="E503" s="7"/>
      <c r="F503" s="7"/>
      <c r="G503" s="7"/>
      <c r="H503" s="7"/>
      <c r="I503" s="7"/>
      <c r="J503" s="8"/>
      <c r="K503" s="9"/>
    </row>
    <row r="504">
      <c r="A504" s="6"/>
      <c r="B504" s="7"/>
      <c r="C504" s="7"/>
      <c r="D504" s="7"/>
      <c r="E504" s="7"/>
      <c r="F504" s="7"/>
      <c r="G504" s="7"/>
      <c r="H504" s="7"/>
      <c r="I504" s="7"/>
      <c r="J504" s="8"/>
      <c r="K504" s="9"/>
    </row>
    <row r="505">
      <c r="A505" s="6"/>
      <c r="B505" s="7"/>
      <c r="C505" s="7"/>
      <c r="D505" s="7"/>
      <c r="E505" s="7"/>
      <c r="F505" s="7"/>
      <c r="G505" s="7"/>
      <c r="H505" s="7"/>
      <c r="I505" s="7"/>
      <c r="J505" s="8"/>
      <c r="K505" s="9"/>
    </row>
    <row r="506">
      <c r="A506" s="6"/>
      <c r="B506" s="7"/>
      <c r="C506" s="7"/>
      <c r="D506" s="7"/>
      <c r="E506" s="7"/>
      <c r="F506" s="7"/>
      <c r="G506" s="7"/>
      <c r="H506" s="7"/>
      <c r="I506" s="7"/>
      <c r="J506" s="8"/>
      <c r="K506" s="9"/>
    </row>
    <row r="507">
      <c r="A507" s="6"/>
      <c r="B507" s="7"/>
      <c r="C507" s="7"/>
      <c r="D507" s="7"/>
      <c r="E507" s="7"/>
      <c r="F507" s="7"/>
      <c r="G507" s="7"/>
      <c r="H507" s="7"/>
      <c r="I507" s="7"/>
      <c r="J507" s="8"/>
      <c r="K507" s="9"/>
    </row>
    <row r="508">
      <c r="A508" s="6"/>
      <c r="B508" s="7"/>
      <c r="C508" s="7"/>
      <c r="D508" s="7"/>
      <c r="E508" s="7"/>
      <c r="F508" s="7"/>
      <c r="G508" s="7"/>
      <c r="H508" s="7"/>
      <c r="I508" s="7"/>
      <c r="J508" s="8"/>
      <c r="K508" s="9"/>
    </row>
    <row r="509">
      <c r="A509" s="6"/>
      <c r="B509" s="7"/>
      <c r="C509" s="7"/>
      <c r="D509" s="7"/>
      <c r="E509" s="7"/>
      <c r="F509" s="7"/>
      <c r="G509" s="7"/>
      <c r="H509" s="7"/>
      <c r="I509" s="7"/>
      <c r="J509" s="8"/>
      <c r="K509" s="9"/>
    </row>
    <row r="510">
      <c r="A510" s="6"/>
      <c r="B510" s="7"/>
      <c r="C510" s="7"/>
      <c r="D510" s="7"/>
      <c r="E510" s="7"/>
      <c r="F510" s="7"/>
      <c r="G510" s="7"/>
      <c r="H510" s="7"/>
      <c r="I510" s="7"/>
      <c r="J510" s="8"/>
      <c r="K510" s="9"/>
    </row>
    <row r="511">
      <c r="A511" s="6"/>
      <c r="B511" s="7"/>
      <c r="C511" s="7"/>
      <c r="D511" s="7"/>
      <c r="E511" s="7"/>
      <c r="F511" s="7"/>
      <c r="G511" s="7"/>
      <c r="H511" s="7"/>
      <c r="I511" s="7"/>
      <c r="J511" s="8"/>
      <c r="K511" s="9"/>
    </row>
    <row r="512">
      <c r="A512" s="6"/>
      <c r="B512" s="7"/>
      <c r="C512" s="7"/>
      <c r="D512" s="7"/>
      <c r="E512" s="7"/>
      <c r="F512" s="7"/>
      <c r="G512" s="7"/>
      <c r="H512" s="7"/>
      <c r="I512" s="7"/>
      <c r="J512" s="8"/>
      <c r="K512" s="9"/>
    </row>
    <row r="513">
      <c r="A513" s="6"/>
      <c r="B513" s="7"/>
      <c r="C513" s="7"/>
      <c r="D513" s="7"/>
      <c r="E513" s="7"/>
      <c r="F513" s="7"/>
      <c r="G513" s="7"/>
      <c r="H513" s="7"/>
      <c r="I513" s="7"/>
      <c r="J513" s="8"/>
      <c r="K513" s="9"/>
    </row>
    <row r="514">
      <c r="A514" s="6"/>
      <c r="B514" s="7"/>
      <c r="C514" s="7"/>
      <c r="D514" s="7"/>
      <c r="E514" s="7"/>
      <c r="F514" s="7"/>
      <c r="G514" s="7"/>
      <c r="H514" s="7"/>
      <c r="I514" s="7"/>
      <c r="J514" s="8"/>
      <c r="K514" s="9"/>
    </row>
    <row r="515">
      <c r="A515" s="6"/>
      <c r="B515" s="7"/>
      <c r="C515" s="7"/>
      <c r="D515" s="7"/>
      <c r="E515" s="7"/>
      <c r="F515" s="7"/>
      <c r="G515" s="7"/>
      <c r="H515" s="7"/>
      <c r="I515" s="7"/>
      <c r="J515" s="8"/>
      <c r="K515" s="9"/>
    </row>
    <row r="516">
      <c r="A516" s="6"/>
      <c r="B516" s="7"/>
      <c r="C516" s="7"/>
      <c r="D516" s="7"/>
      <c r="E516" s="7"/>
      <c r="F516" s="7"/>
      <c r="G516" s="7"/>
      <c r="H516" s="7"/>
      <c r="I516" s="7"/>
      <c r="J516" s="8"/>
      <c r="K516" s="9"/>
    </row>
    <row r="517">
      <c r="A517" s="6"/>
      <c r="B517" s="7"/>
      <c r="C517" s="7"/>
      <c r="D517" s="7"/>
      <c r="E517" s="7"/>
      <c r="F517" s="7"/>
      <c r="G517" s="7"/>
      <c r="H517" s="7"/>
      <c r="I517" s="7"/>
      <c r="J517" s="8"/>
      <c r="K517" s="9"/>
    </row>
    <row r="518">
      <c r="A518" s="6"/>
      <c r="B518" s="7"/>
      <c r="C518" s="7"/>
      <c r="D518" s="7"/>
      <c r="E518" s="7"/>
      <c r="F518" s="7"/>
      <c r="G518" s="7"/>
      <c r="H518" s="7"/>
      <c r="I518" s="7"/>
      <c r="J518" s="8"/>
      <c r="K518" s="9"/>
    </row>
    <row r="519">
      <c r="A519" s="6"/>
      <c r="B519" s="7"/>
      <c r="C519" s="7"/>
      <c r="D519" s="7"/>
      <c r="E519" s="7"/>
      <c r="F519" s="7"/>
      <c r="G519" s="7"/>
      <c r="H519" s="7"/>
      <c r="I519" s="7"/>
      <c r="J519" s="8"/>
      <c r="K519" s="9"/>
    </row>
    <row r="520">
      <c r="A520" s="6"/>
      <c r="B520" s="7"/>
      <c r="C520" s="7"/>
      <c r="D520" s="7"/>
      <c r="E520" s="7"/>
      <c r="F520" s="7"/>
      <c r="G520" s="7"/>
      <c r="H520" s="7"/>
      <c r="I520" s="7"/>
      <c r="J520" s="8"/>
      <c r="K520" s="9"/>
    </row>
    <row r="521">
      <c r="A521" s="6"/>
      <c r="B521" s="7"/>
      <c r="C521" s="7"/>
      <c r="D521" s="7"/>
      <c r="E521" s="7"/>
      <c r="F521" s="7"/>
      <c r="G521" s="7"/>
      <c r="H521" s="7"/>
      <c r="I521" s="7"/>
      <c r="J521" s="8"/>
      <c r="K521" s="9"/>
    </row>
    <row r="522">
      <c r="A522" s="6"/>
      <c r="B522" s="7"/>
      <c r="C522" s="7"/>
      <c r="D522" s="7"/>
      <c r="E522" s="7"/>
      <c r="F522" s="7"/>
      <c r="G522" s="7"/>
      <c r="H522" s="7"/>
      <c r="I522" s="7"/>
      <c r="J522" s="8"/>
      <c r="K522" s="9"/>
    </row>
    <row r="523">
      <c r="A523" s="6"/>
      <c r="B523" s="7"/>
      <c r="C523" s="7"/>
      <c r="D523" s="7"/>
      <c r="E523" s="7"/>
      <c r="F523" s="7"/>
      <c r="G523" s="7"/>
      <c r="H523" s="7"/>
      <c r="I523" s="7"/>
      <c r="J523" s="8"/>
      <c r="K523" s="9"/>
    </row>
    <row r="524">
      <c r="A524" s="6"/>
      <c r="B524" s="7"/>
      <c r="C524" s="7"/>
      <c r="D524" s="7"/>
      <c r="E524" s="7"/>
      <c r="F524" s="7"/>
      <c r="G524" s="7"/>
      <c r="H524" s="7"/>
      <c r="I524" s="7"/>
      <c r="J524" s="8"/>
      <c r="K524" s="9"/>
    </row>
    <row r="525">
      <c r="A525" s="6"/>
      <c r="B525" s="7"/>
      <c r="C525" s="7"/>
      <c r="D525" s="7"/>
      <c r="E525" s="7"/>
      <c r="F525" s="7"/>
      <c r="G525" s="7"/>
      <c r="H525" s="7"/>
      <c r="I525" s="7"/>
      <c r="J525" s="8"/>
      <c r="K525" s="9"/>
    </row>
    <row r="526">
      <c r="A526" s="6"/>
      <c r="B526" s="7"/>
      <c r="C526" s="7"/>
      <c r="D526" s="7"/>
      <c r="E526" s="7"/>
      <c r="F526" s="7"/>
      <c r="G526" s="7"/>
      <c r="H526" s="7"/>
      <c r="I526" s="7"/>
      <c r="J526" s="8"/>
      <c r="K526" s="9"/>
    </row>
    <row r="527">
      <c r="A527" s="6"/>
      <c r="B527" s="7"/>
      <c r="C527" s="7"/>
      <c r="D527" s="7"/>
      <c r="E527" s="7"/>
      <c r="F527" s="7"/>
      <c r="G527" s="7"/>
      <c r="H527" s="7"/>
      <c r="I527" s="7"/>
      <c r="J527" s="8"/>
      <c r="K527" s="9"/>
    </row>
    <row r="528">
      <c r="A528" s="6"/>
      <c r="B528" s="7"/>
      <c r="C528" s="7"/>
      <c r="D528" s="7"/>
      <c r="E528" s="7"/>
      <c r="F528" s="7"/>
      <c r="G528" s="7"/>
      <c r="H528" s="7"/>
      <c r="I528" s="7"/>
      <c r="J528" s="8"/>
      <c r="K528" s="9"/>
    </row>
    <row r="529">
      <c r="A529" s="6"/>
      <c r="B529" s="7"/>
      <c r="C529" s="7"/>
      <c r="D529" s="7"/>
      <c r="E529" s="7"/>
      <c r="F529" s="7"/>
      <c r="G529" s="7"/>
      <c r="H529" s="7"/>
      <c r="I529" s="7"/>
      <c r="J529" s="8"/>
      <c r="K529" s="9"/>
    </row>
    <row r="530">
      <c r="A530" s="6"/>
      <c r="B530" s="7"/>
      <c r="C530" s="7"/>
      <c r="D530" s="7"/>
      <c r="E530" s="7"/>
      <c r="F530" s="7"/>
      <c r="G530" s="7"/>
      <c r="H530" s="7"/>
      <c r="I530" s="7"/>
      <c r="J530" s="8"/>
      <c r="K530" s="9"/>
    </row>
    <row r="531">
      <c r="A531" s="6"/>
      <c r="B531" s="7"/>
      <c r="C531" s="7"/>
      <c r="D531" s="7"/>
      <c r="E531" s="7"/>
      <c r="F531" s="7"/>
      <c r="G531" s="7"/>
      <c r="H531" s="7"/>
      <c r="I531" s="7"/>
      <c r="J531" s="8"/>
      <c r="K531" s="9"/>
    </row>
    <row r="532">
      <c r="A532" s="6"/>
      <c r="B532" s="7"/>
      <c r="C532" s="7"/>
      <c r="D532" s="7"/>
      <c r="E532" s="7"/>
      <c r="F532" s="7"/>
      <c r="G532" s="7"/>
      <c r="H532" s="7"/>
      <c r="I532" s="7"/>
      <c r="J532" s="8"/>
      <c r="K532" s="9"/>
    </row>
    <row r="533">
      <c r="A533" s="6"/>
      <c r="B533" s="7"/>
      <c r="C533" s="7"/>
      <c r="D533" s="7"/>
      <c r="E533" s="7"/>
      <c r="F533" s="7"/>
      <c r="G533" s="7"/>
      <c r="H533" s="7"/>
      <c r="I533" s="7"/>
      <c r="J533" s="8"/>
      <c r="K533" s="9"/>
    </row>
    <row r="534">
      <c r="A534" s="6"/>
      <c r="B534" s="7"/>
      <c r="C534" s="7"/>
      <c r="D534" s="7"/>
      <c r="E534" s="7"/>
      <c r="F534" s="7"/>
      <c r="G534" s="7"/>
      <c r="H534" s="7"/>
      <c r="I534" s="7"/>
      <c r="J534" s="8"/>
      <c r="K534" s="9"/>
    </row>
    <row r="535">
      <c r="A535" s="6"/>
      <c r="B535" s="7"/>
      <c r="C535" s="7"/>
      <c r="D535" s="7"/>
      <c r="E535" s="7"/>
      <c r="F535" s="7"/>
      <c r="G535" s="7"/>
      <c r="H535" s="7"/>
      <c r="I535" s="7"/>
      <c r="J535" s="8"/>
      <c r="K535" s="9"/>
    </row>
    <row r="536">
      <c r="A536" s="6"/>
      <c r="B536" s="7"/>
      <c r="C536" s="7"/>
      <c r="D536" s="7"/>
      <c r="E536" s="7"/>
      <c r="F536" s="7"/>
      <c r="G536" s="7"/>
      <c r="H536" s="7"/>
      <c r="I536" s="7"/>
      <c r="J536" s="8"/>
      <c r="K536" s="9"/>
    </row>
    <row r="537">
      <c r="A537" s="6"/>
      <c r="B537" s="7"/>
      <c r="C537" s="7"/>
      <c r="D537" s="7"/>
      <c r="E537" s="7"/>
      <c r="F537" s="7"/>
      <c r="G537" s="7"/>
      <c r="H537" s="7"/>
      <c r="I537" s="7"/>
      <c r="J537" s="8"/>
      <c r="K537" s="9"/>
    </row>
    <row r="538">
      <c r="A538" s="6"/>
      <c r="B538" s="7"/>
      <c r="C538" s="7"/>
      <c r="D538" s="7"/>
      <c r="E538" s="7"/>
      <c r="F538" s="7"/>
      <c r="G538" s="7"/>
      <c r="H538" s="7"/>
      <c r="I538" s="7"/>
      <c r="J538" s="8"/>
      <c r="K538" s="9"/>
    </row>
    <row r="539">
      <c r="A539" s="6"/>
      <c r="B539" s="7"/>
      <c r="C539" s="7"/>
      <c r="D539" s="7"/>
      <c r="E539" s="7"/>
      <c r="F539" s="7"/>
      <c r="G539" s="7"/>
      <c r="H539" s="7"/>
      <c r="I539" s="7"/>
      <c r="J539" s="8"/>
      <c r="K539" s="9"/>
    </row>
    <row r="540">
      <c r="A540" s="6"/>
      <c r="B540" s="7"/>
      <c r="C540" s="7"/>
      <c r="D540" s="7"/>
      <c r="E540" s="7"/>
      <c r="F540" s="7"/>
      <c r="G540" s="7"/>
      <c r="H540" s="7"/>
      <c r="I540" s="7"/>
      <c r="J540" s="8"/>
      <c r="K540" s="9"/>
    </row>
    <row r="541">
      <c r="A541" s="6"/>
      <c r="B541" s="7"/>
      <c r="C541" s="7"/>
      <c r="D541" s="7"/>
      <c r="E541" s="7"/>
      <c r="F541" s="7"/>
      <c r="G541" s="7"/>
      <c r="H541" s="7"/>
      <c r="I541" s="7"/>
      <c r="J541" s="8"/>
      <c r="K541" s="9"/>
    </row>
    <row r="542">
      <c r="A542" s="6"/>
      <c r="B542" s="7"/>
      <c r="C542" s="7"/>
      <c r="D542" s="7"/>
      <c r="E542" s="7"/>
      <c r="F542" s="7"/>
      <c r="G542" s="7"/>
      <c r="H542" s="7"/>
      <c r="I542" s="7"/>
      <c r="J542" s="8"/>
      <c r="K542" s="9"/>
    </row>
    <row r="543">
      <c r="A543" s="6"/>
      <c r="B543" s="7"/>
      <c r="C543" s="7"/>
      <c r="D543" s="7"/>
      <c r="E543" s="7"/>
      <c r="F543" s="7"/>
      <c r="G543" s="7"/>
      <c r="H543" s="7"/>
      <c r="I543" s="7"/>
      <c r="J543" s="8"/>
      <c r="K543" s="9"/>
    </row>
    <row r="544">
      <c r="A544" s="6"/>
      <c r="B544" s="7"/>
      <c r="C544" s="7"/>
      <c r="D544" s="7"/>
      <c r="E544" s="7"/>
      <c r="F544" s="7"/>
      <c r="G544" s="7"/>
      <c r="H544" s="7"/>
      <c r="I544" s="7"/>
      <c r="J544" s="8"/>
      <c r="K544" s="9"/>
    </row>
    <row r="545">
      <c r="A545" s="6"/>
      <c r="B545" s="7"/>
      <c r="C545" s="7"/>
      <c r="D545" s="7"/>
      <c r="E545" s="7"/>
      <c r="F545" s="7"/>
      <c r="G545" s="7"/>
      <c r="H545" s="7"/>
      <c r="I545" s="7"/>
      <c r="J545" s="8"/>
      <c r="K545" s="9"/>
    </row>
    <row r="546">
      <c r="A546" s="6"/>
      <c r="B546" s="7"/>
      <c r="C546" s="7"/>
      <c r="D546" s="7"/>
      <c r="E546" s="7"/>
      <c r="F546" s="7"/>
      <c r="G546" s="7"/>
      <c r="H546" s="7"/>
      <c r="I546" s="7"/>
      <c r="J546" s="8"/>
      <c r="K546" s="9"/>
    </row>
    <row r="547">
      <c r="A547" s="6"/>
      <c r="B547" s="7"/>
      <c r="C547" s="7"/>
      <c r="D547" s="7"/>
      <c r="E547" s="7"/>
      <c r="F547" s="7"/>
      <c r="G547" s="7"/>
      <c r="H547" s="7"/>
      <c r="I547" s="7"/>
      <c r="J547" s="8"/>
      <c r="K547" s="9"/>
    </row>
    <row r="548">
      <c r="A548" s="6"/>
      <c r="B548" s="7"/>
      <c r="C548" s="7"/>
      <c r="D548" s="7"/>
      <c r="E548" s="7"/>
      <c r="F548" s="7"/>
      <c r="G548" s="7"/>
      <c r="H548" s="7"/>
      <c r="I548" s="7"/>
      <c r="J548" s="8"/>
      <c r="K548" s="9"/>
    </row>
    <row r="549">
      <c r="A549" s="6"/>
      <c r="B549" s="7"/>
      <c r="C549" s="7"/>
      <c r="D549" s="7"/>
      <c r="E549" s="7"/>
      <c r="F549" s="7"/>
      <c r="G549" s="7"/>
      <c r="H549" s="7"/>
      <c r="I549" s="7"/>
      <c r="J549" s="8"/>
      <c r="K549" s="9"/>
    </row>
    <row r="550">
      <c r="A550" s="6"/>
      <c r="B550" s="7"/>
      <c r="C550" s="7"/>
      <c r="D550" s="7"/>
      <c r="E550" s="7"/>
      <c r="F550" s="7"/>
      <c r="G550" s="7"/>
      <c r="H550" s="7"/>
      <c r="I550" s="7"/>
      <c r="J550" s="8"/>
      <c r="K550" s="9"/>
    </row>
    <row r="551">
      <c r="A551" s="6"/>
      <c r="B551" s="7"/>
      <c r="C551" s="7"/>
      <c r="D551" s="7"/>
      <c r="E551" s="7"/>
      <c r="F551" s="7"/>
      <c r="G551" s="7"/>
      <c r="H551" s="7"/>
      <c r="I551" s="7"/>
      <c r="J551" s="8"/>
      <c r="K551" s="9"/>
    </row>
    <row r="552">
      <c r="A552" s="6"/>
      <c r="B552" s="7"/>
      <c r="C552" s="7"/>
      <c r="D552" s="7"/>
      <c r="E552" s="7"/>
      <c r="F552" s="7"/>
      <c r="G552" s="7"/>
      <c r="H552" s="7"/>
      <c r="I552" s="7"/>
      <c r="J552" s="8"/>
      <c r="K552" s="9"/>
    </row>
    <row r="553">
      <c r="A553" s="6"/>
      <c r="B553" s="7"/>
      <c r="C553" s="7"/>
      <c r="D553" s="7"/>
      <c r="E553" s="7"/>
      <c r="F553" s="7"/>
      <c r="G553" s="7"/>
      <c r="H553" s="7"/>
      <c r="I553" s="7"/>
      <c r="J553" s="8"/>
      <c r="K553" s="9"/>
    </row>
    <row r="554">
      <c r="A554" s="6"/>
      <c r="B554" s="7"/>
      <c r="C554" s="7"/>
      <c r="D554" s="7"/>
      <c r="E554" s="7"/>
      <c r="F554" s="7"/>
      <c r="G554" s="7"/>
      <c r="H554" s="7"/>
      <c r="I554" s="7"/>
      <c r="J554" s="8"/>
      <c r="K554" s="9"/>
    </row>
    <row r="555">
      <c r="A555" s="6"/>
      <c r="B555" s="7"/>
      <c r="C555" s="7"/>
      <c r="D555" s="7"/>
      <c r="E555" s="7"/>
      <c r="F555" s="7"/>
      <c r="G555" s="7"/>
      <c r="H555" s="7"/>
      <c r="I555" s="7"/>
      <c r="J555" s="8"/>
      <c r="K555" s="9"/>
    </row>
    <row r="556">
      <c r="A556" s="6"/>
      <c r="B556" s="7"/>
      <c r="C556" s="7"/>
      <c r="D556" s="7"/>
      <c r="E556" s="7"/>
      <c r="F556" s="7"/>
      <c r="G556" s="7"/>
      <c r="H556" s="7"/>
      <c r="I556" s="7"/>
      <c r="J556" s="8"/>
      <c r="K556" s="9"/>
    </row>
    <row r="557">
      <c r="A557" s="6"/>
      <c r="B557" s="7"/>
      <c r="C557" s="7"/>
      <c r="D557" s="7"/>
      <c r="E557" s="7"/>
      <c r="F557" s="7"/>
      <c r="G557" s="7"/>
      <c r="H557" s="7"/>
      <c r="I557" s="7"/>
      <c r="J557" s="8"/>
      <c r="K557" s="9"/>
    </row>
    <row r="558">
      <c r="A558" s="6"/>
      <c r="B558" s="7"/>
      <c r="C558" s="7"/>
      <c r="D558" s="7"/>
      <c r="E558" s="7"/>
      <c r="F558" s="7"/>
      <c r="G558" s="7"/>
      <c r="H558" s="7"/>
      <c r="I558" s="7"/>
      <c r="J558" s="8"/>
      <c r="K558" s="9"/>
    </row>
    <row r="559">
      <c r="A559" s="6"/>
      <c r="B559" s="7"/>
      <c r="C559" s="7"/>
      <c r="D559" s="7"/>
      <c r="E559" s="7"/>
      <c r="F559" s="7"/>
      <c r="G559" s="7"/>
      <c r="H559" s="7"/>
      <c r="I559" s="7"/>
      <c r="J559" s="8"/>
      <c r="K559" s="9"/>
    </row>
    <row r="560">
      <c r="A560" s="6"/>
      <c r="B560" s="7"/>
      <c r="C560" s="7"/>
      <c r="D560" s="7"/>
      <c r="E560" s="7"/>
      <c r="F560" s="7"/>
      <c r="G560" s="7"/>
      <c r="H560" s="7"/>
      <c r="I560" s="7"/>
      <c r="J560" s="8"/>
      <c r="K560" s="9"/>
    </row>
    <row r="561">
      <c r="A561" s="6"/>
      <c r="B561" s="7"/>
      <c r="C561" s="7"/>
      <c r="D561" s="7"/>
      <c r="E561" s="7"/>
      <c r="F561" s="7"/>
      <c r="G561" s="7"/>
      <c r="H561" s="7"/>
      <c r="I561" s="7"/>
      <c r="J561" s="8"/>
      <c r="K561" s="9"/>
    </row>
    <row r="562">
      <c r="A562" s="6"/>
      <c r="B562" s="7"/>
      <c r="C562" s="7"/>
      <c r="D562" s="7"/>
      <c r="E562" s="7"/>
      <c r="F562" s="7"/>
      <c r="G562" s="7"/>
      <c r="H562" s="7"/>
      <c r="I562" s="7"/>
      <c r="J562" s="8"/>
      <c r="K562" s="9"/>
    </row>
    <row r="563">
      <c r="A563" s="6"/>
      <c r="B563" s="7"/>
      <c r="C563" s="7"/>
      <c r="D563" s="7"/>
      <c r="E563" s="7"/>
      <c r="F563" s="7"/>
      <c r="G563" s="7"/>
      <c r="H563" s="7"/>
      <c r="I563" s="7"/>
      <c r="J563" s="8"/>
      <c r="K563" s="9"/>
    </row>
    <row r="564">
      <c r="A564" s="6"/>
      <c r="B564" s="7"/>
      <c r="C564" s="7"/>
      <c r="D564" s="7"/>
      <c r="E564" s="7"/>
      <c r="F564" s="7"/>
      <c r="G564" s="7"/>
      <c r="H564" s="7"/>
      <c r="I564" s="7"/>
      <c r="J564" s="8"/>
      <c r="K564" s="9"/>
    </row>
    <row r="565">
      <c r="A565" s="6"/>
      <c r="B565" s="7"/>
      <c r="C565" s="7"/>
      <c r="D565" s="7"/>
      <c r="E565" s="7"/>
      <c r="F565" s="7"/>
      <c r="G565" s="7"/>
      <c r="H565" s="7"/>
      <c r="I565" s="7"/>
      <c r="J565" s="8"/>
      <c r="K565" s="9"/>
    </row>
    <row r="566">
      <c r="A566" s="6"/>
      <c r="B566" s="7"/>
      <c r="C566" s="7"/>
      <c r="D566" s="7"/>
      <c r="E566" s="7"/>
      <c r="F566" s="7"/>
      <c r="G566" s="7"/>
      <c r="H566" s="7"/>
      <c r="I566" s="7"/>
      <c r="J566" s="8"/>
      <c r="K566" s="9"/>
    </row>
    <row r="567">
      <c r="A567" s="6"/>
      <c r="B567" s="7"/>
      <c r="C567" s="7"/>
      <c r="D567" s="7"/>
      <c r="E567" s="7"/>
      <c r="F567" s="7"/>
      <c r="G567" s="7"/>
      <c r="H567" s="7"/>
      <c r="I567" s="7"/>
      <c r="J567" s="8"/>
      <c r="K567" s="9"/>
    </row>
    <row r="568">
      <c r="A568" s="6"/>
      <c r="B568" s="7"/>
      <c r="C568" s="7"/>
      <c r="D568" s="7"/>
      <c r="E568" s="7"/>
      <c r="F568" s="7"/>
      <c r="G568" s="7"/>
      <c r="H568" s="7"/>
      <c r="I568" s="7"/>
      <c r="J568" s="8"/>
      <c r="K568" s="9"/>
    </row>
    <row r="569">
      <c r="A569" s="6"/>
      <c r="B569" s="7"/>
      <c r="C569" s="7"/>
      <c r="D569" s="7"/>
      <c r="E569" s="7"/>
      <c r="F569" s="7"/>
      <c r="G569" s="7"/>
      <c r="H569" s="7"/>
      <c r="I569" s="7"/>
      <c r="J569" s="8"/>
      <c r="K569" s="9"/>
    </row>
    <row r="570">
      <c r="A570" s="6"/>
      <c r="B570" s="7"/>
      <c r="C570" s="7"/>
      <c r="D570" s="7"/>
      <c r="E570" s="7"/>
      <c r="F570" s="7"/>
      <c r="G570" s="7"/>
      <c r="H570" s="7"/>
      <c r="I570" s="7"/>
      <c r="J570" s="8"/>
      <c r="K570" s="9"/>
    </row>
    <row r="571">
      <c r="A571" s="6"/>
      <c r="B571" s="7"/>
      <c r="C571" s="7"/>
      <c r="D571" s="7"/>
      <c r="E571" s="7"/>
      <c r="F571" s="7"/>
      <c r="G571" s="7"/>
      <c r="H571" s="7"/>
      <c r="I571" s="7"/>
      <c r="J571" s="8"/>
      <c r="K571" s="9"/>
    </row>
    <row r="572">
      <c r="A572" s="6"/>
      <c r="B572" s="7"/>
      <c r="C572" s="7"/>
      <c r="D572" s="7"/>
      <c r="E572" s="7"/>
      <c r="F572" s="7"/>
      <c r="G572" s="7"/>
      <c r="H572" s="7"/>
      <c r="I572" s="7"/>
      <c r="J572" s="8"/>
      <c r="K572" s="9"/>
    </row>
    <row r="573">
      <c r="A573" s="6"/>
      <c r="B573" s="7"/>
      <c r="C573" s="7"/>
      <c r="D573" s="7"/>
      <c r="E573" s="7"/>
      <c r="F573" s="7"/>
      <c r="G573" s="7"/>
      <c r="H573" s="7"/>
      <c r="I573" s="7"/>
      <c r="J573" s="8"/>
      <c r="K573" s="9"/>
    </row>
    <row r="574">
      <c r="A574" s="6"/>
      <c r="B574" s="7"/>
      <c r="C574" s="7"/>
      <c r="D574" s="7"/>
      <c r="E574" s="7"/>
      <c r="F574" s="7"/>
      <c r="G574" s="7"/>
      <c r="H574" s="7"/>
      <c r="I574" s="7"/>
      <c r="J574" s="8"/>
      <c r="K574" s="9"/>
    </row>
    <row r="575">
      <c r="A575" s="6"/>
      <c r="B575" s="7"/>
      <c r="C575" s="7"/>
      <c r="D575" s="7"/>
      <c r="E575" s="7"/>
      <c r="F575" s="7"/>
      <c r="G575" s="7"/>
      <c r="H575" s="7"/>
      <c r="I575" s="7"/>
      <c r="J575" s="8"/>
      <c r="K575" s="9"/>
    </row>
    <row r="576">
      <c r="A576" s="6"/>
      <c r="B576" s="7"/>
      <c r="C576" s="7"/>
      <c r="D576" s="7"/>
      <c r="E576" s="7"/>
      <c r="F576" s="7"/>
      <c r="G576" s="7"/>
      <c r="H576" s="7"/>
      <c r="I576" s="7"/>
      <c r="J576" s="8"/>
      <c r="K576" s="9"/>
    </row>
    <row r="577">
      <c r="A577" s="6"/>
      <c r="B577" s="7"/>
      <c r="C577" s="7"/>
      <c r="D577" s="7"/>
      <c r="E577" s="7"/>
      <c r="F577" s="7"/>
      <c r="G577" s="7"/>
      <c r="H577" s="7"/>
      <c r="I577" s="7"/>
      <c r="J577" s="8"/>
      <c r="K577" s="9"/>
    </row>
    <row r="578">
      <c r="A578" s="6"/>
      <c r="B578" s="7"/>
      <c r="C578" s="7"/>
      <c r="D578" s="7"/>
      <c r="E578" s="7"/>
      <c r="F578" s="7"/>
      <c r="G578" s="7"/>
      <c r="H578" s="7"/>
      <c r="I578" s="7"/>
      <c r="J578" s="8"/>
      <c r="K578" s="9"/>
    </row>
    <row r="579">
      <c r="A579" s="6"/>
      <c r="B579" s="7"/>
      <c r="C579" s="7"/>
      <c r="D579" s="7"/>
      <c r="E579" s="7"/>
      <c r="F579" s="7"/>
      <c r="G579" s="7"/>
      <c r="H579" s="7"/>
      <c r="I579" s="7"/>
      <c r="J579" s="8"/>
      <c r="K579" s="9"/>
    </row>
    <row r="580">
      <c r="A580" s="6"/>
      <c r="B580" s="7"/>
      <c r="C580" s="7"/>
      <c r="D580" s="7"/>
      <c r="E580" s="7"/>
      <c r="F580" s="7"/>
      <c r="G580" s="7"/>
      <c r="H580" s="7"/>
      <c r="I580" s="7"/>
      <c r="J580" s="8"/>
      <c r="K580" s="9"/>
    </row>
    <row r="581">
      <c r="A581" s="6"/>
      <c r="B581" s="7"/>
      <c r="C581" s="7"/>
      <c r="D581" s="7"/>
      <c r="E581" s="7"/>
      <c r="F581" s="7"/>
      <c r="G581" s="7"/>
      <c r="H581" s="7"/>
      <c r="I581" s="7"/>
      <c r="J581" s="8"/>
      <c r="K581" s="9"/>
    </row>
    <row r="582">
      <c r="A582" s="6"/>
      <c r="B582" s="7"/>
      <c r="C582" s="7"/>
      <c r="D582" s="7"/>
      <c r="E582" s="7"/>
      <c r="F582" s="7"/>
      <c r="G582" s="7"/>
      <c r="H582" s="7"/>
      <c r="I582" s="7"/>
      <c r="J582" s="8"/>
      <c r="K582" s="9"/>
    </row>
    <row r="583">
      <c r="A583" s="6"/>
      <c r="B583" s="7"/>
      <c r="C583" s="7"/>
      <c r="D583" s="7"/>
      <c r="E583" s="7"/>
      <c r="F583" s="7"/>
      <c r="G583" s="7"/>
      <c r="H583" s="7"/>
      <c r="I583" s="7"/>
      <c r="J583" s="8"/>
      <c r="K583" s="9"/>
    </row>
    <row r="584">
      <c r="A584" s="6"/>
      <c r="B584" s="7"/>
      <c r="C584" s="7"/>
      <c r="D584" s="7"/>
      <c r="E584" s="7"/>
      <c r="F584" s="7"/>
      <c r="G584" s="7"/>
      <c r="H584" s="7"/>
      <c r="I584" s="7"/>
      <c r="J584" s="8"/>
      <c r="K584" s="9"/>
    </row>
    <row r="585">
      <c r="A585" s="6"/>
      <c r="B585" s="7"/>
      <c r="C585" s="7"/>
      <c r="D585" s="7"/>
      <c r="E585" s="7"/>
      <c r="F585" s="7"/>
      <c r="G585" s="7"/>
      <c r="H585" s="7"/>
      <c r="I585" s="7"/>
      <c r="J585" s="8"/>
      <c r="K585" s="9"/>
    </row>
    <row r="586">
      <c r="A586" s="6"/>
      <c r="B586" s="7"/>
      <c r="C586" s="7"/>
      <c r="D586" s="7"/>
      <c r="E586" s="7"/>
      <c r="F586" s="7"/>
      <c r="G586" s="7"/>
      <c r="H586" s="7"/>
      <c r="I586" s="7"/>
      <c r="J586" s="8"/>
      <c r="K586" s="9"/>
    </row>
    <row r="587">
      <c r="A587" s="6"/>
      <c r="B587" s="7"/>
      <c r="C587" s="7"/>
      <c r="D587" s="7"/>
      <c r="E587" s="7"/>
      <c r="F587" s="7"/>
      <c r="G587" s="7"/>
      <c r="H587" s="7"/>
      <c r="I587" s="7"/>
      <c r="J587" s="8"/>
      <c r="K587" s="9"/>
    </row>
    <row r="588">
      <c r="A588" s="6"/>
      <c r="B588" s="7"/>
      <c r="C588" s="7"/>
      <c r="D588" s="7"/>
      <c r="E588" s="7"/>
      <c r="F588" s="7"/>
      <c r="G588" s="7"/>
      <c r="H588" s="7"/>
      <c r="I588" s="7"/>
      <c r="J588" s="8"/>
      <c r="K588" s="9"/>
    </row>
    <row r="589">
      <c r="A589" s="6"/>
      <c r="B589" s="7"/>
      <c r="C589" s="7"/>
      <c r="D589" s="7"/>
      <c r="E589" s="7"/>
      <c r="F589" s="7"/>
      <c r="G589" s="7"/>
      <c r="H589" s="7"/>
      <c r="I589" s="7"/>
      <c r="J589" s="8"/>
      <c r="K589" s="9"/>
    </row>
    <row r="590">
      <c r="A590" s="6"/>
      <c r="B590" s="7"/>
      <c r="C590" s="7"/>
      <c r="D590" s="7"/>
      <c r="E590" s="7"/>
      <c r="F590" s="7"/>
      <c r="G590" s="7"/>
      <c r="H590" s="7"/>
      <c r="I590" s="7"/>
      <c r="J590" s="8"/>
      <c r="K590" s="9"/>
    </row>
    <row r="591">
      <c r="A591" s="6"/>
      <c r="B591" s="7"/>
      <c r="C591" s="7"/>
      <c r="D591" s="7"/>
      <c r="E591" s="7"/>
      <c r="F591" s="7"/>
      <c r="G591" s="7"/>
      <c r="H591" s="7"/>
      <c r="I591" s="7"/>
      <c r="J591" s="8"/>
      <c r="K591" s="9"/>
    </row>
    <row r="592">
      <c r="A592" s="6"/>
      <c r="B592" s="7"/>
      <c r="C592" s="7"/>
      <c r="D592" s="7"/>
      <c r="E592" s="7"/>
      <c r="F592" s="7"/>
      <c r="G592" s="7"/>
      <c r="H592" s="7"/>
      <c r="I592" s="7"/>
      <c r="J592" s="8"/>
      <c r="K592" s="9"/>
    </row>
    <row r="593">
      <c r="A593" s="6"/>
      <c r="B593" s="7"/>
      <c r="C593" s="7"/>
      <c r="D593" s="7"/>
      <c r="E593" s="7"/>
      <c r="F593" s="7"/>
      <c r="G593" s="7"/>
      <c r="H593" s="7"/>
      <c r="I593" s="7"/>
      <c r="J593" s="8"/>
      <c r="K593" s="9"/>
    </row>
    <row r="594">
      <c r="A594" s="6"/>
      <c r="B594" s="7"/>
      <c r="C594" s="7"/>
      <c r="D594" s="7"/>
      <c r="E594" s="7"/>
      <c r="F594" s="7"/>
      <c r="G594" s="7"/>
      <c r="H594" s="7"/>
      <c r="I594" s="7"/>
      <c r="J594" s="8"/>
      <c r="K594" s="9"/>
    </row>
    <row r="595">
      <c r="A595" s="6"/>
      <c r="B595" s="7"/>
      <c r="C595" s="7"/>
      <c r="D595" s="7"/>
      <c r="E595" s="7"/>
      <c r="F595" s="7"/>
      <c r="G595" s="7"/>
      <c r="H595" s="7"/>
      <c r="I595" s="7"/>
      <c r="J595" s="8"/>
      <c r="K595" s="9"/>
    </row>
    <row r="596">
      <c r="A596" s="6"/>
      <c r="B596" s="7"/>
      <c r="C596" s="7"/>
      <c r="D596" s="7"/>
      <c r="E596" s="7"/>
      <c r="F596" s="7"/>
      <c r="G596" s="7"/>
      <c r="H596" s="7"/>
      <c r="I596" s="7"/>
      <c r="J596" s="8"/>
      <c r="K596" s="9"/>
    </row>
    <row r="597">
      <c r="A597" s="6"/>
      <c r="B597" s="7"/>
      <c r="C597" s="7"/>
      <c r="D597" s="7"/>
      <c r="E597" s="7"/>
      <c r="F597" s="7"/>
      <c r="G597" s="7"/>
      <c r="H597" s="7"/>
      <c r="I597" s="7"/>
      <c r="J597" s="8"/>
      <c r="K597" s="9"/>
    </row>
    <row r="598">
      <c r="A598" s="6"/>
      <c r="B598" s="7"/>
      <c r="C598" s="7"/>
      <c r="D598" s="7"/>
      <c r="E598" s="7"/>
      <c r="F598" s="7"/>
      <c r="G598" s="7"/>
      <c r="H598" s="7"/>
      <c r="I598" s="7"/>
      <c r="J598" s="8"/>
      <c r="K598" s="9"/>
    </row>
    <row r="599">
      <c r="A599" s="6"/>
      <c r="B599" s="7"/>
      <c r="C599" s="7"/>
      <c r="D599" s="7"/>
      <c r="E599" s="7"/>
      <c r="F599" s="7"/>
      <c r="G599" s="7"/>
      <c r="H599" s="7"/>
      <c r="I599" s="7"/>
      <c r="J599" s="8"/>
      <c r="K599" s="9"/>
    </row>
    <row r="600">
      <c r="A600" s="6"/>
      <c r="B600" s="7"/>
      <c r="C600" s="7"/>
      <c r="D600" s="7"/>
      <c r="E600" s="7"/>
      <c r="F600" s="7"/>
      <c r="G600" s="7"/>
      <c r="H600" s="7"/>
      <c r="I600" s="7"/>
      <c r="J600" s="8"/>
      <c r="K600" s="9"/>
    </row>
    <row r="601">
      <c r="A601" s="6"/>
      <c r="B601" s="7"/>
      <c r="C601" s="7"/>
      <c r="D601" s="7"/>
      <c r="E601" s="7"/>
      <c r="F601" s="7"/>
      <c r="G601" s="7"/>
      <c r="H601" s="7"/>
      <c r="I601" s="7"/>
      <c r="J601" s="8"/>
      <c r="K601" s="9"/>
    </row>
    <row r="602">
      <c r="A602" s="6"/>
      <c r="B602" s="7"/>
      <c r="C602" s="7"/>
      <c r="D602" s="7"/>
      <c r="E602" s="7"/>
      <c r="F602" s="7"/>
      <c r="G602" s="7"/>
      <c r="H602" s="7"/>
      <c r="I602" s="7"/>
      <c r="J602" s="8"/>
      <c r="K602" s="9"/>
    </row>
    <row r="603">
      <c r="A603" s="6"/>
      <c r="B603" s="7"/>
      <c r="C603" s="7"/>
      <c r="D603" s="7"/>
      <c r="E603" s="7"/>
      <c r="F603" s="7"/>
      <c r="G603" s="7"/>
      <c r="H603" s="7"/>
      <c r="I603" s="7"/>
      <c r="J603" s="8"/>
      <c r="K603" s="9"/>
    </row>
    <row r="604">
      <c r="A604" s="6"/>
      <c r="B604" s="7"/>
      <c r="C604" s="7"/>
      <c r="D604" s="7"/>
      <c r="E604" s="7"/>
      <c r="F604" s="7"/>
      <c r="G604" s="7"/>
      <c r="H604" s="7"/>
      <c r="I604" s="7"/>
      <c r="J604" s="8"/>
      <c r="K604" s="9"/>
    </row>
    <row r="605">
      <c r="A605" s="6"/>
      <c r="B605" s="7"/>
      <c r="C605" s="7"/>
      <c r="D605" s="7"/>
      <c r="E605" s="7"/>
      <c r="F605" s="7"/>
      <c r="G605" s="7"/>
      <c r="H605" s="7"/>
      <c r="I605" s="7"/>
      <c r="J605" s="8"/>
      <c r="K605" s="9"/>
    </row>
    <row r="606">
      <c r="A606" s="6"/>
      <c r="B606" s="7"/>
      <c r="C606" s="7"/>
      <c r="D606" s="7"/>
      <c r="E606" s="7"/>
      <c r="F606" s="7"/>
      <c r="G606" s="7"/>
      <c r="H606" s="7"/>
      <c r="I606" s="7"/>
      <c r="J606" s="8"/>
      <c r="K606" s="9"/>
    </row>
    <row r="607">
      <c r="A607" s="6"/>
      <c r="B607" s="7"/>
      <c r="C607" s="7"/>
      <c r="D607" s="7"/>
      <c r="E607" s="7"/>
      <c r="F607" s="7"/>
      <c r="G607" s="7"/>
      <c r="H607" s="7"/>
      <c r="I607" s="7"/>
      <c r="J607" s="8"/>
      <c r="K607" s="9"/>
    </row>
    <row r="608">
      <c r="A608" s="6"/>
      <c r="B608" s="7"/>
      <c r="C608" s="7"/>
      <c r="D608" s="7"/>
      <c r="E608" s="7"/>
      <c r="F608" s="7"/>
      <c r="G608" s="7"/>
      <c r="H608" s="7"/>
      <c r="I608" s="7"/>
      <c r="J608" s="8"/>
      <c r="K608" s="9"/>
    </row>
    <row r="609">
      <c r="A609" s="6"/>
      <c r="B609" s="7"/>
      <c r="C609" s="7"/>
      <c r="D609" s="7"/>
      <c r="E609" s="7"/>
      <c r="F609" s="7"/>
      <c r="G609" s="7"/>
      <c r="H609" s="7"/>
      <c r="I609" s="7"/>
      <c r="J609" s="8"/>
      <c r="K609" s="9"/>
    </row>
    <row r="610">
      <c r="A610" s="6"/>
      <c r="B610" s="7"/>
      <c r="C610" s="7"/>
      <c r="D610" s="7"/>
      <c r="E610" s="7"/>
      <c r="F610" s="7"/>
      <c r="G610" s="7"/>
      <c r="H610" s="7"/>
      <c r="I610" s="7"/>
      <c r="J610" s="8"/>
      <c r="K610" s="9"/>
    </row>
    <row r="611">
      <c r="A611" s="6"/>
      <c r="B611" s="7"/>
      <c r="C611" s="7"/>
      <c r="D611" s="7"/>
      <c r="E611" s="7"/>
      <c r="F611" s="7"/>
      <c r="G611" s="7"/>
      <c r="H611" s="7"/>
      <c r="I611" s="7"/>
      <c r="J611" s="8"/>
      <c r="K611" s="9"/>
    </row>
    <row r="612">
      <c r="A612" s="6"/>
      <c r="B612" s="7"/>
      <c r="C612" s="7"/>
      <c r="D612" s="7"/>
      <c r="E612" s="7"/>
      <c r="F612" s="7"/>
      <c r="G612" s="7"/>
      <c r="H612" s="7"/>
      <c r="I612" s="7"/>
      <c r="J612" s="8"/>
      <c r="K612" s="9"/>
    </row>
    <row r="613">
      <c r="A613" s="6"/>
      <c r="B613" s="7"/>
      <c r="C613" s="7"/>
      <c r="D613" s="7"/>
      <c r="E613" s="7"/>
      <c r="F613" s="7"/>
      <c r="G613" s="7"/>
      <c r="H613" s="7"/>
      <c r="I613" s="7"/>
      <c r="J613" s="8"/>
      <c r="K613" s="9"/>
    </row>
    <row r="614">
      <c r="A614" s="6"/>
      <c r="B614" s="7"/>
      <c r="C614" s="7"/>
      <c r="D614" s="7"/>
      <c r="E614" s="7"/>
      <c r="F614" s="7"/>
      <c r="G614" s="7"/>
      <c r="H614" s="7"/>
      <c r="I614" s="7"/>
      <c r="J614" s="8"/>
      <c r="K614" s="9"/>
    </row>
    <row r="615">
      <c r="A615" s="6"/>
      <c r="B615" s="7"/>
      <c r="C615" s="7"/>
      <c r="D615" s="7"/>
      <c r="E615" s="7"/>
      <c r="F615" s="7"/>
      <c r="G615" s="7"/>
      <c r="H615" s="7"/>
      <c r="I615" s="7"/>
      <c r="J615" s="8"/>
      <c r="K615" s="9"/>
    </row>
    <row r="616">
      <c r="A616" s="6"/>
      <c r="B616" s="7"/>
      <c r="C616" s="7"/>
      <c r="D616" s="7"/>
      <c r="E616" s="7"/>
      <c r="F616" s="7"/>
      <c r="G616" s="7"/>
      <c r="H616" s="7"/>
      <c r="I616" s="7"/>
      <c r="J616" s="8"/>
      <c r="K616" s="9"/>
    </row>
    <row r="617">
      <c r="A617" s="6"/>
      <c r="B617" s="7"/>
      <c r="C617" s="7"/>
      <c r="D617" s="7"/>
      <c r="E617" s="7"/>
      <c r="F617" s="7"/>
      <c r="G617" s="7"/>
      <c r="H617" s="7"/>
      <c r="I617" s="7"/>
      <c r="J617" s="8"/>
      <c r="K617" s="9"/>
    </row>
    <row r="618">
      <c r="A618" s="6"/>
      <c r="B618" s="7"/>
      <c r="C618" s="7"/>
      <c r="D618" s="7"/>
      <c r="E618" s="7"/>
      <c r="F618" s="7"/>
      <c r="G618" s="7"/>
      <c r="H618" s="7"/>
      <c r="I618" s="7"/>
      <c r="J618" s="8"/>
      <c r="K618" s="9"/>
    </row>
    <row r="619">
      <c r="A619" s="6"/>
      <c r="B619" s="7"/>
      <c r="C619" s="7"/>
      <c r="D619" s="7"/>
      <c r="E619" s="7"/>
      <c r="F619" s="7"/>
      <c r="G619" s="7"/>
      <c r="H619" s="7"/>
      <c r="I619" s="7"/>
      <c r="J619" s="8"/>
      <c r="K619" s="9"/>
    </row>
    <row r="620">
      <c r="A620" s="6"/>
      <c r="B620" s="7"/>
      <c r="C620" s="7"/>
      <c r="D620" s="7"/>
      <c r="E620" s="7"/>
      <c r="F620" s="7"/>
      <c r="G620" s="7"/>
      <c r="H620" s="7"/>
      <c r="I620" s="7"/>
      <c r="J620" s="8"/>
      <c r="K620" s="9"/>
    </row>
    <row r="621">
      <c r="A621" s="6"/>
      <c r="B621" s="7"/>
      <c r="C621" s="7"/>
      <c r="D621" s="7"/>
      <c r="E621" s="7"/>
      <c r="F621" s="7"/>
      <c r="G621" s="7"/>
      <c r="H621" s="7"/>
      <c r="I621" s="7"/>
      <c r="J621" s="8"/>
      <c r="K621" s="9"/>
    </row>
    <row r="622">
      <c r="A622" s="6"/>
      <c r="B622" s="7"/>
      <c r="C622" s="7"/>
      <c r="D622" s="7"/>
      <c r="E622" s="7"/>
      <c r="F622" s="7"/>
      <c r="G622" s="7"/>
      <c r="H622" s="7"/>
      <c r="I622" s="7"/>
      <c r="J622" s="8"/>
      <c r="K622" s="9"/>
    </row>
    <row r="623">
      <c r="A623" s="6"/>
      <c r="B623" s="7"/>
      <c r="C623" s="7"/>
      <c r="D623" s="7"/>
      <c r="E623" s="7"/>
      <c r="F623" s="7"/>
      <c r="G623" s="7"/>
      <c r="H623" s="7"/>
      <c r="I623" s="7"/>
      <c r="J623" s="8"/>
      <c r="K623" s="9"/>
    </row>
    <row r="624">
      <c r="A624" s="6"/>
      <c r="B624" s="7"/>
      <c r="C624" s="7"/>
      <c r="D624" s="7"/>
      <c r="E624" s="7"/>
      <c r="F624" s="7"/>
      <c r="G624" s="7"/>
      <c r="H624" s="7"/>
      <c r="I624" s="7"/>
      <c r="J624" s="8"/>
      <c r="K624" s="9"/>
    </row>
    <row r="625">
      <c r="A625" s="6"/>
      <c r="B625" s="7"/>
      <c r="C625" s="7"/>
      <c r="D625" s="7"/>
      <c r="E625" s="7"/>
      <c r="F625" s="7"/>
      <c r="G625" s="7"/>
      <c r="H625" s="7"/>
      <c r="I625" s="7"/>
      <c r="J625" s="8"/>
      <c r="K625" s="9"/>
    </row>
    <row r="626">
      <c r="A626" s="6"/>
      <c r="B626" s="7"/>
      <c r="C626" s="7"/>
      <c r="D626" s="7"/>
      <c r="E626" s="7"/>
      <c r="F626" s="7"/>
      <c r="G626" s="7"/>
      <c r="H626" s="7"/>
      <c r="I626" s="7"/>
      <c r="J626" s="8"/>
      <c r="K626" s="9"/>
    </row>
    <row r="627">
      <c r="A627" s="6"/>
      <c r="B627" s="7"/>
      <c r="C627" s="7"/>
      <c r="D627" s="7"/>
      <c r="E627" s="7"/>
      <c r="F627" s="7"/>
      <c r="G627" s="7"/>
      <c r="H627" s="7"/>
      <c r="I627" s="7"/>
      <c r="J627" s="8"/>
      <c r="K627" s="9"/>
    </row>
    <row r="628">
      <c r="A628" s="6"/>
      <c r="B628" s="7"/>
      <c r="C628" s="7"/>
      <c r="D628" s="7"/>
      <c r="E628" s="7"/>
      <c r="F628" s="7"/>
      <c r="G628" s="7"/>
      <c r="H628" s="7"/>
      <c r="I628" s="7"/>
      <c r="J628" s="8"/>
      <c r="K628" s="9"/>
    </row>
    <row r="629">
      <c r="A629" s="6"/>
      <c r="B629" s="7"/>
      <c r="C629" s="7"/>
      <c r="D629" s="7"/>
      <c r="E629" s="7"/>
      <c r="F629" s="7"/>
      <c r="G629" s="7"/>
      <c r="H629" s="7"/>
      <c r="I629" s="7"/>
      <c r="J629" s="8"/>
      <c r="K629" s="9"/>
    </row>
    <row r="630">
      <c r="A630" s="6"/>
      <c r="B630" s="7"/>
      <c r="C630" s="7"/>
      <c r="D630" s="7"/>
      <c r="E630" s="7"/>
      <c r="F630" s="7"/>
      <c r="G630" s="7"/>
      <c r="H630" s="7"/>
      <c r="I630" s="7"/>
      <c r="J630" s="8"/>
      <c r="K630" s="9"/>
    </row>
    <row r="631">
      <c r="A631" s="6"/>
      <c r="B631" s="7"/>
      <c r="C631" s="7"/>
      <c r="D631" s="7"/>
      <c r="E631" s="7"/>
      <c r="F631" s="7"/>
      <c r="G631" s="7"/>
      <c r="H631" s="7"/>
      <c r="I631" s="7"/>
      <c r="J631" s="8"/>
      <c r="K631" s="9"/>
    </row>
    <row r="632">
      <c r="A632" s="6"/>
      <c r="B632" s="7"/>
      <c r="C632" s="7"/>
      <c r="D632" s="7"/>
      <c r="E632" s="7"/>
      <c r="F632" s="7"/>
      <c r="G632" s="7"/>
      <c r="H632" s="7"/>
      <c r="I632" s="7"/>
      <c r="J632" s="8"/>
      <c r="K632" s="9"/>
    </row>
    <row r="633">
      <c r="A633" s="6"/>
      <c r="B633" s="7"/>
      <c r="C633" s="7"/>
      <c r="D633" s="7"/>
      <c r="E633" s="7"/>
      <c r="F633" s="7"/>
      <c r="G633" s="7"/>
      <c r="H633" s="7"/>
      <c r="I633" s="7"/>
      <c r="J633" s="8"/>
      <c r="K633" s="9"/>
    </row>
    <row r="634">
      <c r="A634" s="6"/>
      <c r="B634" s="7"/>
      <c r="C634" s="7"/>
      <c r="D634" s="7"/>
      <c r="E634" s="7"/>
      <c r="F634" s="7"/>
      <c r="G634" s="7"/>
      <c r="H634" s="7"/>
      <c r="I634" s="7"/>
      <c r="J634" s="8"/>
      <c r="K634" s="9"/>
    </row>
    <row r="635">
      <c r="A635" s="6"/>
      <c r="B635" s="7"/>
      <c r="C635" s="7"/>
      <c r="D635" s="7"/>
      <c r="E635" s="7"/>
      <c r="F635" s="7"/>
      <c r="G635" s="7"/>
      <c r="H635" s="7"/>
      <c r="I635" s="7"/>
      <c r="J635" s="8"/>
      <c r="K635" s="9"/>
    </row>
    <row r="636">
      <c r="A636" s="6"/>
      <c r="B636" s="7"/>
      <c r="C636" s="7"/>
      <c r="D636" s="7"/>
      <c r="E636" s="7"/>
      <c r="F636" s="7"/>
      <c r="G636" s="7"/>
      <c r="H636" s="7"/>
      <c r="I636" s="7"/>
      <c r="J636" s="8"/>
      <c r="K636" s="9"/>
    </row>
    <row r="637">
      <c r="A637" s="6"/>
      <c r="B637" s="7"/>
      <c r="C637" s="7"/>
      <c r="D637" s="7"/>
      <c r="E637" s="7"/>
      <c r="F637" s="7"/>
      <c r="G637" s="7"/>
      <c r="H637" s="7"/>
      <c r="I637" s="7"/>
      <c r="J637" s="8"/>
      <c r="K637" s="9"/>
    </row>
    <row r="638">
      <c r="A638" s="6"/>
      <c r="B638" s="7"/>
      <c r="C638" s="7"/>
      <c r="D638" s="7"/>
      <c r="E638" s="7"/>
      <c r="F638" s="7"/>
      <c r="G638" s="7"/>
      <c r="H638" s="7"/>
      <c r="I638" s="7"/>
      <c r="J638" s="8"/>
      <c r="K638" s="9"/>
    </row>
    <row r="639">
      <c r="A639" s="6"/>
      <c r="B639" s="7"/>
      <c r="C639" s="7"/>
      <c r="D639" s="7"/>
      <c r="E639" s="7"/>
      <c r="F639" s="7"/>
      <c r="G639" s="7"/>
      <c r="H639" s="7"/>
      <c r="I639" s="7"/>
      <c r="J639" s="8"/>
      <c r="K639" s="9"/>
    </row>
    <row r="640">
      <c r="A640" s="6"/>
      <c r="B640" s="7"/>
      <c r="C640" s="7"/>
      <c r="D640" s="7"/>
      <c r="E640" s="7"/>
      <c r="F640" s="7"/>
      <c r="G640" s="7"/>
      <c r="H640" s="7"/>
      <c r="I640" s="7"/>
      <c r="J640" s="8"/>
      <c r="K640" s="9"/>
    </row>
    <row r="641">
      <c r="A641" s="6"/>
      <c r="B641" s="7"/>
      <c r="C641" s="7"/>
      <c r="D641" s="7"/>
      <c r="E641" s="7"/>
      <c r="F641" s="7"/>
      <c r="G641" s="7"/>
      <c r="H641" s="7"/>
      <c r="I641" s="7"/>
      <c r="J641" s="8"/>
      <c r="K641" s="9"/>
    </row>
    <row r="642">
      <c r="A642" s="6"/>
      <c r="B642" s="7"/>
      <c r="C642" s="7"/>
      <c r="D642" s="7"/>
      <c r="E642" s="7"/>
      <c r="F642" s="7"/>
      <c r="G642" s="7"/>
      <c r="H642" s="7"/>
      <c r="I642" s="7"/>
      <c r="J642" s="8"/>
      <c r="K642" s="9"/>
    </row>
    <row r="643">
      <c r="A643" s="6"/>
      <c r="B643" s="7"/>
      <c r="C643" s="7"/>
      <c r="D643" s="7"/>
      <c r="E643" s="7"/>
      <c r="F643" s="7"/>
      <c r="G643" s="7"/>
      <c r="H643" s="7"/>
      <c r="I643" s="7"/>
      <c r="J643" s="8"/>
      <c r="K643" s="9"/>
    </row>
    <row r="644">
      <c r="A644" s="6"/>
      <c r="B644" s="7"/>
      <c r="C644" s="7"/>
      <c r="D644" s="7"/>
      <c r="E644" s="7"/>
      <c r="F644" s="7"/>
      <c r="G644" s="7"/>
      <c r="H644" s="7"/>
      <c r="I644" s="7"/>
      <c r="J644" s="8"/>
      <c r="K644" s="9"/>
    </row>
    <row r="645">
      <c r="A645" s="6"/>
      <c r="B645" s="7"/>
      <c r="C645" s="7"/>
      <c r="D645" s="7"/>
      <c r="E645" s="7"/>
      <c r="F645" s="7"/>
      <c r="G645" s="7"/>
      <c r="H645" s="7"/>
      <c r="I645" s="7"/>
      <c r="J645" s="8"/>
      <c r="K645" s="9"/>
    </row>
    <row r="646">
      <c r="A646" s="6"/>
      <c r="B646" s="7"/>
      <c r="C646" s="7"/>
      <c r="D646" s="7"/>
      <c r="E646" s="7"/>
      <c r="F646" s="7"/>
      <c r="G646" s="7"/>
      <c r="H646" s="7"/>
      <c r="I646" s="7"/>
      <c r="J646" s="8"/>
      <c r="K646" s="9"/>
    </row>
    <row r="647">
      <c r="A647" s="6"/>
      <c r="B647" s="7"/>
      <c r="C647" s="7"/>
      <c r="D647" s="7"/>
      <c r="E647" s="7"/>
      <c r="F647" s="7"/>
      <c r="G647" s="7"/>
      <c r="H647" s="7"/>
      <c r="I647" s="7"/>
      <c r="J647" s="8"/>
      <c r="K647" s="9"/>
    </row>
    <row r="648">
      <c r="A648" s="6"/>
      <c r="B648" s="7"/>
      <c r="C648" s="7"/>
      <c r="D648" s="7"/>
      <c r="E648" s="7"/>
      <c r="F648" s="7"/>
      <c r="G648" s="7"/>
      <c r="H648" s="7"/>
      <c r="I648" s="7"/>
      <c r="J648" s="8"/>
      <c r="K648" s="9"/>
    </row>
    <row r="649">
      <c r="A649" s="6"/>
      <c r="B649" s="7"/>
      <c r="C649" s="7"/>
      <c r="D649" s="7"/>
      <c r="E649" s="7"/>
      <c r="F649" s="7"/>
      <c r="G649" s="7"/>
      <c r="H649" s="7"/>
      <c r="I649" s="7"/>
      <c r="J649" s="8"/>
      <c r="K649" s="9"/>
    </row>
    <row r="650">
      <c r="A650" s="6"/>
      <c r="B650" s="7"/>
      <c r="C650" s="7"/>
      <c r="D650" s="7"/>
      <c r="E650" s="7"/>
      <c r="F650" s="7"/>
      <c r="G650" s="7"/>
      <c r="H650" s="7"/>
      <c r="I650" s="7"/>
      <c r="J650" s="8"/>
      <c r="K650" s="9"/>
    </row>
    <row r="651">
      <c r="A651" s="6"/>
      <c r="B651" s="7"/>
      <c r="C651" s="7"/>
      <c r="D651" s="7"/>
      <c r="E651" s="7"/>
      <c r="F651" s="7"/>
      <c r="G651" s="7"/>
      <c r="H651" s="7"/>
      <c r="I651" s="7"/>
      <c r="J651" s="8"/>
      <c r="K651" s="9"/>
    </row>
    <row r="652">
      <c r="A652" s="6"/>
      <c r="B652" s="7"/>
      <c r="C652" s="7"/>
      <c r="D652" s="7"/>
      <c r="E652" s="7"/>
      <c r="F652" s="7"/>
      <c r="G652" s="7"/>
      <c r="H652" s="7"/>
      <c r="I652" s="7"/>
      <c r="J652" s="8"/>
      <c r="K652" s="9"/>
    </row>
    <row r="653">
      <c r="A653" s="6"/>
      <c r="B653" s="7"/>
      <c r="C653" s="7"/>
      <c r="D653" s="7"/>
      <c r="E653" s="7"/>
      <c r="F653" s="7"/>
      <c r="G653" s="7"/>
      <c r="H653" s="7"/>
      <c r="I653" s="7"/>
      <c r="J653" s="8"/>
      <c r="K653" s="9"/>
    </row>
    <row r="654">
      <c r="A654" s="6"/>
      <c r="B654" s="7"/>
      <c r="C654" s="7"/>
      <c r="D654" s="7"/>
      <c r="E654" s="7"/>
      <c r="F654" s="7"/>
      <c r="G654" s="7"/>
      <c r="H654" s="7"/>
      <c r="I654" s="7"/>
      <c r="J654" s="8"/>
      <c r="K654" s="9"/>
    </row>
    <row r="655">
      <c r="A655" s="6"/>
      <c r="B655" s="7"/>
      <c r="C655" s="7"/>
      <c r="D655" s="7"/>
      <c r="E655" s="7"/>
      <c r="F655" s="7"/>
      <c r="G655" s="7"/>
      <c r="H655" s="7"/>
      <c r="I655" s="7"/>
      <c r="J655" s="8"/>
      <c r="K655" s="9"/>
    </row>
    <row r="656">
      <c r="A656" s="6"/>
      <c r="B656" s="7"/>
      <c r="C656" s="7"/>
      <c r="D656" s="7"/>
      <c r="E656" s="7"/>
      <c r="F656" s="7"/>
      <c r="G656" s="7"/>
      <c r="H656" s="7"/>
      <c r="I656" s="7"/>
      <c r="J656" s="8"/>
      <c r="K656" s="9"/>
    </row>
    <row r="657">
      <c r="A657" s="6"/>
      <c r="B657" s="7"/>
      <c r="C657" s="7"/>
      <c r="D657" s="7"/>
      <c r="E657" s="7"/>
      <c r="F657" s="7"/>
      <c r="G657" s="7"/>
      <c r="H657" s="7"/>
      <c r="I657" s="7"/>
      <c r="J657" s="8"/>
      <c r="K657" s="9"/>
    </row>
    <row r="658">
      <c r="A658" s="6"/>
      <c r="B658" s="7"/>
      <c r="C658" s="7"/>
      <c r="D658" s="7"/>
      <c r="E658" s="7"/>
      <c r="F658" s="7"/>
      <c r="G658" s="7"/>
      <c r="H658" s="7"/>
      <c r="I658" s="7"/>
      <c r="J658" s="8"/>
      <c r="K658" s="9"/>
    </row>
    <row r="659">
      <c r="A659" s="6"/>
      <c r="B659" s="7"/>
      <c r="C659" s="7"/>
      <c r="D659" s="7"/>
      <c r="E659" s="7"/>
      <c r="F659" s="7"/>
      <c r="G659" s="7"/>
      <c r="H659" s="7"/>
      <c r="I659" s="7"/>
      <c r="J659" s="8"/>
      <c r="K659" s="9"/>
    </row>
    <row r="660">
      <c r="A660" s="6"/>
      <c r="B660" s="7"/>
      <c r="C660" s="7"/>
      <c r="D660" s="7"/>
      <c r="E660" s="7"/>
      <c r="F660" s="7"/>
      <c r="G660" s="7"/>
      <c r="H660" s="7"/>
      <c r="I660" s="7"/>
      <c r="J660" s="8"/>
      <c r="K660" s="9"/>
    </row>
    <row r="661">
      <c r="A661" s="6"/>
      <c r="B661" s="7"/>
      <c r="C661" s="7"/>
      <c r="D661" s="7"/>
      <c r="E661" s="7"/>
      <c r="F661" s="7"/>
      <c r="G661" s="7"/>
      <c r="H661" s="7"/>
      <c r="I661" s="7"/>
      <c r="J661" s="8"/>
      <c r="K661" s="9"/>
    </row>
    <row r="662">
      <c r="A662" s="6"/>
      <c r="B662" s="7"/>
      <c r="C662" s="7"/>
      <c r="D662" s="7"/>
      <c r="E662" s="7"/>
      <c r="F662" s="7"/>
      <c r="G662" s="7"/>
      <c r="H662" s="7"/>
      <c r="I662" s="7"/>
      <c r="J662" s="8"/>
      <c r="K662" s="9"/>
    </row>
    <row r="663">
      <c r="A663" s="6"/>
      <c r="B663" s="7"/>
      <c r="C663" s="7"/>
      <c r="D663" s="7"/>
      <c r="E663" s="7"/>
      <c r="F663" s="7"/>
      <c r="G663" s="7"/>
      <c r="H663" s="7"/>
      <c r="I663" s="7"/>
      <c r="J663" s="8"/>
      <c r="K663" s="9"/>
    </row>
    <row r="664">
      <c r="A664" s="6"/>
      <c r="B664" s="7"/>
      <c r="C664" s="7"/>
      <c r="D664" s="7"/>
      <c r="E664" s="7"/>
      <c r="F664" s="7"/>
      <c r="G664" s="7"/>
      <c r="H664" s="7"/>
      <c r="I664" s="7"/>
      <c r="J664" s="8"/>
      <c r="K664" s="9"/>
    </row>
    <row r="665">
      <c r="A665" s="6"/>
      <c r="B665" s="7"/>
      <c r="C665" s="7"/>
      <c r="D665" s="7"/>
      <c r="E665" s="7"/>
      <c r="F665" s="7"/>
      <c r="G665" s="7"/>
      <c r="H665" s="7"/>
      <c r="I665" s="7"/>
      <c r="J665" s="8"/>
      <c r="K665" s="9"/>
    </row>
    <row r="666">
      <c r="A666" s="6"/>
      <c r="B666" s="7"/>
      <c r="C666" s="7"/>
      <c r="D666" s="7"/>
      <c r="E666" s="7"/>
      <c r="F666" s="7"/>
      <c r="G666" s="7"/>
      <c r="H666" s="7"/>
      <c r="I666" s="7"/>
      <c r="J666" s="8"/>
      <c r="K666" s="9"/>
    </row>
    <row r="667">
      <c r="A667" s="6"/>
      <c r="B667" s="7"/>
      <c r="C667" s="7"/>
      <c r="D667" s="7"/>
      <c r="E667" s="7"/>
      <c r="F667" s="7"/>
      <c r="G667" s="7"/>
      <c r="H667" s="7"/>
      <c r="I667" s="7"/>
      <c r="J667" s="8"/>
      <c r="K667" s="9"/>
    </row>
    <row r="668">
      <c r="A668" s="6"/>
      <c r="B668" s="7"/>
      <c r="C668" s="7"/>
      <c r="D668" s="7"/>
      <c r="E668" s="7"/>
      <c r="F668" s="7"/>
      <c r="G668" s="7"/>
      <c r="H668" s="7"/>
      <c r="I668" s="7"/>
      <c r="J668" s="8"/>
      <c r="K668" s="9"/>
    </row>
    <row r="669">
      <c r="A669" s="6"/>
      <c r="B669" s="7"/>
      <c r="C669" s="7"/>
      <c r="D669" s="7"/>
      <c r="E669" s="7"/>
      <c r="F669" s="7"/>
      <c r="G669" s="7"/>
      <c r="H669" s="7"/>
      <c r="I669" s="7"/>
      <c r="J669" s="8"/>
      <c r="K669" s="9"/>
    </row>
    <row r="670">
      <c r="A670" s="6"/>
      <c r="B670" s="7"/>
      <c r="C670" s="7"/>
      <c r="D670" s="7"/>
      <c r="E670" s="7"/>
      <c r="F670" s="7"/>
      <c r="G670" s="7"/>
      <c r="H670" s="7"/>
      <c r="I670" s="7"/>
      <c r="J670" s="8"/>
      <c r="K670" s="9"/>
    </row>
    <row r="671">
      <c r="A671" s="6"/>
      <c r="B671" s="7"/>
      <c r="C671" s="7"/>
      <c r="D671" s="7"/>
      <c r="E671" s="7"/>
      <c r="F671" s="7"/>
      <c r="G671" s="7"/>
      <c r="H671" s="7"/>
      <c r="I671" s="7"/>
      <c r="J671" s="8"/>
      <c r="K671" s="9"/>
    </row>
    <row r="672">
      <c r="A672" s="6"/>
      <c r="B672" s="7"/>
      <c r="C672" s="7"/>
      <c r="D672" s="7"/>
      <c r="E672" s="7"/>
      <c r="F672" s="7"/>
      <c r="G672" s="7"/>
      <c r="H672" s="7"/>
      <c r="I672" s="7"/>
      <c r="J672" s="8"/>
      <c r="K672" s="9"/>
    </row>
    <row r="673">
      <c r="A673" s="6"/>
      <c r="B673" s="7"/>
      <c r="C673" s="7"/>
      <c r="D673" s="7"/>
      <c r="E673" s="7"/>
      <c r="F673" s="7"/>
      <c r="G673" s="7"/>
      <c r="H673" s="7"/>
      <c r="I673" s="7"/>
      <c r="J673" s="8"/>
      <c r="K673" s="9"/>
    </row>
    <row r="674">
      <c r="A674" s="6"/>
      <c r="B674" s="7"/>
      <c r="C674" s="7"/>
      <c r="D674" s="7"/>
      <c r="E674" s="7"/>
      <c r="F674" s="7"/>
      <c r="G674" s="7"/>
      <c r="H674" s="7"/>
      <c r="I674" s="7"/>
      <c r="J674" s="8"/>
      <c r="K674" s="9"/>
    </row>
    <row r="675">
      <c r="A675" s="6"/>
      <c r="B675" s="7"/>
      <c r="C675" s="7"/>
      <c r="D675" s="7"/>
      <c r="E675" s="7"/>
      <c r="F675" s="7"/>
      <c r="G675" s="7"/>
      <c r="H675" s="7"/>
      <c r="I675" s="7"/>
      <c r="J675" s="8"/>
      <c r="K675" s="9"/>
    </row>
    <row r="676">
      <c r="A676" s="6"/>
      <c r="B676" s="7"/>
      <c r="C676" s="7"/>
      <c r="D676" s="7"/>
      <c r="E676" s="7"/>
      <c r="F676" s="7"/>
      <c r="G676" s="7"/>
      <c r="H676" s="7"/>
      <c r="I676" s="7"/>
      <c r="J676" s="8"/>
      <c r="K676" s="9"/>
    </row>
    <row r="677">
      <c r="A677" s="6"/>
      <c r="B677" s="7"/>
      <c r="C677" s="7"/>
      <c r="D677" s="7"/>
      <c r="E677" s="7"/>
      <c r="F677" s="7"/>
      <c r="G677" s="7"/>
      <c r="H677" s="7"/>
      <c r="I677" s="7"/>
      <c r="J677" s="8"/>
      <c r="K677" s="9"/>
    </row>
    <row r="678">
      <c r="A678" s="6"/>
      <c r="B678" s="7"/>
      <c r="C678" s="7"/>
      <c r="D678" s="7"/>
      <c r="E678" s="7"/>
      <c r="F678" s="7"/>
      <c r="G678" s="7"/>
      <c r="H678" s="7"/>
      <c r="I678" s="7"/>
      <c r="J678" s="8"/>
      <c r="K678" s="9"/>
    </row>
    <row r="679">
      <c r="A679" s="6"/>
      <c r="B679" s="7"/>
      <c r="C679" s="7"/>
      <c r="D679" s="7"/>
      <c r="E679" s="7"/>
      <c r="F679" s="7"/>
      <c r="G679" s="7"/>
      <c r="H679" s="7"/>
      <c r="I679" s="7"/>
      <c r="J679" s="8"/>
      <c r="K679" s="9"/>
    </row>
    <row r="680">
      <c r="A680" s="6"/>
      <c r="B680" s="7"/>
      <c r="C680" s="7"/>
      <c r="D680" s="7"/>
      <c r="E680" s="7"/>
      <c r="F680" s="7"/>
      <c r="G680" s="7"/>
      <c r="H680" s="7"/>
      <c r="I680" s="7"/>
      <c r="J680" s="8"/>
      <c r="K680" s="9"/>
    </row>
    <row r="681">
      <c r="A681" s="6"/>
      <c r="B681" s="7"/>
      <c r="C681" s="7"/>
      <c r="D681" s="7"/>
      <c r="E681" s="7"/>
      <c r="F681" s="7"/>
      <c r="G681" s="7"/>
      <c r="H681" s="7"/>
      <c r="I681" s="7"/>
      <c r="J681" s="8"/>
      <c r="K681" s="9"/>
    </row>
    <row r="682">
      <c r="A682" s="6"/>
      <c r="B682" s="7"/>
      <c r="C682" s="7"/>
      <c r="D682" s="7"/>
      <c r="E682" s="7"/>
      <c r="F682" s="7"/>
      <c r="G682" s="7"/>
      <c r="H682" s="7"/>
      <c r="I682" s="7"/>
      <c r="J682" s="8"/>
      <c r="K682" s="9"/>
    </row>
    <row r="683">
      <c r="A683" s="6"/>
      <c r="B683" s="7"/>
      <c r="C683" s="7"/>
      <c r="D683" s="7"/>
      <c r="E683" s="7"/>
      <c r="F683" s="7"/>
      <c r="G683" s="7"/>
      <c r="H683" s="7"/>
      <c r="I683" s="7"/>
      <c r="J683" s="8"/>
      <c r="K683" s="9"/>
    </row>
    <row r="684">
      <c r="A684" s="6"/>
      <c r="B684" s="7"/>
      <c r="C684" s="7"/>
      <c r="D684" s="7"/>
      <c r="E684" s="7"/>
      <c r="F684" s="7"/>
      <c r="G684" s="7"/>
      <c r="H684" s="7"/>
      <c r="I684" s="7"/>
      <c r="J684" s="8"/>
      <c r="K684" s="9"/>
    </row>
    <row r="685">
      <c r="A685" s="6"/>
      <c r="B685" s="7"/>
      <c r="C685" s="7"/>
      <c r="D685" s="7"/>
      <c r="E685" s="7"/>
      <c r="F685" s="7"/>
      <c r="G685" s="7"/>
      <c r="H685" s="7"/>
      <c r="I685" s="7"/>
      <c r="J685" s="8"/>
      <c r="K685" s="9"/>
    </row>
    <row r="686">
      <c r="A686" s="6"/>
      <c r="B686" s="7"/>
      <c r="C686" s="7"/>
      <c r="D686" s="7"/>
      <c r="E686" s="7"/>
      <c r="F686" s="7"/>
      <c r="G686" s="7"/>
      <c r="H686" s="7"/>
      <c r="I686" s="7"/>
      <c r="J686" s="8"/>
      <c r="K686" s="9"/>
    </row>
    <row r="687">
      <c r="A687" s="6"/>
      <c r="B687" s="7"/>
      <c r="C687" s="7"/>
      <c r="D687" s="7"/>
      <c r="E687" s="7"/>
      <c r="F687" s="7"/>
      <c r="G687" s="7"/>
      <c r="H687" s="7"/>
      <c r="I687" s="7"/>
      <c r="J687" s="8"/>
      <c r="K687" s="9"/>
    </row>
    <row r="688">
      <c r="A688" s="6"/>
      <c r="B688" s="7"/>
      <c r="C688" s="7"/>
      <c r="D688" s="7"/>
      <c r="E688" s="7"/>
      <c r="F688" s="7"/>
      <c r="G688" s="7"/>
      <c r="H688" s="7"/>
      <c r="I688" s="7"/>
      <c r="J688" s="8"/>
      <c r="K688" s="9"/>
    </row>
    <row r="689">
      <c r="A689" s="6"/>
      <c r="B689" s="7"/>
      <c r="C689" s="7"/>
      <c r="D689" s="7"/>
      <c r="E689" s="7"/>
      <c r="F689" s="7"/>
      <c r="G689" s="7"/>
      <c r="H689" s="7"/>
      <c r="I689" s="7"/>
      <c r="J689" s="8"/>
      <c r="K689" s="9"/>
    </row>
    <row r="690">
      <c r="A690" s="6"/>
      <c r="B690" s="7"/>
      <c r="C690" s="7"/>
      <c r="D690" s="7"/>
      <c r="E690" s="7"/>
      <c r="F690" s="7"/>
      <c r="G690" s="7"/>
      <c r="H690" s="7"/>
      <c r="I690" s="7"/>
      <c r="J690" s="8"/>
      <c r="K690" s="9"/>
    </row>
    <row r="691">
      <c r="A691" s="6"/>
      <c r="B691" s="7"/>
      <c r="C691" s="7"/>
      <c r="D691" s="7"/>
      <c r="E691" s="7"/>
      <c r="F691" s="7"/>
      <c r="G691" s="7"/>
      <c r="H691" s="7"/>
      <c r="I691" s="7"/>
      <c r="J691" s="8"/>
      <c r="K691" s="9"/>
    </row>
    <row r="692">
      <c r="A692" s="6"/>
      <c r="B692" s="7"/>
      <c r="C692" s="7"/>
      <c r="D692" s="7"/>
      <c r="E692" s="7"/>
      <c r="F692" s="7"/>
      <c r="G692" s="7"/>
      <c r="H692" s="7"/>
      <c r="I692" s="7"/>
      <c r="J692" s="8"/>
      <c r="K692" s="9"/>
    </row>
    <row r="693">
      <c r="A693" s="6"/>
      <c r="B693" s="7"/>
      <c r="C693" s="7"/>
      <c r="D693" s="7"/>
      <c r="E693" s="7"/>
      <c r="F693" s="7"/>
      <c r="G693" s="7"/>
      <c r="H693" s="7"/>
      <c r="I693" s="7"/>
      <c r="J693" s="8"/>
      <c r="K693" s="9"/>
    </row>
    <row r="694">
      <c r="A694" s="6"/>
      <c r="B694" s="7"/>
      <c r="C694" s="7"/>
      <c r="D694" s="7"/>
      <c r="E694" s="7"/>
      <c r="F694" s="7"/>
      <c r="G694" s="7"/>
      <c r="H694" s="7"/>
      <c r="I694" s="7"/>
      <c r="J694" s="8"/>
      <c r="K694" s="9"/>
    </row>
    <row r="695">
      <c r="A695" s="6"/>
      <c r="B695" s="7"/>
      <c r="C695" s="7"/>
      <c r="D695" s="7"/>
      <c r="E695" s="7"/>
      <c r="F695" s="7"/>
      <c r="G695" s="7"/>
      <c r="H695" s="7"/>
      <c r="I695" s="7"/>
      <c r="J695" s="8"/>
      <c r="K695" s="9"/>
    </row>
    <row r="696">
      <c r="A696" s="6"/>
      <c r="B696" s="7"/>
      <c r="C696" s="7"/>
      <c r="D696" s="7"/>
      <c r="E696" s="7"/>
      <c r="F696" s="7"/>
      <c r="G696" s="7"/>
      <c r="H696" s="7"/>
      <c r="I696" s="7"/>
      <c r="J696" s="8"/>
      <c r="K696" s="9"/>
    </row>
    <row r="697">
      <c r="A697" s="6"/>
      <c r="B697" s="7"/>
      <c r="C697" s="7"/>
      <c r="D697" s="7"/>
      <c r="E697" s="7"/>
      <c r="F697" s="7"/>
      <c r="G697" s="7"/>
      <c r="H697" s="7"/>
      <c r="I697" s="7"/>
      <c r="J697" s="8"/>
      <c r="K697" s="9"/>
    </row>
    <row r="698">
      <c r="A698" s="6"/>
      <c r="B698" s="7"/>
      <c r="C698" s="7"/>
      <c r="D698" s="7"/>
      <c r="E698" s="7"/>
      <c r="F698" s="7"/>
      <c r="G698" s="7"/>
      <c r="H698" s="7"/>
      <c r="I698" s="7"/>
      <c r="J698" s="8"/>
      <c r="K698" s="9"/>
    </row>
    <row r="699">
      <c r="A699" s="6"/>
      <c r="B699" s="7"/>
      <c r="C699" s="7"/>
      <c r="D699" s="7"/>
      <c r="E699" s="7"/>
      <c r="F699" s="7"/>
      <c r="G699" s="7"/>
      <c r="H699" s="7"/>
      <c r="I699" s="7"/>
      <c r="J699" s="8"/>
      <c r="K699" s="9"/>
    </row>
    <row r="700">
      <c r="A700" s="6"/>
      <c r="B700" s="7"/>
      <c r="C700" s="7"/>
      <c r="D700" s="7"/>
      <c r="E700" s="7"/>
      <c r="F700" s="7"/>
      <c r="G700" s="7"/>
      <c r="H700" s="7"/>
      <c r="I700" s="7"/>
      <c r="J700" s="8"/>
      <c r="K700" s="9"/>
    </row>
    <row r="701">
      <c r="A701" s="6"/>
      <c r="B701" s="7"/>
      <c r="C701" s="7"/>
      <c r="D701" s="7"/>
      <c r="E701" s="7"/>
      <c r="F701" s="7"/>
      <c r="G701" s="7"/>
      <c r="H701" s="7"/>
      <c r="I701" s="7"/>
      <c r="J701" s="8"/>
      <c r="K701" s="9"/>
    </row>
    <row r="702">
      <c r="A702" s="6"/>
      <c r="B702" s="7"/>
      <c r="C702" s="7"/>
      <c r="D702" s="7"/>
      <c r="E702" s="7"/>
      <c r="F702" s="7"/>
      <c r="G702" s="7"/>
      <c r="H702" s="7"/>
      <c r="I702" s="7"/>
      <c r="J702" s="8"/>
      <c r="K702" s="9"/>
    </row>
    <row r="703">
      <c r="A703" s="6"/>
      <c r="B703" s="7"/>
      <c r="C703" s="7"/>
      <c r="D703" s="7"/>
      <c r="E703" s="7"/>
      <c r="F703" s="7"/>
      <c r="G703" s="7"/>
      <c r="H703" s="7"/>
      <c r="I703" s="7"/>
      <c r="J703" s="8"/>
      <c r="K703" s="9"/>
    </row>
    <row r="704">
      <c r="A704" s="6"/>
      <c r="B704" s="7"/>
      <c r="C704" s="7"/>
      <c r="D704" s="7"/>
      <c r="E704" s="7"/>
      <c r="F704" s="7"/>
      <c r="G704" s="7"/>
      <c r="H704" s="7"/>
      <c r="I704" s="7"/>
      <c r="J704" s="8"/>
      <c r="K704" s="9"/>
    </row>
    <row r="705">
      <c r="A705" s="6"/>
      <c r="B705" s="7"/>
      <c r="C705" s="7"/>
      <c r="D705" s="7"/>
      <c r="E705" s="7"/>
      <c r="F705" s="7"/>
      <c r="G705" s="7"/>
      <c r="H705" s="7"/>
      <c r="I705" s="7"/>
      <c r="J705" s="8"/>
      <c r="K705" s="9"/>
    </row>
    <row r="706">
      <c r="A706" s="6"/>
      <c r="B706" s="7"/>
      <c r="C706" s="7"/>
      <c r="D706" s="7"/>
      <c r="E706" s="7"/>
      <c r="F706" s="7"/>
      <c r="G706" s="7"/>
      <c r="H706" s="7"/>
      <c r="I706" s="7"/>
      <c r="J706" s="8"/>
      <c r="K706" s="9"/>
    </row>
    <row r="707">
      <c r="A707" s="6"/>
      <c r="B707" s="7"/>
      <c r="C707" s="7"/>
      <c r="D707" s="7"/>
      <c r="E707" s="7"/>
      <c r="F707" s="7"/>
      <c r="G707" s="7"/>
      <c r="H707" s="7"/>
      <c r="I707" s="7"/>
      <c r="J707" s="8"/>
      <c r="K707" s="9"/>
    </row>
    <row r="708">
      <c r="A708" s="6"/>
      <c r="B708" s="7"/>
      <c r="C708" s="7"/>
      <c r="D708" s="7"/>
      <c r="E708" s="7"/>
      <c r="F708" s="7"/>
      <c r="G708" s="7"/>
      <c r="H708" s="7"/>
      <c r="I708" s="7"/>
      <c r="J708" s="8"/>
      <c r="K708" s="9"/>
    </row>
    <row r="709">
      <c r="A709" s="6"/>
      <c r="B709" s="7"/>
      <c r="C709" s="7"/>
      <c r="D709" s="7"/>
      <c r="E709" s="7"/>
      <c r="F709" s="7"/>
      <c r="G709" s="7"/>
      <c r="H709" s="7"/>
      <c r="I709" s="7"/>
      <c r="J709" s="8"/>
      <c r="K709" s="9"/>
    </row>
    <row r="710">
      <c r="A710" s="6"/>
      <c r="B710" s="7"/>
      <c r="C710" s="7"/>
      <c r="D710" s="7"/>
      <c r="E710" s="7"/>
      <c r="F710" s="7"/>
      <c r="G710" s="7"/>
      <c r="H710" s="7"/>
      <c r="I710" s="7"/>
      <c r="J710" s="8"/>
      <c r="K710" s="9"/>
    </row>
    <row r="711">
      <c r="A711" s="6"/>
      <c r="B711" s="7"/>
      <c r="C711" s="7"/>
      <c r="D711" s="7"/>
      <c r="E711" s="7"/>
      <c r="F711" s="7"/>
      <c r="G711" s="7"/>
      <c r="H711" s="7"/>
      <c r="I711" s="7"/>
      <c r="J711" s="8"/>
      <c r="K711" s="9"/>
    </row>
    <row r="712">
      <c r="A712" s="6"/>
      <c r="B712" s="7"/>
      <c r="C712" s="7"/>
      <c r="D712" s="7"/>
      <c r="E712" s="7"/>
      <c r="F712" s="7"/>
      <c r="G712" s="7"/>
      <c r="H712" s="7"/>
      <c r="I712" s="7"/>
      <c r="J712" s="8"/>
      <c r="K712" s="9"/>
    </row>
    <row r="713">
      <c r="A713" s="6"/>
      <c r="B713" s="7"/>
      <c r="C713" s="7"/>
      <c r="D713" s="7"/>
      <c r="E713" s="7"/>
      <c r="F713" s="7"/>
      <c r="G713" s="7"/>
      <c r="H713" s="7"/>
      <c r="I713" s="7"/>
      <c r="J713" s="8"/>
      <c r="K713" s="9"/>
    </row>
    <row r="714">
      <c r="A714" s="6"/>
      <c r="B714" s="7"/>
      <c r="C714" s="7"/>
      <c r="D714" s="7"/>
      <c r="E714" s="7"/>
      <c r="F714" s="7"/>
      <c r="G714" s="7"/>
      <c r="H714" s="7"/>
      <c r="I714" s="7"/>
      <c r="J714" s="8"/>
      <c r="K714" s="9"/>
    </row>
    <row r="715">
      <c r="A715" s="6"/>
      <c r="B715" s="7"/>
      <c r="C715" s="7"/>
      <c r="D715" s="7"/>
      <c r="E715" s="7"/>
      <c r="F715" s="7"/>
      <c r="G715" s="7"/>
      <c r="H715" s="7"/>
      <c r="I715" s="7"/>
      <c r="J715" s="8"/>
      <c r="K715" s="9"/>
    </row>
    <row r="716">
      <c r="A716" s="6"/>
      <c r="B716" s="7"/>
      <c r="C716" s="7"/>
      <c r="D716" s="7"/>
      <c r="E716" s="7"/>
      <c r="F716" s="7"/>
      <c r="G716" s="7"/>
      <c r="H716" s="7"/>
      <c r="I716" s="7"/>
      <c r="J716" s="8"/>
      <c r="K716" s="9"/>
    </row>
    <row r="717">
      <c r="A717" s="6"/>
      <c r="B717" s="7"/>
      <c r="C717" s="7"/>
      <c r="D717" s="7"/>
      <c r="E717" s="7"/>
      <c r="F717" s="7"/>
      <c r="G717" s="7"/>
      <c r="H717" s="7"/>
      <c r="I717" s="7"/>
      <c r="J717" s="8"/>
      <c r="K717" s="9"/>
    </row>
    <row r="718">
      <c r="A718" s="6"/>
      <c r="B718" s="7"/>
      <c r="C718" s="7"/>
      <c r="D718" s="7"/>
      <c r="E718" s="7"/>
      <c r="F718" s="7"/>
      <c r="G718" s="7"/>
      <c r="H718" s="7"/>
      <c r="I718" s="7"/>
      <c r="J718" s="8"/>
      <c r="K718" s="9"/>
    </row>
    <row r="719">
      <c r="A719" s="6"/>
      <c r="B719" s="7"/>
      <c r="C719" s="7"/>
      <c r="D719" s="7"/>
      <c r="E719" s="7"/>
      <c r="F719" s="7"/>
      <c r="G719" s="7"/>
      <c r="H719" s="7"/>
      <c r="I719" s="7"/>
      <c r="J719" s="8"/>
      <c r="K719" s="9"/>
    </row>
    <row r="720">
      <c r="A720" s="6"/>
      <c r="B720" s="7"/>
      <c r="C720" s="7"/>
      <c r="D720" s="7"/>
      <c r="E720" s="7"/>
      <c r="F720" s="7"/>
      <c r="G720" s="7"/>
      <c r="H720" s="7"/>
      <c r="I720" s="7"/>
      <c r="J720" s="8"/>
      <c r="K720" s="9"/>
    </row>
    <row r="721">
      <c r="A721" s="6"/>
      <c r="B721" s="7"/>
      <c r="C721" s="7"/>
      <c r="D721" s="7"/>
      <c r="E721" s="7"/>
      <c r="F721" s="7"/>
      <c r="G721" s="7"/>
      <c r="H721" s="7"/>
      <c r="I721" s="7"/>
      <c r="J721" s="8"/>
      <c r="K721" s="9"/>
    </row>
    <row r="722">
      <c r="A722" s="6"/>
      <c r="B722" s="7"/>
      <c r="C722" s="7"/>
      <c r="D722" s="7"/>
      <c r="E722" s="7"/>
      <c r="F722" s="7"/>
      <c r="G722" s="7"/>
      <c r="H722" s="7"/>
      <c r="I722" s="7"/>
      <c r="J722" s="8"/>
      <c r="K722" s="9"/>
    </row>
    <row r="723">
      <c r="A723" s="6"/>
      <c r="B723" s="7"/>
      <c r="C723" s="7"/>
      <c r="D723" s="7"/>
      <c r="E723" s="7"/>
      <c r="F723" s="7"/>
      <c r="G723" s="7"/>
      <c r="H723" s="7"/>
      <c r="I723" s="7"/>
      <c r="J723" s="8"/>
      <c r="K723" s="9"/>
    </row>
    <row r="724">
      <c r="A724" s="6"/>
      <c r="B724" s="7"/>
      <c r="C724" s="7"/>
      <c r="D724" s="7"/>
      <c r="E724" s="7"/>
      <c r="F724" s="7"/>
      <c r="G724" s="7"/>
      <c r="H724" s="7"/>
      <c r="I724" s="7"/>
      <c r="J724" s="8"/>
      <c r="K724" s="9"/>
    </row>
    <row r="725">
      <c r="A725" s="6"/>
      <c r="B725" s="7"/>
      <c r="C725" s="7"/>
      <c r="D725" s="7"/>
      <c r="E725" s="7"/>
      <c r="F725" s="7"/>
      <c r="G725" s="7"/>
      <c r="H725" s="7"/>
      <c r="I725" s="7"/>
      <c r="J725" s="8"/>
      <c r="K725" s="9"/>
    </row>
    <row r="726">
      <c r="A726" s="6"/>
      <c r="B726" s="7"/>
      <c r="C726" s="7"/>
      <c r="D726" s="7"/>
      <c r="E726" s="7"/>
      <c r="F726" s="7"/>
      <c r="G726" s="7"/>
      <c r="H726" s="7"/>
      <c r="I726" s="7"/>
      <c r="J726" s="8"/>
      <c r="K726" s="9"/>
    </row>
    <row r="727">
      <c r="A727" s="6"/>
      <c r="B727" s="7"/>
      <c r="C727" s="7"/>
      <c r="D727" s="7"/>
      <c r="E727" s="7"/>
      <c r="F727" s="7"/>
      <c r="G727" s="7"/>
      <c r="H727" s="7"/>
      <c r="I727" s="7"/>
      <c r="J727" s="8"/>
      <c r="K727" s="9"/>
    </row>
    <row r="728">
      <c r="A728" s="6"/>
      <c r="B728" s="7"/>
      <c r="C728" s="7"/>
      <c r="D728" s="7"/>
      <c r="E728" s="7"/>
      <c r="F728" s="7"/>
      <c r="G728" s="7"/>
      <c r="H728" s="7"/>
      <c r="I728" s="7"/>
      <c r="J728" s="8"/>
      <c r="K728" s="9"/>
    </row>
    <row r="729">
      <c r="A729" s="6"/>
      <c r="B729" s="7"/>
      <c r="C729" s="7"/>
      <c r="D729" s="7"/>
      <c r="E729" s="7"/>
      <c r="F729" s="7"/>
      <c r="G729" s="7"/>
      <c r="H729" s="7"/>
      <c r="I729" s="7"/>
      <c r="J729" s="8"/>
      <c r="K729" s="9"/>
    </row>
    <row r="730">
      <c r="A730" s="6"/>
      <c r="B730" s="7"/>
      <c r="C730" s="7"/>
      <c r="D730" s="7"/>
      <c r="E730" s="7"/>
      <c r="F730" s="7"/>
      <c r="G730" s="7"/>
      <c r="H730" s="7"/>
      <c r="I730" s="7"/>
      <c r="J730" s="8"/>
      <c r="K730" s="9"/>
    </row>
    <row r="731">
      <c r="A731" s="6"/>
      <c r="B731" s="7"/>
      <c r="C731" s="7"/>
      <c r="D731" s="7"/>
      <c r="E731" s="7"/>
      <c r="F731" s="7"/>
      <c r="G731" s="7"/>
      <c r="H731" s="7"/>
      <c r="I731" s="7"/>
      <c r="J731" s="8"/>
      <c r="K731" s="9"/>
    </row>
    <row r="732">
      <c r="A732" s="6"/>
      <c r="B732" s="7"/>
      <c r="C732" s="7"/>
      <c r="D732" s="7"/>
      <c r="E732" s="7"/>
      <c r="F732" s="7"/>
      <c r="G732" s="7"/>
      <c r="H732" s="7"/>
      <c r="I732" s="7"/>
      <c r="J732" s="8"/>
      <c r="K732" s="9"/>
    </row>
    <row r="733">
      <c r="A733" s="6"/>
      <c r="B733" s="7"/>
      <c r="C733" s="7"/>
      <c r="D733" s="7"/>
      <c r="E733" s="7"/>
      <c r="F733" s="7"/>
      <c r="G733" s="7"/>
      <c r="H733" s="7"/>
      <c r="I733" s="7"/>
      <c r="J733" s="8"/>
      <c r="K733" s="9"/>
    </row>
    <row r="734">
      <c r="A734" s="6"/>
      <c r="B734" s="7"/>
      <c r="C734" s="7"/>
      <c r="D734" s="7"/>
      <c r="E734" s="7"/>
      <c r="F734" s="7"/>
      <c r="G734" s="7"/>
      <c r="H734" s="7"/>
      <c r="I734" s="7"/>
      <c r="J734" s="8"/>
      <c r="K734" s="9"/>
    </row>
    <row r="735">
      <c r="A735" s="6"/>
      <c r="B735" s="7"/>
      <c r="C735" s="7"/>
      <c r="D735" s="7"/>
      <c r="E735" s="7"/>
      <c r="F735" s="7"/>
      <c r="G735" s="7"/>
      <c r="H735" s="7"/>
      <c r="I735" s="7"/>
      <c r="J735" s="8"/>
      <c r="K735" s="9"/>
    </row>
    <row r="736">
      <c r="A736" s="6"/>
      <c r="B736" s="7"/>
      <c r="C736" s="7"/>
      <c r="D736" s="7"/>
      <c r="E736" s="7"/>
      <c r="F736" s="7"/>
      <c r="G736" s="7"/>
      <c r="H736" s="7"/>
      <c r="I736" s="7"/>
      <c r="J736" s="8"/>
      <c r="K736" s="9"/>
    </row>
    <row r="737">
      <c r="A737" s="6"/>
      <c r="B737" s="7"/>
      <c r="C737" s="7"/>
      <c r="D737" s="7"/>
      <c r="E737" s="7"/>
      <c r="F737" s="7"/>
      <c r="G737" s="7"/>
      <c r="H737" s="7"/>
      <c r="I737" s="7"/>
      <c r="J737" s="8"/>
      <c r="K737" s="9"/>
    </row>
    <row r="738">
      <c r="A738" s="6"/>
      <c r="B738" s="7"/>
      <c r="C738" s="7"/>
      <c r="D738" s="7"/>
      <c r="E738" s="7"/>
      <c r="F738" s="7"/>
      <c r="G738" s="7"/>
      <c r="H738" s="7"/>
      <c r="I738" s="7"/>
      <c r="J738" s="8"/>
      <c r="K738" s="9"/>
    </row>
    <row r="739">
      <c r="A739" s="6"/>
      <c r="B739" s="7"/>
      <c r="C739" s="7"/>
      <c r="D739" s="7"/>
      <c r="E739" s="7"/>
      <c r="F739" s="7"/>
      <c r="G739" s="7"/>
      <c r="H739" s="7"/>
      <c r="I739" s="7"/>
      <c r="J739" s="8"/>
      <c r="K739" s="9"/>
    </row>
    <row r="740">
      <c r="A740" s="6"/>
      <c r="B740" s="7"/>
      <c r="C740" s="7"/>
      <c r="D740" s="7"/>
      <c r="E740" s="7"/>
      <c r="F740" s="7"/>
      <c r="G740" s="7"/>
      <c r="H740" s="7"/>
      <c r="I740" s="7"/>
      <c r="J740" s="8"/>
      <c r="K740" s="9"/>
    </row>
    <row r="741">
      <c r="A741" s="6"/>
      <c r="B741" s="7"/>
      <c r="C741" s="7"/>
      <c r="D741" s="7"/>
      <c r="E741" s="7"/>
      <c r="F741" s="7"/>
      <c r="G741" s="7"/>
      <c r="H741" s="7"/>
      <c r="I741" s="7"/>
      <c r="J741" s="8"/>
      <c r="K741" s="9"/>
    </row>
    <row r="742">
      <c r="A742" s="6"/>
      <c r="B742" s="7"/>
      <c r="C742" s="7"/>
      <c r="D742" s="7"/>
      <c r="E742" s="7"/>
      <c r="F742" s="7"/>
      <c r="G742" s="7"/>
      <c r="H742" s="7"/>
      <c r="I742" s="7"/>
      <c r="J742" s="8"/>
      <c r="K742" s="9"/>
    </row>
    <row r="743">
      <c r="A743" s="6"/>
      <c r="B743" s="7"/>
      <c r="C743" s="7"/>
      <c r="D743" s="7"/>
      <c r="E743" s="7"/>
      <c r="F743" s="7"/>
      <c r="G743" s="7"/>
      <c r="H743" s="7"/>
      <c r="I743" s="7"/>
      <c r="J743" s="8"/>
      <c r="K743" s="9"/>
    </row>
    <row r="744">
      <c r="A744" s="6"/>
      <c r="B744" s="7"/>
      <c r="C744" s="7"/>
      <c r="D744" s="7"/>
      <c r="E744" s="7"/>
      <c r="F744" s="7"/>
      <c r="G744" s="7"/>
      <c r="H744" s="7"/>
      <c r="I744" s="7"/>
      <c r="J744" s="8"/>
      <c r="K744" s="9"/>
    </row>
    <row r="745">
      <c r="A745" s="6"/>
      <c r="B745" s="7"/>
      <c r="C745" s="7"/>
      <c r="D745" s="7"/>
      <c r="E745" s="7"/>
      <c r="F745" s="7"/>
      <c r="G745" s="7"/>
      <c r="H745" s="7"/>
      <c r="I745" s="7"/>
      <c r="J745" s="8"/>
      <c r="K745" s="9"/>
    </row>
    <row r="746">
      <c r="A746" s="6"/>
      <c r="B746" s="7"/>
      <c r="C746" s="7"/>
      <c r="D746" s="7"/>
      <c r="E746" s="7"/>
      <c r="F746" s="7"/>
      <c r="G746" s="7"/>
      <c r="H746" s="7"/>
      <c r="I746" s="7"/>
      <c r="J746" s="8"/>
      <c r="K746" s="9"/>
    </row>
    <row r="747">
      <c r="A747" s="6"/>
      <c r="B747" s="7"/>
      <c r="C747" s="7"/>
      <c r="D747" s="7"/>
      <c r="E747" s="7"/>
      <c r="F747" s="7"/>
      <c r="G747" s="7"/>
      <c r="H747" s="7"/>
      <c r="I747" s="7"/>
      <c r="J747" s="8"/>
      <c r="K747" s="9"/>
    </row>
    <row r="748">
      <c r="A748" s="6"/>
      <c r="B748" s="7"/>
      <c r="C748" s="7"/>
      <c r="D748" s="7"/>
      <c r="E748" s="7"/>
      <c r="F748" s="7"/>
      <c r="G748" s="7"/>
      <c r="H748" s="7"/>
      <c r="I748" s="7"/>
      <c r="J748" s="8"/>
      <c r="K748" s="9"/>
    </row>
    <row r="749">
      <c r="A749" s="6"/>
      <c r="B749" s="7"/>
      <c r="C749" s="7"/>
      <c r="D749" s="7"/>
      <c r="E749" s="7"/>
      <c r="F749" s="7"/>
      <c r="G749" s="7"/>
      <c r="H749" s="7"/>
      <c r="I749" s="7"/>
      <c r="J749" s="8"/>
      <c r="K749" s="9"/>
    </row>
    <row r="750">
      <c r="A750" s="6"/>
      <c r="B750" s="7"/>
      <c r="C750" s="7"/>
      <c r="D750" s="7"/>
      <c r="E750" s="7"/>
      <c r="F750" s="7"/>
      <c r="G750" s="7"/>
      <c r="H750" s="7"/>
      <c r="I750" s="7"/>
      <c r="J750" s="8"/>
      <c r="K750" s="9"/>
    </row>
    <row r="751">
      <c r="A751" s="6"/>
      <c r="B751" s="7"/>
      <c r="C751" s="7"/>
      <c r="D751" s="7"/>
      <c r="E751" s="7"/>
      <c r="F751" s="7"/>
      <c r="G751" s="7"/>
      <c r="H751" s="7"/>
      <c r="I751" s="7"/>
      <c r="J751" s="8"/>
      <c r="K751" s="9"/>
    </row>
    <row r="752">
      <c r="A752" s="6"/>
      <c r="B752" s="7"/>
      <c r="C752" s="7"/>
      <c r="D752" s="7"/>
      <c r="E752" s="7"/>
      <c r="F752" s="7"/>
      <c r="G752" s="7"/>
      <c r="H752" s="7"/>
      <c r="I752" s="7"/>
      <c r="J752" s="8"/>
      <c r="K752" s="9"/>
    </row>
    <row r="753">
      <c r="A753" s="6"/>
      <c r="B753" s="7"/>
      <c r="C753" s="7"/>
      <c r="D753" s="7"/>
      <c r="E753" s="7"/>
      <c r="F753" s="7"/>
      <c r="G753" s="7"/>
      <c r="H753" s="7"/>
      <c r="I753" s="7"/>
      <c r="J753" s="8"/>
      <c r="K753" s="9"/>
    </row>
    <row r="754">
      <c r="A754" s="6"/>
      <c r="B754" s="7"/>
      <c r="C754" s="7"/>
      <c r="D754" s="7"/>
      <c r="E754" s="7"/>
      <c r="F754" s="7"/>
      <c r="G754" s="7"/>
      <c r="H754" s="7"/>
      <c r="I754" s="7"/>
      <c r="J754" s="8"/>
      <c r="K754" s="9"/>
    </row>
    <row r="755">
      <c r="A755" s="6"/>
      <c r="B755" s="7"/>
      <c r="C755" s="7"/>
      <c r="D755" s="7"/>
      <c r="E755" s="7"/>
      <c r="F755" s="7"/>
      <c r="G755" s="7"/>
      <c r="H755" s="7"/>
      <c r="I755" s="7"/>
      <c r="J755" s="8"/>
      <c r="K755" s="9"/>
    </row>
    <row r="756">
      <c r="A756" s="6"/>
      <c r="B756" s="7"/>
      <c r="C756" s="7"/>
      <c r="D756" s="7"/>
      <c r="E756" s="7"/>
      <c r="F756" s="7"/>
      <c r="G756" s="7"/>
      <c r="H756" s="7"/>
      <c r="I756" s="7"/>
      <c r="J756" s="8"/>
      <c r="K756" s="9"/>
    </row>
    <row r="757">
      <c r="A757" s="6"/>
      <c r="B757" s="7"/>
      <c r="C757" s="7"/>
      <c r="D757" s="7"/>
      <c r="E757" s="7"/>
      <c r="F757" s="7"/>
      <c r="G757" s="7"/>
      <c r="H757" s="7"/>
      <c r="I757" s="7"/>
      <c r="J757" s="8"/>
      <c r="K757" s="9"/>
    </row>
    <row r="758">
      <c r="A758" s="6"/>
      <c r="B758" s="7"/>
      <c r="C758" s="7"/>
      <c r="D758" s="7"/>
      <c r="E758" s="7"/>
      <c r="F758" s="7"/>
      <c r="G758" s="7"/>
      <c r="H758" s="7"/>
      <c r="I758" s="7"/>
      <c r="J758" s="8"/>
      <c r="K758" s="9"/>
    </row>
    <row r="759">
      <c r="A759" s="6"/>
      <c r="B759" s="7"/>
      <c r="C759" s="7"/>
      <c r="D759" s="7"/>
      <c r="E759" s="7"/>
      <c r="F759" s="7"/>
      <c r="G759" s="7"/>
      <c r="H759" s="7"/>
      <c r="I759" s="7"/>
      <c r="J759" s="8"/>
      <c r="K759" s="9"/>
    </row>
    <row r="760">
      <c r="A760" s="6"/>
      <c r="B760" s="7"/>
      <c r="C760" s="7"/>
      <c r="D760" s="7"/>
      <c r="E760" s="7"/>
      <c r="F760" s="7"/>
      <c r="G760" s="7"/>
      <c r="H760" s="7"/>
      <c r="I760" s="7"/>
      <c r="J760" s="8"/>
      <c r="K760" s="9"/>
    </row>
    <row r="761">
      <c r="A761" s="6"/>
      <c r="B761" s="7"/>
      <c r="C761" s="7"/>
      <c r="D761" s="7"/>
      <c r="E761" s="7"/>
      <c r="F761" s="7"/>
      <c r="G761" s="7"/>
      <c r="H761" s="7"/>
      <c r="I761" s="7"/>
      <c r="J761" s="8"/>
      <c r="K761" s="9"/>
    </row>
    <row r="762">
      <c r="A762" s="6"/>
      <c r="B762" s="7"/>
      <c r="C762" s="7"/>
      <c r="D762" s="7"/>
      <c r="E762" s="7"/>
      <c r="F762" s="7"/>
      <c r="G762" s="7"/>
      <c r="H762" s="7"/>
      <c r="I762" s="7"/>
      <c r="J762" s="8"/>
      <c r="K762" s="9"/>
    </row>
    <row r="763">
      <c r="A763" s="6"/>
      <c r="B763" s="7"/>
      <c r="C763" s="7"/>
      <c r="D763" s="7"/>
      <c r="E763" s="7"/>
      <c r="F763" s="7"/>
      <c r="G763" s="7"/>
      <c r="H763" s="7"/>
      <c r="I763" s="7"/>
      <c r="J763" s="8"/>
      <c r="K763" s="9"/>
    </row>
    <row r="764">
      <c r="A764" s="6"/>
      <c r="B764" s="7"/>
      <c r="C764" s="7"/>
      <c r="D764" s="7"/>
      <c r="E764" s="7"/>
      <c r="F764" s="7"/>
      <c r="G764" s="7"/>
      <c r="H764" s="7"/>
      <c r="I764" s="7"/>
      <c r="J764" s="8"/>
      <c r="K764" s="9"/>
    </row>
    <row r="765">
      <c r="A765" s="6"/>
      <c r="B765" s="7"/>
      <c r="C765" s="7"/>
      <c r="D765" s="7"/>
      <c r="E765" s="7"/>
      <c r="F765" s="7"/>
      <c r="G765" s="7"/>
      <c r="H765" s="7"/>
      <c r="I765" s="7"/>
      <c r="J765" s="8"/>
      <c r="K765" s="9"/>
    </row>
    <row r="766">
      <c r="A766" s="6"/>
      <c r="B766" s="7"/>
      <c r="C766" s="7"/>
      <c r="D766" s="7"/>
      <c r="E766" s="7"/>
      <c r="F766" s="7"/>
      <c r="G766" s="7"/>
      <c r="H766" s="7"/>
      <c r="I766" s="7"/>
      <c r="J766" s="8"/>
      <c r="K766" s="9"/>
    </row>
    <row r="767">
      <c r="A767" s="6"/>
      <c r="B767" s="7"/>
      <c r="C767" s="7"/>
      <c r="D767" s="7"/>
      <c r="E767" s="7"/>
      <c r="F767" s="7"/>
      <c r="G767" s="7"/>
      <c r="H767" s="7"/>
      <c r="I767" s="7"/>
      <c r="J767" s="8"/>
      <c r="K767" s="9"/>
    </row>
    <row r="768">
      <c r="A768" s="6"/>
      <c r="B768" s="7"/>
      <c r="C768" s="7"/>
      <c r="D768" s="7"/>
      <c r="E768" s="7"/>
      <c r="F768" s="7"/>
      <c r="G768" s="7"/>
      <c r="H768" s="7"/>
      <c r="I768" s="7"/>
      <c r="J768" s="8"/>
      <c r="K768" s="9"/>
    </row>
    <row r="769">
      <c r="A769" s="6"/>
      <c r="B769" s="7"/>
      <c r="C769" s="7"/>
      <c r="D769" s="7"/>
      <c r="E769" s="7"/>
      <c r="F769" s="7"/>
      <c r="G769" s="7"/>
      <c r="H769" s="7"/>
      <c r="I769" s="7"/>
      <c r="J769" s="8"/>
      <c r="K769" s="9"/>
    </row>
    <row r="770">
      <c r="A770" s="6"/>
      <c r="B770" s="7"/>
      <c r="C770" s="7"/>
      <c r="D770" s="7"/>
      <c r="E770" s="7"/>
      <c r="F770" s="7"/>
      <c r="G770" s="7"/>
      <c r="H770" s="7"/>
      <c r="I770" s="7"/>
      <c r="J770" s="8"/>
      <c r="K770" s="9"/>
    </row>
    <row r="771">
      <c r="A771" s="6"/>
      <c r="B771" s="7"/>
      <c r="C771" s="7"/>
      <c r="D771" s="7"/>
      <c r="E771" s="7"/>
      <c r="F771" s="7"/>
      <c r="G771" s="7"/>
      <c r="H771" s="7"/>
      <c r="I771" s="7"/>
      <c r="J771" s="8"/>
      <c r="K771" s="9"/>
    </row>
    <row r="772">
      <c r="A772" s="6"/>
      <c r="B772" s="7"/>
      <c r="C772" s="7"/>
      <c r="D772" s="7"/>
      <c r="E772" s="7"/>
      <c r="F772" s="7"/>
      <c r="G772" s="7"/>
      <c r="H772" s="7"/>
      <c r="I772" s="7"/>
      <c r="J772" s="8"/>
      <c r="K772" s="9"/>
    </row>
    <row r="773">
      <c r="A773" s="6"/>
      <c r="B773" s="7"/>
      <c r="C773" s="7"/>
      <c r="D773" s="7"/>
      <c r="E773" s="7"/>
      <c r="F773" s="7"/>
      <c r="G773" s="7"/>
      <c r="H773" s="7"/>
      <c r="I773" s="7"/>
      <c r="J773" s="8"/>
      <c r="K773" s="9"/>
    </row>
    <row r="774">
      <c r="A774" s="6"/>
      <c r="B774" s="7"/>
      <c r="C774" s="7"/>
      <c r="D774" s="7"/>
      <c r="E774" s="7"/>
      <c r="F774" s="7"/>
      <c r="G774" s="7"/>
      <c r="H774" s="7"/>
      <c r="I774" s="7"/>
      <c r="J774" s="8"/>
      <c r="K774" s="9"/>
    </row>
    <row r="775">
      <c r="A775" s="6"/>
      <c r="B775" s="7"/>
      <c r="C775" s="7"/>
      <c r="D775" s="7"/>
      <c r="E775" s="7"/>
      <c r="F775" s="7"/>
      <c r="G775" s="7"/>
      <c r="H775" s="7"/>
      <c r="I775" s="7"/>
      <c r="J775" s="8"/>
      <c r="K775" s="9"/>
    </row>
    <row r="776">
      <c r="A776" s="6"/>
      <c r="B776" s="7"/>
      <c r="C776" s="7"/>
      <c r="D776" s="7"/>
      <c r="E776" s="7"/>
      <c r="F776" s="7"/>
      <c r="G776" s="7"/>
      <c r="H776" s="7"/>
      <c r="I776" s="7"/>
      <c r="J776" s="8"/>
      <c r="K776" s="9"/>
    </row>
    <row r="777">
      <c r="A777" s="6"/>
      <c r="B777" s="7"/>
      <c r="C777" s="7"/>
      <c r="D777" s="7"/>
      <c r="E777" s="7"/>
      <c r="F777" s="7"/>
      <c r="G777" s="7"/>
      <c r="H777" s="7"/>
      <c r="I777" s="7"/>
      <c r="J777" s="8"/>
      <c r="K777" s="9"/>
    </row>
    <row r="778">
      <c r="A778" s="6"/>
      <c r="B778" s="7"/>
      <c r="C778" s="7"/>
      <c r="D778" s="7"/>
      <c r="E778" s="7"/>
      <c r="F778" s="7"/>
      <c r="G778" s="7"/>
      <c r="H778" s="7"/>
      <c r="I778" s="7"/>
      <c r="J778" s="8"/>
      <c r="K778" s="9"/>
    </row>
    <row r="779">
      <c r="A779" s="6"/>
      <c r="B779" s="7"/>
      <c r="C779" s="7"/>
      <c r="D779" s="7"/>
      <c r="E779" s="7"/>
      <c r="F779" s="7"/>
      <c r="G779" s="7"/>
      <c r="H779" s="7"/>
      <c r="I779" s="7"/>
      <c r="J779" s="8"/>
      <c r="K779" s="9"/>
    </row>
    <row r="780">
      <c r="A780" s="6"/>
      <c r="B780" s="7"/>
      <c r="C780" s="7"/>
      <c r="D780" s="7"/>
      <c r="E780" s="7"/>
      <c r="F780" s="7"/>
      <c r="G780" s="7"/>
      <c r="H780" s="7"/>
      <c r="I780" s="7"/>
      <c r="J780" s="8"/>
      <c r="K780" s="9"/>
    </row>
    <row r="781">
      <c r="A781" s="6"/>
      <c r="B781" s="7"/>
      <c r="C781" s="7"/>
      <c r="D781" s="7"/>
      <c r="E781" s="7"/>
      <c r="F781" s="7"/>
      <c r="G781" s="7"/>
      <c r="H781" s="7"/>
      <c r="I781" s="7"/>
      <c r="J781" s="8"/>
      <c r="K781" s="9"/>
    </row>
    <row r="782">
      <c r="A782" s="6"/>
      <c r="B782" s="7"/>
      <c r="C782" s="7"/>
      <c r="D782" s="7"/>
      <c r="E782" s="7"/>
      <c r="F782" s="7"/>
      <c r="G782" s="7"/>
      <c r="H782" s="7"/>
      <c r="I782" s="7"/>
      <c r="J782" s="8"/>
      <c r="K782" s="9"/>
    </row>
    <row r="783">
      <c r="A783" s="6"/>
      <c r="B783" s="7"/>
      <c r="C783" s="7"/>
      <c r="D783" s="7"/>
      <c r="E783" s="7"/>
      <c r="F783" s="7"/>
      <c r="G783" s="7"/>
      <c r="H783" s="7"/>
      <c r="I783" s="7"/>
      <c r="J783" s="8"/>
      <c r="K783" s="9"/>
    </row>
    <row r="784">
      <c r="A784" s="6"/>
      <c r="B784" s="7"/>
      <c r="C784" s="7"/>
      <c r="D784" s="7"/>
      <c r="E784" s="7"/>
      <c r="F784" s="7"/>
      <c r="G784" s="7"/>
      <c r="H784" s="7"/>
      <c r="I784" s="7"/>
      <c r="J784" s="8"/>
      <c r="K784" s="9"/>
    </row>
    <row r="785">
      <c r="A785" s="6"/>
      <c r="B785" s="7"/>
      <c r="C785" s="7"/>
      <c r="D785" s="7"/>
      <c r="E785" s="7"/>
      <c r="F785" s="7"/>
      <c r="G785" s="7"/>
      <c r="H785" s="7"/>
      <c r="I785" s="7"/>
      <c r="J785" s="8"/>
      <c r="K785" s="9"/>
    </row>
    <row r="786">
      <c r="A786" s="6"/>
      <c r="B786" s="7"/>
      <c r="C786" s="7"/>
      <c r="D786" s="7"/>
      <c r="E786" s="7"/>
      <c r="F786" s="7"/>
      <c r="G786" s="7"/>
      <c r="H786" s="7"/>
      <c r="I786" s="7"/>
      <c r="J786" s="8"/>
      <c r="K786" s="9"/>
    </row>
    <row r="787">
      <c r="A787" s="6"/>
      <c r="B787" s="7"/>
      <c r="C787" s="7"/>
      <c r="D787" s="7"/>
      <c r="E787" s="7"/>
      <c r="F787" s="7"/>
      <c r="G787" s="7"/>
      <c r="H787" s="7"/>
      <c r="I787" s="7"/>
      <c r="J787" s="8"/>
      <c r="K787" s="9"/>
    </row>
    <row r="788">
      <c r="A788" s="6"/>
      <c r="B788" s="7"/>
      <c r="C788" s="7"/>
      <c r="D788" s="7"/>
      <c r="E788" s="7"/>
      <c r="F788" s="7"/>
      <c r="G788" s="7"/>
      <c r="H788" s="7"/>
      <c r="I788" s="7"/>
      <c r="J788" s="8"/>
      <c r="K788" s="9"/>
    </row>
    <row r="789">
      <c r="A789" s="6"/>
      <c r="B789" s="7"/>
      <c r="C789" s="7"/>
      <c r="D789" s="7"/>
      <c r="E789" s="7"/>
      <c r="F789" s="7"/>
      <c r="G789" s="7"/>
      <c r="H789" s="7"/>
      <c r="I789" s="7"/>
      <c r="J789" s="8"/>
      <c r="K789" s="9"/>
    </row>
    <row r="790">
      <c r="A790" s="6"/>
      <c r="B790" s="7"/>
      <c r="C790" s="7"/>
      <c r="D790" s="7"/>
      <c r="E790" s="7"/>
      <c r="F790" s="7"/>
      <c r="G790" s="7"/>
      <c r="H790" s="7"/>
      <c r="I790" s="7"/>
      <c r="J790" s="8"/>
      <c r="K790" s="9"/>
    </row>
    <row r="791">
      <c r="A791" s="6"/>
      <c r="B791" s="7"/>
      <c r="C791" s="7"/>
      <c r="D791" s="7"/>
      <c r="E791" s="7"/>
      <c r="F791" s="7"/>
      <c r="G791" s="7"/>
      <c r="H791" s="7"/>
      <c r="I791" s="7"/>
      <c r="J791" s="8"/>
      <c r="K791" s="9"/>
    </row>
    <row r="792">
      <c r="A792" s="6"/>
      <c r="B792" s="7"/>
      <c r="C792" s="7"/>
      <c r="D792" s="7"/>
      <c r="E792" s="7"/>
      <c r="F792" s="7"/>
      <c r="G792" s="7"/>
      <c r="H792" s="7"/>
      <c r="I792" s="7"/>
      <c r="J792" s="8"/>
      <c r="K792" s="9"/>
    </row>
    <row r="793">
      <c r="A793" s="6"/>
      <c r="B793" s="7"/>
      <c r="C793" s="7"/>
      <c r="D793" s="7"/>
      <c r="E793" s="7"/>
      <c r="F793" s="7"/>
      <c r="G793" s="7"/>
      <c r="H793" s="7"/>
      <c r="I793" s="7"/>
      <c r="J793" s="8"/>
      <c r="K793" s="9"/>
    </row>
    <row r="794">
      <c r="A794" s="6"/>
      <c r="B794" s="7"/>
      <c r="C794" s="7"/>
      <c r="D794" s="7"/>
      <c r="E794" s="7"/>
      <c r="F794" s="7"/>
      <c r="G794" s="7"/>
      <c r="H794" s="7"/>
      <c r="I794" s="7"/>
      <c r="J794" s="8"/>
      <c r="K794" s="9"/>
    </row>
    <row r="795">
      <c r="A795" s="6"/>
      <c r="B795" s="7"/>
      <c r="C795" s="7"/>
      <c r="D795" s="7"/>
      <c r="E795" s="7"/>
      <c r="F795" s="7"/>
      <c r="G795" s="7"/>
      <c r="H795" s="7"/>
      <c r="I795" s="7"/>
      <c r="J795" s="8"/>
      <c r="K795" s="9"/>
    </row>
    <row r="796">
      <c r="A796" s="6"/>
      <c r="B796" s="7"/>
      <c r="C796" s="7"/>
      <c r="D796" s="7"/>
      <c r="E796" s="7"/>
      <c r="F796" s="7"/>
      <c r="G796" s="7"/>
      <c r="H796" s="7"/>
      <c r="I796" s="7"/>
      <c r="J796" s="8"/>
      <c r="K796" s="9"/>
    </row>
    <row r="797">
      <c r="A797" s="6"/>
      <c r="B797" s="7"/>
      <c r="C797" s="7"/>
      <c r="D797" s="7"/>
      <c r="E797" s="7"/>
      <c r="F797" s="7"/>
      <c r="G797" s="7"/>
      <c r="H797" s="7"/>
      <c r="I797" s="7"/>
      <c r="J797" s="8"/>
      <c r="K797" s="9"/>
    </row>
    <row r="798">
      <c r="A798" s="6"/>
      <c r="B798" s="7"/>
      <c r="C798" s="7"/>
      <c r="D798" s="7"/>
      <c r="E798" s="7"/>
      <c r="F798" s="7"/>
      <c r="G798" s="7"/>
      <c r="H798" s="7"/>
      <c r="I798" s="7"/>
      <c r="J798" s="8"/>
      <c r="K798" s="9"/>
    </row>
    <row r="799">
      <c r="A799" s="6"/>
      <c r="B799" s="7"/>
      <c r="C799" s="7"/>
      <c r="D799" s="7"/>
      <c r="E799" s="7"/>
      <c r="F799" s="7"/>
      <c r="G799" s="7"/>
      <c r="H799" s="7"/>
      <c r="I799" s="7"/>
      <c r="J799" s="8"/>
      <c r="K799" s="9"/>
    </row>
    <row r="800">
      <c r="A800" s="6"/>
      <c r="B800" s="7"/>
      <c r="C800" s="7"/>
      <c r="D800" s="7"/>
      <c r="E800" s="7"/>
      <c r="F800" s="7"/>
      <c r="G800" s="7"/>
      <c r="H800" s="7"/>
      <c r="I800" s="7"/>
      <c r="J800" s="8"/>
      <c r="K800" s="9"/>
    </row>
    <row r="801">
      <c r="A801" s="6"/>
      <c r="B801" s="7"/>
      <c r="C801" s="7"/>
      <c r="D801" s="7"/>
      <c r="E801" s="7"/>
      <c r="F801" s="7"/>
      <c r="G801" s="7"/>
      <c r="H801" s="7"/>
      <c r="I801" s="7"/>
      <c r="J801" s="8"/>
      <c r="K801" s="9"/>
    </row>
    <row r="802">
      <c r="A802" s="6"/>
      <c r="B802" s="7"/>
      <c r="C802" s="7"/>
      <c r="D802" s="7"/>
      <c r="E802" s="7"/>
      <c r="F802" s="7"/>
      <c r="G802" s="7"/>
      <c r="H802" s="7"/>
      <c r="I802" s="7"/>
      <c r="J802" s="8"/>
      <c r="K802" s="9"/>
    </row>
  </sheetData>
  <autoFilter ref="$A$1:$Z$4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2.0"/>
    <col customWidth="1" min="3" max="3" width="18.25"/>
    <col customWidth="1" min="4" max="4" width="29.75"/>
    <col customWidth="1" min="5" max="5" width="22.13"/>
    <col customWidth="1" min="6" max="6" width="34.5"/>
    <col customWidth="1" min="7" max="7" width="9.5"/>
    <col customWidth="1" min="8" max="8" width="29.25"/>
    <col customWidth="1" min="10" max="10" width="19.75"/>
    <col customWidth="1" min="11" max="11" width="27.88"/>
  </cols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1" t="s">
        <v>7</v>
      </c>
      <c r="I1" s="11" t="s">
        <v>8</v>
      </c>
      <c r="J1" s="12" t="s">
        <v>9</v>
      </c>
      <c r="K1" s="1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>
        <v>1.0</v>
      </c>
      <c r="B2" s="13"/>
      <c r="C2" s="13" t="s">
        <v>53</v>
      </c>
      <c r="D2" s="17" t="s">
        <v>509</v>
      </c>
      <c r="E2" s="17" t="s">
        <v>510</v>
      </c>
      <c r="F2" s="13" t="s">
        <v>511</v>
      </c>
      <c r="G2" s="13" t="s">
        <v>22</v>
      </c>
      <c r="H2" s="17" t="s">
        <v>512</v>
      </c>
      <c r="I2" s="13">
        <v>12.0</v>
      </c>
      <c r="J2" s="13" t="s">
        <v>61</v>
      </c>
      <c r="K2" s="13" t="s">
        <v>513</v>
      </c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29">
        <v>2.0</v>
      </c>
      <c r="B3" s="16"/>
      <c r="C3" s="13" t="s">
        <v>53</v>
      </c>
      <c r="D3" s="17" t="s">
        <v>86</v>
      </c>
      <c r="E3" s="17">
        <v>6.2504021621E10</v>
      </c>
      <c r="F3" s="13" t="s">
        <v>186</v>
      </c>
      <c r="G3" s="13" t="s">
        <v>22</v>
      </c>
      <c r="H3" s="17" t="s">
        <v>88</v>
      </c>
      <c r="I3" s="13">
        <v>1.0</v>
      </c>
      <c r="J3" s="13" t="s">
        <v>464</v>
      </c>
      <c r="K3" s="13" t="s">
        <v>464</v>
      </c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29">
        <v>3.0</v>
      </c>
      <c r="B4" s="16"/>
      <c r="C4" s="13" t="s">
        <v>53</v>
      </c>
      <c r="D4" s="17" t="s">
        <v>83</v>
      </c>
      <c r="E4" s="17" t="s">
        <v>514</v>
      </c>
      <c r="F4" s="13" t="s">
        <v>310</v>
      </c>
      <c r="G4" s="13" t="s">
        <v>22</v>
      </c>
      <c r="H4" s="17" t="s">
        <v>83</v>
      </c>
      <c r="I4" s="13">
        <v>1.0</v>
      </c>
      <c r="J4" s="13" t="s">
        <v>504</v>
      </c>
      <c r="K4" s="13" t="s">
        <v>505</v>
      </c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32"/>
      <c r="B5" s="16"/>
      <c r="C5" s="16"/>
      <c r="D5" s="16"/>
      <c r="E5" s="16"/>
      <c r="F5" s="16"/>
      <c r="G5" s="16"/>
      <c r="H5" s="16"/>
      <c r="I5" s="16"/>
      <c r="J5" s="37"/>
      <c r="K5" s="34"/>
    </row>
    <row r="6">
      <c r="A6" s="6"/>
      <c r="B6" s="7"/>
      <c r="C6" s="7"/>
      <c r="D6" s="7"/>
      <c r="E6" s="7"/>
      <c r="F6" s="7"/>
      <c r="G6" s="7"/>
      <c r="H6" s="7"/>
      <c r="I6" s="7"/>
      <c r="J6" s="8"/>
      <c r="K6" s="9"/>
    </row>
    <row r="7">
      <c r="A7" s="6"/>
      <c r="B7" s="7"/>
      <c r="C7" s="7"/>
      <c r="D7" s="7"/>
      <c r="E7" s="7"/>
      <c r="F7" s="7"/>
      <c r="G7" s="7"/>
      <c r="H7" s="7"/>
      <c r="I7" s="7"/>
      <c r="J7" s="8"/>
      <c r="K7" s="9"/>
    </row>
    <row r="8">
      <c r="A8" s="6"/>
      <c r="B8" s="7"/>
      <c r="C8" s="7"/>
      <c r="D8" s="7"/>
      <c r="E8" s="7"/>
      <c r="F8" s="7"/>
      <c r="G8" s="7"/>
      <c r="H8" s="7"/>
      <c r="I8" s="7"/>
      <c r="J8" s="8"/>
      <c r="K8" s="9"/>
    </row>
    <row r="9">
      <c r="A9" s="6"/>
      <c r="B9" s="7"/>
      <c r="C9" s="7"/>
      <c r="D9" s="7"/>
      <c r="E9" s="7"/>
      <c r="F9" s="7"/>
      <c r="G9" s="7"/>
      <c r="H9" s="7"/>
      <c r="I9" s="7"/>
      <c r="J9" s="8"/>
      <c r="K9" s="9"/>
    </row>
    <row r="10">
      <c r="A10" s="6"/>
      <c r="B10" s="7"/>
      <c r="C10" s="7"/>
      <c r="D10" s="7"/>
      <c r="E10" s="7"/>
      <c r="F10" s="7"/>
      <c r="G10" s="7"/>
      <c r="H10" s="7"/>
      <c r="I10" s="7"/>
      <c r="J10" s="8"/>
      <c r="K10" s="9"/>
    </row>
    <row r="11">
      <c r="A11" s="6"/>
      <c r="B11" s="7"/>
      <c r="C11" s="7"/>
      <c r="D11" s="7"/>
      <c r="E11" s="7"/>
      <c r="F11" s="7"/>
      <c r="G11" s="7"/>
      <c r="H11" s="7"/>
      <c r="I11" s="7"/>
      <c r="J11" s="8"/>
      <c r="K11" s="9"/>
    </row>
    <row r="12">
      <c r="A12" s="6"/>
      <c r="B12" s="7"/>
      <c r="C12" s="7"/>
      <c r="D12" s="7"/>
      <c r="E12" s="7"/>
      <c r="F12" s="7"/>
      <c r="G12" s="7"/>
      <c r="H12" s="7"/>
      <c r="I12" s="7"/>
      <c r="J12" s="8"/>
      <c r="K12" s="9"/>
    </row>
    <row r="13">
      <c r="A13" s="6"/>
      <c r="B13" s="7"/>
      <c r="C13" s="7"/>
      <c r="D13" s="7"/>
      <c r="E13" s="7"/>
      <c r="F13" s="7"/>
      <c r="G13" s="7"/>
      <c r="H13" s="7"/>
      <c r="I13" s="7"/>
      <c r="J13" s="8"/>
      <c r="K13" s="9"/>
    </row>
    <row r="14">
      <c r="A14" s="6"/>
      <c r="B14" s="7"/>
      <c r="C14" s="7"/>
      <c r="D14" s="7"/>
      <c r="E14" s="7"/>
      <c r="F14" s="7"/>
      <c r="G14" s="7"/>
      <c r="H14" s="7"/>
      <c r="I14" s="7"/>
      <c r="J14" s="8"/>
      <c r="K14" s="9"/>
    </row>
    <row r="15">
      <c r="A15" s="6"/>
      <c r="B15" s="7"/>
      <c r="C15" s="7"/>
      <c r="D15" s="7"/>
      <c r="E15" s="7"/>
      <c r="F15" s="7"/>
      <c r="G15" s="7"/>
      <c r="H15" s="7"/>
      <c r="I15" s="7"/>
      <c r="J15" s="8"/>
      <c r="K15" s="9"/>
    </row>
    <row r="16">
      <c r="A16" s="6"/>
      <c r="B16" s="7"/>
      <c r="C16" s="7"/>
      <c r="D16" s="7"/>
      <c r="E16" s="7"/>
      <c r="F16" s="7"/>
      <c r="G16" s="7"/>
      <c r="H16" s="7"/>
      <c r="I16" s="7"/>
      <c r="J16" s="8"/>
      <c r="K16" s="9"/>
    </row>
    <row r="17">
      <c r="A17" s="6"/>
      <c r="B17" s="7"/>
      <c r="C17" s="7"/>
      <c r="D17" s="7"/>
      <c r="E17" s="7"/>
      <c r="F17" s="7"/>
      <c r="G17" s="7"/>
      <c r="H17" s="7"/>
      <c r="I17" s="7"/>
      <c r="J17" s="8"/>
      <c r="K17" s="9"/>
    </row>
    <row r="18">
      <c r="A18" s="6"/>
      <c r="B18" s="7"/>
      <c r="C18" s="7"/>
      <c r="D18" s="7"/>
      <c r="E18" s="7"/>
      <c r="F18" s="7"/>
      <c r="G18" s="7"/>
      <c r="H18" s="7"/>
      <c r="I18" s="7"/>
      <c r="J18" s="8"/>
      <c r="K18" s="9"/>
    </row>
    <row r="19">
      <c r="A19" s="6"/>
      <c r="B19" s="7"/>
      <c r="C19" s="7"/>
      <c r="D19" s="7"/>
      <c r="E19" s="7"/>
      <c r="F19" s="7"/>
      <c r="G19" s="7"/>
      <c r="H19" s="7"/>
      <c r="I19" s="7"/>
      <c r="J19" s="8"/>
      <c r="K19" s="9"/>
    </row>
    <row r="20">
      <c r="A20" s="6"/>
      <c r="B20" s="7"/>
      <c r="C20" s="7"/>
      <c r="D20" s="7"/>
      <c r="E20" s="7"/>
      <c r="F20" s="7"/>
      <c r="G20" s="7"/>
      <c r="H20" s="7"/>
      <c r="I20" s="7"/>
      <c r="J20" s="8"/>
      <c r="K20" s="9"/>
    </row>
    <row r="21">
      <c r="A21" s="6"/>
      <c r="B21" s="7"/>
      <c r="C21" s="7"/>
      <c r="D21" s="7"/>
      <c r="E21" s="7"/>
      <c r="F21" s="7"/>
      <c r="G21" s="7"/>
      <c r="H21" s="7"/>
      <c r="I21" s="7"/>
      <c r="J21" s="8"/>
      <c r="K21" s="9"/>
    </row>
    <row r="22">
      <c r="A22" s="6"/>
      <c r="B22" s="7"/>
      <c r="C22" s="7"/>
      <c r="D22" s="7"/>
      <c r="E22" s="7"/>
      <c r="F22" s="7"/>
      <c r="G22" s="7"/>
      <c r="H22" s="7"/>
      <c r="I22" s="7"/>
      <c r="J22" s="8"/>
      <c r="K22" s="9"/>
    </row>
    <row r="23">
      <c r="A23" s="6"/>
      <c r="B23" s="7"/>
      <c r="C23" s="7"/>
      <c r="D23" s="7"/>
      <c r="E23" s="7"/>
      <c r="F23" s="7"/>
      <c r="G23" s="7"/>
      <c r="H23" s="7"/>
      <c r="I23" s="7"/>
      <c r="J23" s="8"/>
      <c r="K23" s="9"/>
    </row>
    <row r="24">
      <c r="A24" s="6"/>
      <c r="B24" s="7"/>
      <c r="C24" s="7"/>
      <c r="D24" s="7"/>
      <c r="E24" s="7"/>
      <c r="F24" s="7"/>
      <c r="G24" s="7"/>
      <c r="H24" s="7"/>
      <c r="I24" s="7"/>
      <c r="J24" s="8"/>
      <c r="K24" s="9"/>
    </row>
    <row r="25">
      <c r="A25" s="6"/>
      <c r="B25" s="7"/>
      <c r="C25" s="7"/>
      <c r="D25" s="7"/>
      <c r="E25" s="7"/>
      <c r="F25" s="7"/>
      <c r="G25" s="7"/>
      <c r="H25" s="7"/>
      <c r="I25" s="7"/>
      <c r="J25" s="8"/>
      <c r="K25" s="9"/>
    </row>
    <row r="26">
      <c r="A26" s="6"/>
      <c r="B26" s="7"/>
      <c r="C26" s="7"/>
      <c r="D26" s="7"/>
      <c r="E26" s="7"/>
      <c r="F26" s="7"/>
      <c r="G26" s="7"/>
      <c r="H26" s="7"/>
      <c r="I26" s="7"/>
      <c r="J26" s="8"/>
      <c r="K26" s="9"/>
    </row>
    <row r="27">
      <c r="A27" s="6"/>
      <c r="B27" s="7"/>
      <c r="C27" s="7"/>
      <c r="D27" s="7"/>
      <c r="E27" s="7"/>
      <c r="F27" s="7"/>
      <c r="G27" s="7"/>
      <c r="H27" s="7"/>
      <c r="I27" s="7"/>
      <c r="J27" s="8"/>
      <c r="K27" s="9"/>
    </row>
    <row r="28">
      <c r="A28" s="6"/>
      <c r="B28" s="7"/>
      <c r="C28" s="7"/>
      <c r="D28" s="7"/>
      <c r="E28" s="7"/>
      <c r="F28" s="7"/>
      <c r="G28" s="7"/>
      <c r="H28" s="7"/>
      <c r="I28" s="7"/>
      <c r="J28" s="8"/>
      <c r="K28" s="9"/>
    </row>
    <row r="29">
      <c r="A29" s="6"/>
      <c r="B29" s="7"/>
      <c r="C29" s="7"/>
      <c r="D29" s="7"/>
      <c r="E29" s="7"/>
      <c r="F29" s="7"/>
      <c r="G29" s="7"/>
      <c r="H29" s="7"/>
      <c r="I29" s="7"/>
      <c r="J29" s="8"/>
      <c r="K29" s="9"/>
    </row>
    <row r="30">
      <c r="A30" s="6"/>
      <c r="B30" s="7"/>
      <c r="C30" s="7"/>
      <c r="D30" s="7"/>
      <c r="E30" s="7"/>
      <c r="F30" s="7"/>
      <c r="G30" s="7"/>
      <c r="H30" s="7"/>
      <c r="I30" s="7"/>
      <c r="J30" s="8"/>
      <c r="K30" s="9"/>
    </row>
    <row r="31">
      <c r="A31" s="6"/>
      <c r="B31" s="7"/>
      <c r="C31" s="7"/>
      <c r="D31" s="7"/>
      <c r="E31" s="7"/>
      <c r="F31" s="7"/>
      <c r="G31" s="7"/>
      <c r="H31" s="7"/>
      <c r="I31" s="7"/>
      <c r="J31" s="8"/>
      <c r="K31" s="9"/>
    </row>
    <row r="32">
      <c r="A32" s="6"/>
      <c r="B32" s="7"/>
      <c r="C32" s="7"/>
      <c r="D32" s="7"/>
      <c r="E32" s="7"/>
      <c r="F32" s="7"/>
      <c r="G32" s="7"/>
      <c r="H32" s="7"/>
      <c r="I32" s="7"/>
      <c r="J32" s="8"/>
      <c r="K32" s="9"/>
    </row>
    <row r="33">
      <c r="A33" s="6"/>
      <c r="B33" s="7"/>
      <c r="C33" s="7"/>
      <c r="D33" s="7"/>
      <c r="E33" s="7"/>
      <c r="F33" s="7"/>
      <c r="G33" s="7"/>
      <c r="H33" s="7"/>
      <c r="I33" s="7"/>
      <c r="J33" s="8"/>
      <c r="K33" s="9"/>
    </row>
    <row r="34">
      <c r="A34" s="6"/>
      <c r="B34" s="7"/>
      <c r="C34" s="7"/>
      <c r="D34" s="7"/>
      <c r="E34" s="7"/>
      <c r="F34" s="7"/>
      <c r="G34" s="7"/>
      <c r="H34" s="7"/>
      <c r="I34" s="7"/>
      <c r="J34" s="8"/>
      <c r="K34" s="9"/>
    </row>
    <row r="35">
      <c r="A35" s="6"/>
      <c r="B35" s="7"/>
      <c r="C35" s="7"/>
      <c r="D35" s="7"/>
      <c r="E35" s="7"/>
      <c r="F35" s="7"/>
      <c r="G35" s="7"/>
      <c r="H35" s="7"/>
      <c r="I35" s="7"/>
      <c r="J35" s="8"/>
      <c r="K35" s="9"/>
    </row>
    <row r="36">
      <c r="A36" s="6"/>
      <c r="B36" s="7"/>
      <c r="C36" s="7"/>
      <c r="D36" s="7"/>
      <c r="E36" s="7"/>
      <c r="F36" s="7"/>
      <c r="G36" s="7"/>
      <c r="H36" s="7"/>
      <c r="I36" s="7"/>
      <c r="J36" s="8"/>
      <c r="K36" s="9"/>
    </row>
    <row r="37">
      <c r="A37" s="6"/>
      <c r="B37" s="7"/>
      <c r="C37" s="7"/>
      <c r="D37" s="7"/>
      <c r="E37" s="7"/>
      <c r="F37" s="7"/>
      <c r="G37" s="7"/>
      <c r="H37" s="7"/>
      <c r="I37" s="7"/>
      <c r="J37" s="8"/>
      <c r="K37" s="9"/>
    </row>
    <row r="38">
      <c r="A38" s="6"/>
      <c r="B38" s="7"/>
      <c r="C38" s="7"/>
      <c r="D38" s="7"/>
      <c r="E38" s="7"/>
      <c r="F38" s="7"/>
      <c r="G38" s="7"/>
      <c r="H38" s="7"/>
      <c r="I38" s="7"/>
      <c r="J38" s="8"/>
      <c r="K38" s="9"/>
    </row>
    <row r="39">
      <c r="A39" s="6"/>
      <c r="B39" s="7"/>
      <c r="C39" s="7"/>
      <c r="D39" s="7"/>
      <c r="E39" s="7"/>
      <c r="F39" s="7"/>
      <c r="G39" s="7"/>
      <c r="H39" s="7"/>
      <c r="I39" s="7"/>
      <c r="J39" s="8"/>
      <c r="K39" s="9"/>
    </row>
    <row r="40">
      <c r="A40" s="6"/>
      <c r="B40" s="7"/>
      <c r="C40" s="7"/>
      <c r="D40" s="7"/>
      <c r="E40" s="7"/>
      <c r="F40" s="7"/>
      <c r="G40" s="7"/>
      <c r="H40" s="7"/>
      <c r="I40" s="7"/>
      <c r="J40" s="8"/>
      <c r="K40" s="9"/>
    </row>
    <row r="41">
      <c r="A41" s="6"/>
      <c r="B41" s="7"/>
      <c r="C41" s="7"/>
      <c r="D41" s="7"/>
      <c r="E41" s="7"/>
      <c r="F41" s="7"/>
      <c r="G41" s="7"/>
      <c r="H41" s="7"/>
      <c r="I41" s="7"/>
      <c r="J41" s="8"/>
      <c r="K41" s="9"/>
    </row>
    <row r="42">
      <c r="A42" s="6"/>
      <c r="B42" s="7"/>
      <c r="C42" s="7"/>
      <c r="D42" s="7"/>
      <c r="E42" s="7"/>
      <c r="F42" s="7"/>
      <c r="G42" s="7"/>
      <c r="H42" s="7"/>
      <c r="I42" s="7"/>
      <c r="J42" s="8"/>
      <c r="K42" s="9"/>
    </row>
    <row r="43">
      <c r="A43" s="6"/>
      <c r="B43" s="7"/>
      <c r="C43" s="7"/>
      <c r="D43" s="7"/>
      <c r="E43" s="7"/>
      <c r="F43" s="7"/>
      <c r="G43" s="7"/>
      <c r="H43" s="7"/>
      <c r="I43" s="7"/>
      <c r="J43" s="8"/>
      <c r="K43" s="9"/>
    </row>
    <row r="44">
      <c r="A44" s="6"/>
      <c r="B44" s="7"/>
      <c r="C44" s="7"/>
      <c r="D44" s="7"/>
      <c r="E44" s="7"/>
      <c r="F44" s="7"/>
      <c r="G44" s="7"/>
      <c r="H44" s="7"/>
      <c r="I44" s="7"/>
      <c r="J44" s="8"/>
      <c r="K44" s="9"/>
    </row>
    <row r="45">
      <c r="A45" s="6"/>
      <c r="B45" s="7"/>
      <c r="C45" s="7"/>
      <c r="D45" s="7"/>
      <c r="E45" s="7"/>
      <c r="F45" s="7"/>
      <c r="G45" s="7"/>
      <c r="H45" s="7"/>
      <c r="I45" s="7"/>
      <c r="J45" s="8"/>
      <c r="K45" s="9"/>
    </row>
    <row r="46">
      <c r="A46" s="6"/>
      <c r="B46" s="7"/>
      <c r="C46" s="7"/>
      <c r="D46" s="7"/>
      <c r="E46" s="7"/>
      <c r="F46" s="7"/>
      <c r="G46" s="7"/>
      <c r="H46" s="7"/>
      <c r="I46" s="7"/>
      <c r="J46" s="8"/>
      <c r="K46" s="9"/>
    </row>
    <row r="47">
      <c r="A47" s="6"/>
      <c r="B47" s="7"/>
      <c r="C47" s="7"/>
      <c r="D47" s="7"/>
      <c r="E47" s="7"/>
      <c r="F47" s="7"/>
      <c r="G47" s="7"/>
      <c r="H47" s="7"/>
      <c r="I47" s="7"/>
      <c r="J47" s="8"/>
      <c r="K47" s="9"/>
    </row>
    <row r="48">
      <c r="A48" s="6"/>
      <c r="B48" s="7"/>
      <c r="C48" s="7"/>
      <c r="D48" s="7"/>
      <c r="E48" s="7"/>
      <c r="F48" s="7"/>
      <c r="G48" s="7"/>
      <c r="H48" s="7"/>
      <c r="I48" s="7"/>
      <c r="J48" s="8"/>
      <c r="K48" s="9"/>
    </row>
    <row r="49">
      <c r="A49" s="6"/>
      <c r="B49" s="7"/>
      <c r="C49" s="7"/>
      <c r="D49" s="7"/>
      <c r="E49" s="7"/>
      <c r="F49" s="7"/>
      <c r="G49" s="7"/>
      <c r="H49" s="7"/>
      <c r="I49" s="7"/>
      <c r="J49" s="8"/>
      <c r="K49" s="9"/>
    </row>
    <row r="50">
      <c r="A50" s="6"/>
      <c r="B50" s="7"/>
      <c r="C50" s="7"/>
      <c r="D50" s="7"/>
      <c r="E50" s="7"/>
      <c r="F50" s="7"/>
      <c r="G50" s="7"/>
      <c r="H50" s="7"/>
      <c r="I50" s="7"/>
      <c r="J50" s="8"/>
      <c r="K50" s="9"/>
    </row>
    <row r="51">
      <c r="A51" s="6"/>
      <c r="B51" s="7"/>
      <c r="C51" s="7"/>
      <c r="D51" s="7"/>
      <c r="E51" s="7"/>
      <c r="F51" s="7"/>
      <c r="G51" s="7"/>
      <c r="H51" s="7"/>
      <c r="I51" s="7"/>
      <c r="J51" s="8"/>
      <c r="K51" s="9"/>
    </row>
    <row r="52">
      <c r="A52" s="6"/>
      <c r="B52" s="7"/>
      <c r="C52" s="7"/>
      <c r="D52" s="7"/>
      <c r="E52" s="7"/>
      <c r="F52" s="7"/>
      <c r="G52" s="7"/>
      <c r="H52" s="7"/>
      <c r="I52" s="7"/>
      <c r="J52" s="8"/>
      <c r="K52" s="9"/>
    </row>
    <row r="53">
      <c r="A53" s="6"/>
      <c r="B53" s="7"/>
      <c r="C53" s="7"/>
      <c r="D53" s="7"/>
      <c r="E53" s="7"/>
      <c r="F53" s="7"/>
      <c r="G53" s="7"/>
      <c r="H53" s="7"/>
      <c r="I53" s="7"/>
      <c r="J53" s="8"/>
      <c r="K53" s="9"/>
    </row>
    <row r="54">
      <c r="A54" s="6"/>
      <c r="B54" s="7"/>
      <c r="C54" s="7"/>
      <c r="D54" s="7"/>
      <c r="E54" s="7"/>
      <c r="F54" s="7"/>
      <c r="G54" s="7"/>
      <c r="H54" s="7"/>
      <c r="I54" s="7"/>
      <c r="J54" s="8"/>
      <c r="K54" s="9"/>
    </row>
    <row r="55">
      <c r="A55" s="6"/>
      <c r="B55" s="7"/>
      <c r="C55" s="7"/>
      <c r="D55" s="7"/>
      <c r="E55" s="7"/>
      <c r="F55" s="7"/>
      <c r="G55" s="7"/>
      <c r="H55" s="7"/>
      <c r="I55" s="7"/>
      <c r="J55" s="8"/>
      <c r="K55" s="9"/>
    </row>
    <row r="56">
      <c r="A56" s="6"/>
      <c r="B56" s="7"/>
      <c r="C56" s="7"/>
      <c r="D56" s="7"/>
      <c r="E56" s="7"/>
      <c r="F56" s="7"/>
      <c r="G56" s="7"/>
      <c r="H56" s="7"/>
      <c r="I56" s="7"/>
      <c r="J56" s="8"/>
      <c r="K56" s="9"/>
    </row>
    <row r="57">
      <c r="A57" s="6"/>
      <c r="B57" s="7"/>
      <c r="C57" s="7"/>
      <c r="D57" s="7"/>
      <c r="E57" s="7"/>
      <c r="F57" s="7"/>
      <c r="G57" s="7"/>
      <c r="H57" s="7"/>
      <c r="I57" s="7"/>
      <c r="J57" s="8"/>
      <c r="K57" s="9"/>
    </row>
    <row r="58">
      <c r="A58" s="6"/>
      <c r="B58" s="7"/>
      <c r="C58" s="7"/>
      <c r="D58" s="7"/>
      <c r="E58" s="7"/>
      <c r="F58" s="7"/>
      <c r="G58" s="7"/>
      <c r="H58" s="7"/>
      <c r="I58" s="7"/>
      <c r="J58" s="8"/>
      <c r="K58" s="9"/>
    </row>
    <row r="59">
      <c r="A59" s="6"/>
      <c r="B59" s="7"/>
      <c r="C59" s="7"/>
      <c r="D59" s="7"/>
      <c r="E59" s="7"/>
      <c r="F59" s="7"/>
      <c r="G59" s="7"/>
      <c r="H59" s="7"/>
      <c r="I59" s="7"/>
      <c r="J59" s="8"/>
      <c r="K59" s="9"/>
    </row>
    <row r="60">
      <c r="A60" s="6"/>
      <c r="B60" s="7"/>
      <c r="C60" s="7"/>
      <c r="D60" s="7"/>
      <c r="E60" s="7"/>
      <c r="F60" s="7"/>
      <c r="G60" s="7"/>
      <c r="H60" s="7"/>
      <c r="I60" s="7"/>
      <c r="J60" s="8"/>
      <c r="K60" s="9"/>
    </row>
    <row r="61">
      <c r="A61" s="6"/>
      <c r="B61" s="7"/>
      <c r="C61" s="7"/>
      <c r="D61" s="7"/>
      <c r="E61" s="7"/>
      <c r="F61" s="7"/>
      <c r="G61" s="7"/>
      <c r="H61" s="7"/>
      <c r="I61" s="7"/>
      <c r="J61" s="8"/>
      <c r="K61" s="9"/>
    </row>
    <row r="62">
      <c r="A62" s="6"/>
      <c r="B62" s="7"/>
      <c r="C62" s="7"/>
      <c r="D62" s="7"/>
      <c r="E62" s="7"/>
      <c r="F62" s="7"/>
      <c r="G62" s="7"/>
      <c r="H62" s="7"/>
      <c r="I62" s="7"/>
      <c r="J62" s="8"/>
      <c r="K62" s="9"/>
    </row>
    <row r="63">
      <c r="A63" s="6"/>
      <c r="B63" s="7"/>
      <c r="C63" s="7"/>
      <c r="D63" s="7"/>
      <c r="E63" s="7"/>
      <c r="F63" s="7"/>
      <c r="G63" s="7"/>
      <c r="H63" s="7"/>
      <c r="I63" s="7"/>
      <c r="J63" s="8"/>
      <c r="K63" s="9"/>
    </row>
    <row r="64">
      <c r="A64" s="6"/>
      <c r="B64" s="7"/>
      <c r="C64" s="7"/>
      <c r="D64" s="7"/>
      <c r="E64" s="7"/>
      <c r="F64" s="7"/>
      <c r="G64" s="7"/>
      <c r="H64" s="7"/>
      <c r="I64" s="7"/>
      <c r="J64" s="8"/>
      <c r="K64" s="9"/>
    </row>
    <row r="65">
      <c r="A65" s="6"/>
      <c r="B65" s="7"/>
      <c r="C65" s="7"/>
      <c r="D65" s="7"/>
      <c r="E65" s="7"/>
      <c r="F65" s="7"/>
      <c r="G65" s="7"/>
      <c r="H65" s="7"/>
      <c r="I65" s="7"/>
      <c r="J65" s="8"/>
      <c r="K65" s="9"/>
    </row>
    <row r="66">
      <c r="A66" s="6"/>
      <c r="B66" s="7"/>
      <c r="C66" s="7"/>
      <c r="D66" s="7"/>
      <c r="E66" s="7"/>
      <c r="F66" s="7"/>
      <c r="G66" s="7"/>
      <c r="H66" s="7"/>
      <c r="I66" s="7"/>
      <c r="J66" s="8"/>
      <c r="K66" s="9"/>
    </row>
    <row r="67">
      <c r="A67" s="6"/>
      <c r="B67" s="7"/>
      <c r="C67" s="7"/>
      <c r="D67" s="7"/>
      <c r="E67" s="7"/>
      <c r="F67" s="7"/>
      <c r="G67" s="7"/>
      <c r="H67" s="7"/>
      <c r="I67" s="7"/>
      <c r="J67" s="8"/>
      <c r="K67" s="9"/>
    </row>
    <row r="68">
      <c r="A68" s="6"/>
      <c r="B68" s="7"/>
      <c r="C68" s="7"/>
      <c r="D68" s="7"/>
      <c r="E68" s="7"/>
      <c r="F68" s="7"/>
      <c r="G68" s="7"/>
      <c r="H68" s="7"/>
      <c r="I68" s="7"/>
      <c r="J68" s="8"/>
      <c r="K68" s="9"/>
    </row>
    <row r="69">
      <c r="A69" s="6"/>
      <c r="B69" s="7"/>
      <c r="C69" s="7"/>
      <c r="D69" s="7"/>
      <c r="E69" s="7"/>
      <c r="F69" s="7"/>
      <c r="G69" s="7"/>
      <c r="H69" s="7"/>
      <c r="I69" s="7"/>
      <c r="J69" s="8"/>
      <c r="K69" s="9"/>
    </row>
    <row r="70">
      <c r="A70" s="6"/>
      <c r="B70" s="7"/>
      <c r="C70" s="7"/>
      <c r="D70" s="7"/>
      <c r="E70" s="7"/>
      <c r="F70" s="7"/>
      <c r="G70" s="7"/>
      <c r="H70" s="7"/>
      <c r="I70" s="7"/>
      <c r="J70" s="8"/>
      <c r="K70" s="9"/>
    </row>
    <row r="71">
      <c r="A71" s="6"/>
      <c r="B71" s="7"/>
      <c r="C71" s="7"/>
      <c r="D71" s="7"/>
      <c r="E71" s="7"/>
      <c r="F71" s="7"/>
      <c r="G71" s="7"/>
      <c r="H71" s="7"/>
      <c r="I71" s="7"/>
      <c r="J71" s="8"/>
      <c r="K71" s="9"/>
    </row>
    <row r="72">
      <c r="A72" s="6"/>
      <c r="B72" s="7"/>
      <c r="C72" s="7"/>
      <c r="D72" s="7"/>
      <c r="E72" s="7"/>
      <c r="F72" s="7"/>
      <c r="G72" s="7"/>
      <c r="H72" s="7"/>
      <c r="I72" s="7"/>
      <c r="J72" s="8"/>
      <c r="K72" s="9"/>
    </row>
    <row r="73">
      <c r="A73" s="6"/>
      <c r="B73" s="7"/>
      <c r="C73" s="7"/>
      <c r="D73" s="7"/>
      <c r="E73" s="7"/>
      <c r="F73" s="7"/>
      <c r="G73" s="7"/>
      <c r="H73" s="7"/>
      <c r="I73" s="7"/>
      <c r="J73" s="8"/>
      <c r="K73" s="9"/>
    </row>
    <row r="74">
      <c r="A74" s="6"/>
      <c r="B74" s="7"/>
      <c r="C74" s="7"/>
      <c r="D74" s="7"/>
      <c r="E74" s="7"/>
      <c r="F74" s="7"/>
      <c r="G74" s="7"/>
      <c r="H74" s="7"/>
      <c r="I74" s="7"/>
      <c r="J74" s="8"/>
      <c r="K74" s="9"/>
    </row>
    <row r="75">
      <c r="A75" s="6"/>
      <c r="B75" s="7"/>
      <c r="C75" s="7"/>
      <c r="D75" s="7"/>
      <c r="E75" s="7"/>
      <c r="F75" s="7"/>
      <c r="G75" s="7"/>
      <c r="H75" s="7"/>
      <c r="I75" s="7"/>
      <c r="J75" s="8"/>
      <c r="K75" s="9"/>
    </row>
    <row r="76">
      <c r="A76" s="6"/>
      <c r="B76" s="7"/>
      <c r="C76" s="7"/>
      <c r="D76" s="7"/>
      <c r="E76" s="7"/>
      <c r="F76" s="7"/>
      <c r="G76" s="7"/>
      <c r="H76" s="7"/>
      <c r="I76" s="7"/>
      <c r="J76" s="8"/>
      <c r="K76" s="9"/>
    </row>
    <row r="77">
      <c r="A77" s="6"/>
      <c r="B77" s="7"/>
      <c r="C77" s="7"/>
      <c r="D77" s="7"/>
      <c r="E77" s="7"/>
      <c r="F77" s="7"/>
      <c r="G77" s="7"/>
      <c r="H77" s="7"/>
      <c r="I77" s="7"/>
      <c r="J77" s="8"/>
      <c r="K77" s="9"/>
    </row>
    <row r="78">
      <c r="A78" s="6"/>
      <c r="B78" s="7"/>
      <c r="C78" s="7"/>
      <c r="D78" s="7"/>
      <c r="E78" s="7"/>
      <c r="F78" s="7"/>
      <c r="G78" s="7"/>
      <c r="H78" s="7"/>
      <c r="I78" s="7"/>
      <c r="J78" s="8"/>
      <c r="K78" s="9"/>
    </row>
    <row r="79">
      <c r="A79" s="6"/>
      <c r="B79" s="7"/>
      <c r="C79" s="7"/>
      <c r="D79" s="7"/>
      <c r="E79" s="7"/>
      <c r="F79" s="7"/>
      <c r="G79" s="7"/>
      <c r="H79" s="7"/>
      <c r="I79" s="7"/>
      <c r="J79" s="8"/>
      <c r="K79" s="9"/>
    </row>
    <row r="80">
      <c r="A80" s="6"/>
      <c r="B80" s="7"/>
      <c r="C80" s="7"/>
      <c r="D80" s="7"/>
      <c r="E80" s="7"/>
      <c r="F80" s="7"/>
      <c r="G80" s="7"/>
      <c r="H80" s="7"/>
      <c r="I80" s="7"/>
      <c r="J80" s="8"/>
      <c r="K80" s="9"/>
    </row>
    <row r="81">
      <c r="A81" s="6"/>
      <c r="B81" s="7"/>
      <c r="C81" s="7"/>
      <c r="D81" s="7"/>
      <c r="E81" s="7"/>
      <c r="F81" s="7"/>
      <c r="G81" s="7"/>
      <c r="H81" s="7"/>
      <c r="I81" s="7"/>
      <c r="J81" s="8"/>
      <c r="K81" s="9"/>
    </row>
    <row r="82">
      <c r="A82" s="6"/>
      <c r="B82" s="7"/>
      <c r="C82" s="7"/>
      <c r="D82" s="7"/>
      <c r="E82" s="7"/>
      <c r="F82" s="7"/>
      <c r="G82" s="7"/>
      <c r="H82" s="7"/>
      <c r="I82" s="7"/>
      <c r="J82" s="8"/>
      <c r="K82" s="9"/>
    </row>
    <row r="83">
      <c r="A83" s="6"/>
      <c r="B83" s="7"/>
      <c r="C83" s="7"/>
      <c r="D83" s="7"/>
      <c r="E83" s="7"/>
      <c r="F83" s="7"/>
      <c r="G83" s="7"/>
      <c r="H83" s="7"/>
      <c r="I83" s="7"/>
      <c r="J83" s="8"/>
      <c r="K83" s="9"/>
    </row>
    <row r="84">
      <c r="A84" s="6"/>
      <c r="B84" s="7"/>
      <c r="C84" s="7"/>
      <c r="D84" s="7"/>
      <c r="E84" s="7"/>
      <c r="F84" s="7"/>
      <c r="G84" s="7"/>
      <c r="H84" s="7"/>
      <c r="I84" s="7"/>
      <c r="J84" s="8"/>
      <c r="K84" s="9"/>
    </row>
    <row r="85">
      <c r="A85" s="6"/>
      <c r="B85" s="7"/>
      <c r="C85" s="7"/>
      <c r="D85" s="7"/>
      <c r="E85" s="7"/>
      <c r="F85" s="7"/>
      <c r="G85" s="7"/>
      <c r="H85" s="7"/>
      <c r="I85" s="7"/>
      <c r="J85" s="8"/>
      <c r="K85" s="9"/>
    </row>
    <row r="86">
      <c r="A86" s="6"/>
      <c r="B86" s="7"/>
      <c r="C86" s="7"/>
      <c r="D86" s="7"/>
      <c r="E86" s="7"/>
      <c r="F86" s="7"/>
      <c r="G86" s="7"/>
      <c r="H86" s="7"/>
      <c r="I86" s="7"/>
      <c r="J86" s="8"/>
      <c r="K86" s="9"/>
    </row>
    <row r="87">
      <c r="A87" s="6"/>
      <c r="B87" s="7"/>
      <c r="C87" s="7"/>
      <c r="D87" s="7"/>
      <c r="E87" s="7"/>
      <c r="F87" s="7"/>
      <c r="G87" s="7"/>
      <c r="H87" s="7"/>
      <c r="I87" s="7"/>
      <c r="J87" s="8"/>
      <c r="K87" s="9"/>
    </row>
    <row r="88">
      <c r="A88" s="6"/>
      <c r="B88" s="7"/>
      <c r="C88" s="7"/>
      <c r="D88" s="7"/>
      <c r="E88" s="7"/>
      <c r="F88" s="7"/>
      <c r="G88" s="7"/>
      <c r="H88" s="7"/>
      <c r="I88" s="7"/>
      <c r="J88" s="8"/>
      <c r="K88" s="9"/>
    </row>
    <row r="89">
      <c r="A89" s="6"/>
      <c r="B89" s="7"/>
      <c r="C89" s="7"/>
      <c r="D89" s="7"/>
      <c r="E89" s="7"/>
      <c r="F89" s="7"/>
      <c r="G89" s="7"/>
      <c r="H89" s="7"/>
      <c r="I89" s="7"/>
      <c r="J89" s="8"/>
      <c r="K89" s="9"/>
    </row>
    <row r="90">
      <c r="A90" s="6"/>
      <c r="B90" s="7"/>
      <c r="C90" s="7"/>
      <c r="D90" s="7"/>
      <c r="E90" s="7"/>
      <c r="F90" s="7"/>
      <c r="G90" s="7"/>
      <c r="H90" s="7"/>
      <c r="I90" s="7"/>
      <c r="J90" s="8"/>
      <c r="K90" s="9"/>
    </row>
    <row r="91">
      <c r="A91" s="6"/>
      <c r="B91" s="7"/>
      <c r="C91" s="7"/>
      <c r="D91" s="7"/>
      <c r="E91" s="7"/>
      <c r="F91" s="7"/>
      <c r="G91" s="7"/>
      <c r="H91" s="7"/>
      <c r="I91" s="7"/>
      <c r="J91" s="8"/>
      <c r="K91" s="9"/>
    </row>
    <row r="92">
      <c r="A92" s="6"/>
      <c r="B92" s="7"/>
      <c r="C92" s="7"/>
      <c r="D92" s="7"/>
      <c r="E92" s="7"/>
      <c r="F92" s="7"/>
      <c r="G92" s="7"/>
      <c r="H92" s="7"/>
      <c r="I92" s="7"/>
      <c r="J92" s="8"/>
      <c r="K92" s="9"/>
    </row>
    <row r="93">
      <c r="A93" s="6"/>
      <c r="B93" s="7"/>
      <c r="C93" s="7"/>
      <c r="D93" s="7"/>
      <c r="E93" s="7"/>
      <c r="F93" s="7"/>
      <c r="G93" s="7"/>
      <c r="H93" s="7"/>
      <c r="I93" s="7"/>
      <c r="J93" s="8"/>
      <c r="K93" s="9"/>
    </row>
    <row r="94">
      <c r="A94" s="6"/>
      <c r="B94" s="7"/>
      <c r="C94" s="7"/>
      <c r="D94" s="7"/>
      <c r="E94" s="7"/>
      <c r="F94" s="7"/>
      <c r="G94" s="7"/>
      <c r="H94" s="7"/>
      <c r="I94" s="7"/>
      <c r="J94" s="8"/>
      <c r="K94" s="9"/>
    </row>
    <row r="95">
      <c r="A95" s="6"/>
      <c r="B95" s="7"/>
      <c r="C95" s="7"/>
      <c r="D95" s="7"/>
      <c r="E95" s="7"/>
      <c r="F95" s="7"/>
      <c r="G95" s="7"/>
      <c r="H95" s="7"/>
      <c r="I95" s="7"/>
      <c r="J95" s="8"/>
      <c r="K95" s="9"/>
    </row>
    <row r="96">
      <c r="A96" s="6"/>
      <c r="B96" s="7"/>
      <c r="C96" s="7"/>
      <c r="D96" s="7"/>
      <c r="E96" s="7"/>
      <c r="F96" s="7"/>
      <c r="G96" s="7"/>
      <c r="H96" s="7"/>
      <c r="I96" s="7"/>
      <c r="J96" s="8"/>
      <c r="K96" s="9"/>
    </row>
    <row r="97">
      <c r="A97" s="6"/>
      <c r="B97" s="7"/>
      <c r="C97" s="7"/>
      <c r="D97" s="7"/>
      <c r="E97" s="7"/>
      <c r="F97" s="7"/>
      <c r="G97" s="7"/>
      <c r="H97" s="7"/>
      <c r="I97" s="7"/>
      <c r="J97" s="8"/>
      <c r="K97" s="9"/>
    </row>
    <row r="98">
      <c r="A98" s="6"/>
      <c r="B98" s="7"/>
      <c r="C98" s="7"/>
      <c r="D98" s="7"/>
      <c r="E98" s="7"/>
      <c r="F98" s="7"/>
      <c r="G98" s="7"/>
      <c r="H98" s="7"/>
      <c r="I98" s="7"/>
      <c r="J98" s="8"/>
      <c r="K98" s="9"/>
    </row>
    <row r="99">
      <c r="A99" s="6"/>
      <c r="B99" s="7"/>
      <c r="C99" s="7"/>
      <c r="D99" s="7"/>
      <c r="E99" s="7"/>
      <c r="F99" s="7"/>
      <c r="G99" s="7"/>
      <c r="H99" s="7"/>
      <c r="I99" s="7"/>
      <c r="J99" s="8"/>
      <c r="K99" s="9"/>
    </row>
    <row r="100">
      <c r="A100" s="6"/>
      <c r="B100" s="7"/>
      <c r="C100" s="7"/>
      <c r="D100" s="7"/>
      <c r="E100" s="7"/>
      <c r="F100" s="7"/>
      <c r="G100" s="7"/>
      <c r="H100" s="7"/>
      <c r="I100" s="7"/>
      <c r="J100" s="8"/>
      <c r="K100" s="9"/>
    </row>
    <row r="101">
      <c r="A101" s="6"/>
      <c r="B101" s="7"/>
      <c r="C101" s="7"/>
      <c r="D101" s="7"/>
      <c r="E101" s="7"/>
      <c r="F101" s="7"/>
      <c r="G101" s="7"/>
      <c r="H101" s="7"/>
      <c r="I101" s="7"/>
      <c r="J101" s="8"/>
      <c r="K101" s="9"/>
    </row>
    <row r="102">
      <c r="A102" s="6"/>
      <c r="B102" s="7"/>
      <c r="C102" s="7"/>
      <c r="D102" s="7"/>
      <c r="E102" s="7"/>
      <c r="F102" s="7"/>
      <c r="G102" s="7"/>
      <c r="H102" s="7"/>
      <c r="I102" s="7"/>
      <c r="J102" s="8"/>
      <c r="K102" s="9"/>
    </row>
    <row r="103">
      <c r="A103" s="6"/>
      <c r="B103" s="7"/>
      <c r="C103" s="7"/>
      <c r="D103" s="7"/>
      <c r="E103" s="7"/>
      <c r="F103" s="7"/>
      <c r="G103" s="7"/>
      <c r="H103" s="7"/>
      <c r="I103" s="7"/>
      <c r="J103" s="8"/>
      <c r="K103" s="9"/>
    </row>
    <row r="104">
      <c r="A104" s="6"/>
      <c r="B104" s="7"/>
      <c r="C104" s="7"/>
      <c r="D104" s="7"/>
      <c r="E104" s="7"/>
      <c r="F104" s="7"/>
      <c r="G104" s="7"/>
      <c r="H104" s="7"/>
      <c r="I104" s="7"/>
      <c r="J104" s="8"/>
      <c r="K104" s="9"/>
    </row>
    <row r="105">
      <c r="A105" s="6"/>
      <c r="B105" s="7"/>
      <c r="C105" s="7"/>
      <c r="D105" s="7"/>
      <c r="E105" s="7"/>
      <c r="F105" s="7"/>
      <c r="G105" s="7"/>
      <c r="H105" s="7"/>
      <c r="I105" s="7"/>
      <c r="J105" s="8"/>
      <c r="K105" s="9"/>
    </row>
    <row r="106">
      <c r="A106" s="6"/>
      <c r="B106" s="7"/>
      <c r="C106" s="7"/>
      <c r="D106" s="7"/>
      <c r="E106" s="7"/>
      <c r="F106" s="7"/>
      <c r="G106" s="7"/>
      <c r="H106" s="7"/>
      <c r="I106" s="7"/>
      <c r="J106" s="8"/>
      <c r="K106" s="9"/>
    </row>
    <row r="107">
      <c r="A107" s="6"/>
      <c r="B107" s="7"/>
      <c r="C107" s="7"/>
      <c r="D107" s="7"/>
      <c r="E107" s="7"/>
      <c r="F107" s="7"/>
      <c r="G107" s="7"/>
      <c r="H107" s="7"/>
      <c r="I107" s="7"/>
      <c r="J107" s="8"/>
      <c r="K107" s="9"/>
    </row>
    <row r="108">
      <c r="A108" s="6"/>
      <c r="B108" s="7"/>
      <c r="C108" s="7"/>
      <c r="D108" s="7"/>
      <c r="E108" s="7"/>
      <c r="F108" s="7"/>
      <c r="G108" s="7"/>
      <c r="H108" s="7"/>
      <c r="I108" s="7"/>
      <c r="J108" s="8"/>
      <c r="K108" s="9"/>
    </row>
    <row r="109">
      <c r="A109" s="6"/>
      <c r="B109" s="7"/>
      <c r="C109" s="7"/>
      <c r="D109" s="7"/>
      <c r="E109" s="7"/>
      <c r="F109" s="7"/>
      <c r="G109" s="7"/>
      <c r="H109" s="7"/>
      <c r="I109" s="7"/>
      <c r="J109" s="8"/>
      <c r="K109" s="9"/>
    </row>
    <row r="110">
      <c r="A110" s="6"/>
      <c r="B110" s="7"/>
      <c r="C110" s="7"/>
      <c r="D110" s="7"/>
      <c r="E110" s="7"/>
      <c r="F110" s="7"/>
      <c r="G110" s="7"/>
      <c r="H110" s="7"/>
      <c r="I110" s="7"/>
      <c r="J110" s="8"/>
      <c r="K110" s="9"/>
    </row>
    <row r="111">
      <c r="A111" s="6"/>
      <c r="B111" s="7"/>
      <c r="C111" s="7"/>
      <c r="D111" s="7"/>
      <c r="E111" s="7"/>
      <c r="F111" s="7"/>
      <c r="G111" s="7"/>
      <c r="H111" s="7"/>
      <c r="I111" s="7"/>
      <c r="J111" s="8"/>
      <c r="K111" s="9"/>
    </row>
    <row r="112">
      <c r="A112" s="6"/>
      <c r="B112" s="7"/>
      <c r="C112" s="7"/>
      <c r="D112" s="7"/>
      <c r="E112" s="7"/>
      <c r="F112" s="7"/>
      <c r="G112" s="7"/>
      <c r="H112" s="7"/>
      <c r="I112" s="7"/>
      <c r="J112" s="8"/>
      <c r="K112" s="9"/>
    </row>
    <row r="113">
      <c r="A113" s="6"/>
      <c r="B113" s="7"/>
      <c r="C113" s="7"/>
      <c r="D113" s="7"/>
      <c r="E113" s="7"/>
      <c r="F113" s="7"/>
      <c r="G113" s="7"/>
      <c r="H113" s="7"/>
      <c r="I113" s="7"/>
      <c r="J113" s="8"/>
      <c r="K113" s="9"/>
    </row>
    <row r="114">
      <c r="A114" s="6"/>
      <c r="B114" s="7"/>
      <c r="C114" s="7"/>
      <c r="D114" s="7"/>
      <c r="E114" s="7"/>
      <c r="F114" s="7"/>
      <c r="G114" s="7"/>
      <c r="H114" s="7"/>
      <c r="I114" s="7"/>
      <c r="J114" s="8"/>
      <c r="K114" s="9"/>
    </row>
    <row r="115">
      <c r="A115" s="6"/>
      <c r="B115" s="7"/>
      <c r="C115" s="7"/>
      <c r="D115" s="7"/>
      <c r="E115" s="7"/>
      <c r="F115" s="7"/>
      <c r="G115" s="7"/>
      <c r="H115" s="7"/>
      <c r="I115" s="7"/>
      <c r="J115" s="8"/>
      <c r="K115" s="9"/>
    </row>
    <row r="116">
      <c r="A116" s="6"/>
      <c r="B116" s="7"/>
      <c r="C116" s="7"/>
      <c r="D116" s="7"/>
      <c r="E116" s="7"/>
      <c r="F116" s="7"/>
      <c r="G116" s="7"/>
      <c r="H116" s="7"/>
      <c r="I116" s="7"/>
      <c r="J116" s="8"/>
      <c r="K116" s="9"/>
    </row>
    <row r="117">
      <c r="A117" s="6"/>
      <c r="B117" s="7"/>
      <c r="C117" s="7"/>
      <c r="D117" s="7"/>
      <c r="E117" s="7"/>
      <c r="F117" s="7"/>
      <c r="G117" s="7"/>
      <c r="H117" s="7"/>
      <c r="I117" s="7"/>
      <c r="J117" s="8"/>
      <c r="K117" s="9"/>
    </row>
    <row r="118">
      <c r="A118" s="6"/>
      <c r="B118" s="7"/>
      <c r="C118" s="7"/>
      <c r="D118" s="7"/>
      <c r="E118" s="7"/>
      <c r="F118" s="7"/>
      <c r="G118" s="7"/>
      <c r="H118" s="7"/>
      <c r="I118" s="7"/>
      <c r="J118" s="8"/>
      <c r="K118" s="9"/>
    </row>
    <row r="119">
      <c r="A119" s="6"/>
      <c r="B119" s="7"/>
      <c r="C119" s="7"/>
      <c r="D119" s="7"/>
      <c r="E119" s="7"/>
      <c r="F119" s="7"/>
      <c r="G119" s="7"/>
      <c r="H119" s="7"/>
      <c r="I119" s="7"/>
      <c r="J119" s="8"/>
      <c r="K119" s="9"/>
    </row>
    <row r="120">
      <c r="A120" s="6"/>
      <c r="B120" s="7"/>
      <c r="C120" s="7"/>
      <c r="D120" s="7"/>
      <c r="E120" s="7"/>
      <c r="F120" s="7"/>
      <c r="G120" s="7"/>
      <c r="H120" s="7"/>
      <c r="I120" s="7"/>
      <c r="J120" s="8"/>
      <c r="K120" s="9"/>
    </row>
    <row r="121">
      <c r="A121" s="6"/>
      <c r="B121" s="7"/>
      <c r="C121" s="7"/>
      <c r="D121" s="7"/>
      <c r="E121" s="7"/>
      <c r="F121" s="7"/>
      <c r="G121" s="7"/>
      <c r="H121" s="7"/>
      <c r="I121" s="7"/>
      <c r="J121" s="8"/>
      <c r="K121" s="9"/>
    </row>
    <row r="122">
      <c r="A122" s="6"/>
      <c r="B122" s="7"/>
      <c r="C122" s="7"/>
      <c r="D122" s="7"/>
      <c r="E122" s="7"/>
      <c r="F122" s="7"/>
      <c r="G122" s="7"/>
      <c r="H122" s="7"/>
      <c r="I122" s="7"/>
      <c r="J122" s="8"/>
      <c r="K122" s="9"/>
    </row>
    <row r="123">
      <c r="A123" s="6"/>
      <c r="B123" s="7"/>
      <c r="C123" s="7"/>
      <c r="D123" s="7"/>
      <c r="E123" s="7"/>
      <c r="F123" s="7"/>
      <c r="G123" s="7"/>
      <c r="H123" s="7"/>
      <c r="I123" s="7"/>
      <c r="J123" s="8"/>
      <c r="K123" s="9"/>
    </row>
    <row r="124">
      <c r="A124" s="6"/>
      <c r="B124" s="7"/>
      <c r="C124" s="7"/>
      <c r="D124" s="7"/>
      <c r="E124" s="7"/>
      <c r="F124" s="7"/>
      <c r="G124" s="7"/>
      <c r="H124" s="7"/>
      <c r="I124" s="7"/>
      <c r="J124" s="8"/>
      <c r="K124" s="9"/>
    </row>
    <row r="125">
      <c r="A125" s="6"/>
      <c r="B125" s="7"/>
      <c r="C125" s="7"/>
      <c r="D125" s="7"/>
      <c r="E125" s="7"/>
      <c r="F125" s="7"/>
      <c r="G125" s="7"/>
      <c r="H125" s="7"/>
      <c r="I125" s="7"/>
      <c r="J125" s="8"/>
      <c r="K125" s="9"/>
    </row>
    <row r="126">
      <c r="A126" s="6"/>
      <c r="B126" s="7"/>
      <c r="C126" s="7"/>
      <c r="D126" s="7"/>
      <c r="E126" s="7"/>
      <c r="F126" s="7"/>
      <c r="G126" s="7"/>
      <c r="H126" s="7"/>
      <c r="I126" s="7"/>
      <c r="J126" s="8"/>
      <c r="K126" s="9"/>
    </row>
    <row r="127">
      <c r="A127" s="6"/>
      <c r="B127" s="7"/>
      <c r="C127" s="7"/>
      <c r="D127" s="7"/>
      <c r="E127" s="7"/>
      <c r="F127" s="7"/>
      <c r="G127" s="7"/>
      <c r="H127" s="7"/>
      <c r="I127" s="7"/>
      <c r="J127" s="8"/>
      <c r="K127" s="9"/>
    </row>
    <row r="128">
      <c r="A128" s="6"/>
      <c r="B128" s="7"/>
      <c r="C128" s="7"/>
      <c r="D128" s="7"/>
      <c r="E128" s="7"/>
      <c r="F128" s="7"/>
      <c r="G128" s="7"/>
      <c r="H128" s="7"/>
      <c r="I128" s="7"/>
      <c r="J128" s="8"/>
      <c r="K128" s="9"/>
    </row>
    <row r="129">
      <c r="A129" s="6"/>
      <c r="B129" s="7"/>
      <c r="C129" s="7"/>
      <c r="D129" s="7"/>
      <c r="E129" s="7"/>
      <c r="F129" s="7"/>
      <c r="G129" s="7"/>
      <c r="H129" s="7"/>
      <c r="I129" s="7"/>
      <c r="J129" s="8"/>
      <c r="K129" s="9"/>
    </row>
    <row r="130">
      <c r="A130" s="6"/>
      <c r="B130" s="7"/>
      <c r="C130" s="7"/>
      <c r="D130" s="7"/>
      <c r="E130" s="7"/>
      <c r="F130" s="7"/>
      <c r="G130" s="7"/>
      <c r="H130" s="7"/>
      <c r="I130" s="7"/>
      <c r="J130" s="8"/>
      <c r="K130" s="9"/>
    </row>
    <row r="131">
      <c r="A131" s="6"/>
      <c r="B131" s="7"/>
      <c r="C131" s="7"/>
      <c r="D131" s="7"/>
      <c r="E131" s="7"/>
      <c r="F131" s="7"/>
      <c r="G131" s="7"/>
      <c r="H131" s="7"/>
      <c r="I131" s="7"/>
      <c r="J131" s="8"/>
      <c r="K131" s="9"/>
    </row>
    <row r="132">
      <c r="A132" s="6"/>
      <c r="B132" s="7"/>
      <c r="C132" s="7"/>
      <c r="D132" s="7"/>
      <c r="E132" s="7"/>
      <c r="F132" s="7"/>
      <c r="G132" s="7"/>
      <c r="H132" s="7"/>
      <c r="I132" s="7"/>
      <c r="J132" s="8"/>
      <c r="K132" s="9"/>
    </row>
    <row r="133">
      <c r="A133" s="6"/>
      <c r="B133" s="7"/>
      <c r="C133" s="7"/>
      <c r="D133" s="7"/>
      <c r="E133" s="7"/>
      <c r="F133" s="7"/>
      <c r="G133" s="7"/>
      <c r="H133" s="7"/>
      <c r="I133" s="7"/>
      <c r="J133" s="8"/>
      <c r="K133" s="9"/>
    </row>
    <row r="134">
      <c r="A134" s="6"/>
      <c r="B134" s="7"/>
      <c r="C134" s="7"/>
      <c r="D134" s="7"/>
      <c r="E134" s="7"/>
      <c r="F134" s="7"/>
      <c r="G134" s="7"/>
      <c r="H134" s="7"/>
      <c r="I134" s="7"/>
      <c r="J134" s="8"/>
      <c r="K134" s="9"/>
    </row>
    <row r="135">
      <c r="A135" s="6"/>
      <c r="B135" s="7"/>
      <c r="C135" s="7"/>
      <c r="D135" s="7"/>
      <c r="E135" s="7"/>
      <c r="F135" s="7"/>
      <c r="G135" s="7"/>
      <c r="H135" s="7"/>
      <c r="I135" s="7"/>
      <c r="J135" s="8"/>
      <c r="K135" s="9"/>
    </row>
    <row r="136">
      <c r="A136" s="6"/>
      <c r="B136" s="7"/>
      <c r="C136" s="7"/>
      <c r="D136" s="7"/>
      <c r="E136" s="7"/>
      <c r="F136" s="7"/>
      <c r="G136" s="7"/>
      <c r="H136" s="7"/>
      <c r="I136" s="7"/>
      <c r="J136" s="8"/>
      <c r="K136" s="9"/>
    </row>
    <row r="137">
      <c r="A137" s="6"/>
      <c r="B137" s="7"/>
      <c r="C137" s="7"/>
      <c r="D137" s="7"/>
      <c r="E137" s="7"/>
      <c r="F137" s="7"/>
      <c r="G137" s="7"/>
      <c r="H137" s="7"/>
      <c r="I137" s="7"/>
      <c r="J137" s="8"/>
      <c r="K137" s="9"/>
    </row>
    <row r="138">
      <c r="A138" s="6"/>
      <c r="B138" s="7"/>
      <c r="C138" s="7"/>
      <c r="D138" s="7"/>
      <c r="E138" s="7"/>
      <c r="F138" s="7"/>
      <c r="G138" s="7"/>
      <c r="H138" s="7"/>
      <c r="I138" s="7"/>
      <c r="J138" s="8"/>
      <c r="K138" s="9"/>
    </row>
    <row r="139">
      <c r="A139" s="6"/>
      <c r="B139" s="7"/>
      <c r="C139" s="7"/>
      <c r="D139" s="7"/>
      <c r="E139" s="7"/>
      <c r="F139" s="7"/>
      <c r="G139" s="7"/>
      <c r="H139" s="7"/>
      <c r="I139" s="7"/>
      <c r="J139" s="8"/>
      <c r="K139" s="9"/>
    </row>
    <row r="140">
      <c r="A140" s="6"/>
      <c r="B140" s="7"/>
      <c r="C140" s="7"/>
      <c r="D140" s="7"/>
      <c r="E140" s="7"/>
      <c r="F140" s="7"/>
      <c r="G140" s="7"/>
      <c r="H140" s="7"/>
      <c r="I140" s="7"/>
      <c r="J140" s="8"/>
      <c r="K140" s="9"/>
    </row>
    <row r="141">
      <c r="A141" s="6"/>
      <c r="B141" s="7"/>
      <c r="C141" s="7"/>
      <c r="D141" s="7"/>
      <c r="E141" s="7"/>
      <c r="F141" s="7"/>
      <c r="G141" s="7"/>
      <c r="H141" s="7"/>
      <c r="I141" s="7"/>
      <c r="J141" s="8"/>
      <c r="K141" s="9"/>
    </row>
    <row r="142">
      <c r="A142" s="6"/>
      <c r="B142" s="7"/>
      <c r="C142" s="7"/>
      <c r="D142" s="7"/>
      <c r="E142" s="7"/>
      <c r="F142" s="7"/>
      <c r="G142" s="7"/>
      <c r="H142" s="7"/>
      <c r="I142" s="7"/>
      <c r="J142" s="8"/>
      <c r="K142" s="9"/>
    </row>
    <row r="143">
      <c r="A143" s="6"/>
      <c r="B143" s="7"/>
      <c r="C143" s="7"/>
      <c r="D143" s="7"/>
      <c r="E143" s="7"/>
      <c r="F143" s="7"/>
      <c r="G143" s="7"/>
      <c r="H143" s="7"/>
      <c r="I143" s="7"/>
      <c r="J143" s="8"/>
      <c r="K143" s="9"/>
    </row>
    <row r="144">
      <c r="A144" s="6"/>
      <c r="B144" s="7"/>
      <c r="C144" s="7"/>
      <c r="D144" s="7"/>
      <c r="E144" s="7"/>
      <c r="F144" s="7"/>
      <c r="G144" s="7"/>
      <c r="H144" s="7"/>
      <c r="I144" s="7"/>
      <c r="J144" s="8"/>
      <c r="K144" s="9"/>
    </row>
    <row r="145">
      <c r="A145" s="6"/>
      <c r="B145" s="7"/>
      <c r="C145" s="7"/>
      <c r="D145" s="7"/>
      <c r="E145" s="7"/>
      <c r="F145" s="7"/>
      <c r="G145" s="7"/>
      <c r="H145" s="7"/>
      <c r="I145" s="7"/>
      <c r="J145" s="8"/>
      <c r="K145" s="9"/>
    </row>
    <row r="146">
      <c r="A146" s="6"/>
      <c r="B146" s="7"/>
      <c r="C146" s="7"/>
      <c r="D146" s="7"/>
      <c r="E146" s="7"/>
      <c r="F146" s="7"/>
      <c r="G146" s="7"/>
      <c r="H146" s="7"/>
      <c r="I146" s="7"/>
      <c r="J146" s="8"/>
      <c r="K146" s="9"/>
    </row>
    <row r="147">
      <c r="A147" s="6"/>
      <c r="B147" s="7"/>
      <c r="C147" s="7"/>
      <c r="D147" s="7"/>
      <c r="E147" s="7"/>
      <c r="F147" s="7"/>
      <c r="G147" s="7"/>
      <c r="H147" s="7"/>
      <c r="I147" s="7"/>
      <c r="J147" s="8"/>
      <c r="K147" s="9"/>
    </row>
    <row r="148">
      <c r="A148" s="6"/>
      <c r="B148" s="7"/>
      <c r="C148" s="7"/>
      <c r="D148" s="7"/>
      <c r="E148" s="7"/>
      <c r="F148" s="7"/>
      <c r="G148" s="7"/>
      <c r="H148" s="7"/>
      <c r="I148" s="7"/>
      <c r="J148" s="8"/>
      <c r="K148" s="9"/>
    </row>
    <row r="149">
      <c r="A149" s="6"/>
      <c r="B149" s="7"/>
      <c r="C149" s="7"/>
      <c r="D149" s="7"/>
      <c r="E149" s="7"/>
      <c r="F149" s="7"/>
      <c r="G149" s="7"/>
      <c r="H149" s="7"/>
      <c r="I149" s="7"/>
      <c r="J149" s="8"/>
      <c r="K149" s="9"/>
    </row>
    <row r="150">
      <c r="A150" s="6"/>
      <c r="B150" s="7"/>
      <c r="C150" s="7"/>
      <c r="D150" s="7"/>
      <c r="E150" s="7"/>
      <c r="F150" s="7"/>
      <c r="G150" s="7"/>
      <c r="H150" s="7"/>
      <c r="I150" s="7"/>
      <c r="J150" s="8"/>
      <c r="K150" s="9"/>
    </row>
    <row r="151">
      <c r="A151" s="6"/>
      <c r="B151" s="7"/>
      <c r="C151" s="7"/>
      <c r="D151" s="7"/>
      <c r="E151" s="7"/>
      <c r="F151" s="7"/>
      <c r="G151" s="7"/>
      <c r="H151" s="7"/>
      <c r="I151" s="7"/>
      <c r="J151" s="8"/>
      <c r="K151" s="9"/>
    </row>
    <row r="152">
      <c r="A152" s="6"/>
      <c r="B152" s="7"/>
      <c r="C152" s="7"/>
      <c r="D152" s="7"/>
      <c r="E152" s="7"/>
      <c r="F152" s="7"/>
      <c r="G152" s="7"/>
      <c r="H152" s="7"/>
      <c r="I152" s="7"/>
      <c r="J152" s="8"/>
      <c r="K152" s="9"/>
    </row>
    <row r="153">
      <c r="A153" s="6"/>
      <c r="B153" s="7"/>
      <c r="C153" s="7"/>
      <c r="D153" s="7"/>
      <c r="E153" s="7"/>
      <c r="F153" s="7"/>
      <c r="G153" s="7"/>
      <c r="H153" s="7"/>
      <c r="I153" s="7"/>
      <c r="J153" s="8"/>
      <c r="K153" s="9"/>
    </row>
    <row r="154">
      <c r="A154" s="6"/>
      <c r="B154" s="7"/>
      <c r="C154" s="7"/>
      <c r="D154" s="7"/>
      <c r="E154" s="7"/>
      <c r="F154" s="7"/>
      <c r="G154" s="7"/>
      <c r="H154" s="7"/>
      <c r="I154" s="7"/>
      <c r="J154" s="8"/>
      <c r="K154" s="9"/>
    </row>
    <row r="155">
      <c r="A155" s="6"/>
      <c r="B155" s="7"/>
      <c r="C155" s="7"/>
      <c r="D155" s="7"/>
      <c r="E155" s="7"/>
      <c r="F155" s="7"/>
      <c r="G155" s="7"/>
      <c r="H155" s="7"/>
      <c r="I155" s="7"/>
      <c r="J155" s="8"/>
      <c r="K155" s="9"/>
    </row>
    <row r="156">
      <c r="A156" s="6"/>
      <c r="B156" s="7"/>
      <c r="C156" s="7"/>
      <c r="D156" s="7"/>
      <c r="E156" s="7"/>
      <c r="F156" s="7"/>
      <c r="G156" s="7"/>
      <c r="H156" s="7"/>
      <c r="I156" s="7"/>
      <c r="J156" s="8"/>
      <c r="K156" s="9"/>
    </row>
    <row r="157">
      <c r="A157" s="6"/>
      <c r="B157" s="7"/>
      <c r="C157" s="7"/>
      <c r="D157" s="7"/>
      <c r="E157" s="7"/>
      <c r="F157" s="7"/>
      <c r="G157" s="7"/>
      <c r="H157" s="7"/>
      <c r="I157" s="7"/>
      <c r="J157" s="8"/>
      <c r="K157" s="9"/>
    </row>
    <row r="158">
      <c r="A158" s="6"/>
      <c r="B158" s="7"/>
      <c r="C158" s="7"/>
      <c r="D158" s="7"/>
      <c r="E158" s="7"/>
      <c r="F158" s="7"/>
      <c r="G158" s="7"/>
      <c r="H158" s="7"/>
      <c r="I158" s="7"/>
      <c r="J158" s="8"/>
      <c r="K158" s="9"/>
    </row>
    <row r="159">
      <c r="A159" s="6"/>
      <c r="B159" s="7"/>
      <c r="C159" s="7"/>
      <c r="D159" s="7"/>
      <c r="E159" s="7"/>
      <c r="F159" s="7"/>
      <c r="G159" s="7"/>
      <c r="H159" s="7"/>
      <c r="I159" s="7"/>
      <c r="J159" s="8"/>
      <c r="K159" s="9"/>
    </row>
    <row r="160">
      <c r="A160" s="6"/>
      <c r="B160" s="7"/>
      <c r="C160" s="7"/>
      <c r="D160" s="7"/>
      <c r="E160" s="7"/>
      <c r="F160" s="7"/>
      <c r="G160" s="7"/>
      <c r="H160" s="7"/>
      <c r="I160" s="7"/>
      <c r="J160" s="8"/>
      <c r="K160" s="9"/>
    </row>
    <row r="161">
      <c r="A161" s="6"/>
      <c r="B161" s="7"/>
      <c r="C161" s="7"/>
      <c r="D161" s="7"/>
      <c r="E161" s="7"/>
      <c r="F161" s="7"/>
      <c r="G161" s="7"/>
      <c r="H161" s="7"/>
      <c r="I161" s="7"/>
      <c r="J161" s="8"/>
      <c r="K161" s="9"/>
    </row>
    <row r="162">
      <c r="A162" s="6"/>
      <c r="B162" s="7"/>
      <c r="C162" s="7"/>
      <c r="D162" s="7"/>
      <c r="E162" s="7"/>
      <c r="F162" s="7"/>
      <c r="G162" s="7"/>
      <c r="H162" s="7"/>
      <c r="I162" s="7"/>
      <c r="J162" s="8"/>
      <c r="K162" s="9"/>
    </row>
    <row r="163">
      <c r="A163" s="6"/>
      <c r="B163" s="7"/>
      <c r="C163" s="7"/>
      <c r="D163" s="7"/>
      <c r="E163" s="7"/>
      <c r="F163" s="7"/>
      <c r="G163" s="7"/>
      <c r="H163" s="7"/>
      <c r="I163" s="7"/>
      <c r="J163" s="8"/>
      <c r="K163" s="9"/>
    </row>
    <row r="164">
      <c r="A164" s="6"/>
      <c r="B164" s="7"/>
      <c r="C164" s="7"/>
      <c r="D164" s="7"/>
      <c r="E164" s="7"/>
      <c r="F164" s="7"/>
      <c r="G164" s="7"/>
      <c r="H164" s="7"/>
      <c r="I164" s="7"/>
      <c r="J164" s="8"/>
      <c r="K164" s="9"/>
    </row>
    <row r="165">
      <c r="A165" s="6"/>
      <c r="B165" s="7"/>
      <c r="C165" s="7"/>
      <c r="D165" s="7"/>
      <c r="E165" s="7"/>
      <c r="F165" s="7"/>
      <c r="G165" s="7"/>
      <c r="H165" s="7"/>
      <c r="I165" s="7"/>
      <c r="J165" s="8"/>
      <c r="K165" s="9"/>
    </row>
    <row r="166">
      <c r="A166" s="6"/>
      <c r="B166" s="7"/>
      <c r="C166" s="7"/>
      <c r="D166" s="7"/>
      <c r="E166" s="7"/>
      <c r="F166" s="7"/>
      <c r="G166" s="7"/>
      <c r="H166" s="7"/>
      <c r="I166" s="7"/>
      <c r="J166" s="8"/>
      <c r="K166" s="9"/>
    </row>
    <row r="167">
      <c r="A167" s="6"/>
      <c r="B167" s="7"/>
      <c r="C167" s="7"/>
      <c r="D167" s="7"/>
      <c r="E167" s="7"/>
      <c r="F167" s="7"/>
      <c r="G167" s="7"/>
      <c r="H167" s="7"/>
      <c r="I167" s="7"/>
      <c r="J167" s="8"/>
      <c r="K167" s="9"/>
    </row>
    <row r="168">
      <c r="A168" s="6"/>
      <c r="B168" s="7"/>
      <c r="C168" s="7"/>
      <c r="D168" s="7"/>
      <c r="E168" s="7"/>
      <c r="F168" s="7"/>
      <c r="G168" s="7"/>
      <c r="H168" s="7"/>
      <c r="I168" s="7"/>
      <c r="J168" s="8"/>
      <c r="K168" s="9"/>
    </row>
    <row r="169">
      <c r="A169" s="6"/>
      <c r="B169" s="7"/>
      <c r="C169" s="7"/>
      <c r="D169" s="7"/>
      <c r="E169" s="7"/>
      <c r="F169" s="7"/>
      <c r="G169" s="7"/>
      <c r="H169" s="7"/>
      <c r="I169" s="7"/>
      <c r="J169" s="8"/>
      <c r="K169" s="9"/>
    </row>
    <row r="170">
      <c r="A170" s="6"/>
      <c r="B170" s="7"/>
      <c r="C170" s="7"/>
      <c r="D170" s="7"/>
      <c r="E170" s="7"/>
      <c r="F170" s="7"/>
      <c r="G170" s="7"/>
      <c r="H170" s="7"/>
      <c r="I170" s="7"/>
      <c r="J170" s="8"/>
      <c r="K170" s="9"/>
    </row>
    <row r="171">
      <c r="A171" s="6"/>
      <c r="B171" s="7"/>
      <c r="C171" s="7"/>
      <c r="D171" s="7"/>
      <c r="E171" s="7"/>
      <c r="F171" s="7"/>
      <c r="G171" s="7"/>
      <c r="H171" s="7"/>
      <c r="I171" s="7"/>
      <c r="J171" s="8"/>
      <c r="K171" s="9"/>
    </row>
    <row r="172">
      <c r="A172" s="6"/>
      <c r="B172" s="7"/>
      <c r="C172" s="7"/>
      <c r="D172" s="7"/>
      <c r="E172" s="7"/>
      <c r="F172" s="7"/>
      <c r="G172" s="7"/>
      <c r="H172" s="7"/>
      <c r="I172" s="7"/>
      <c r="J172" s="8"/>
      <c r="K172" s="9"/>
    </row>
    <row r="173">
      <c r="A173" s="6"/>
      <c r="B173" s="7"/>
      <c r="C173" s="7"/>
      <c r="D173" s="7"/>
      <c r="E173" s="7"/>
      <c r="F173" s="7"/>
      <c r="G173" s="7"/>
      <c r="H173" s="7"/>
      <c r="I173" s="7"/>
      <c r="J173" s="8"/>
      <c r="K173" s="9"/>
    </row>
    <row r="174">
      <c r="A174" s="6"/>
      <c r="B174" s="7"/>
      <c r="C174" s="7"/>
      <c r="D174" s="7"/>
      <c r="E174" s="7"/>
      <c r="F174" s="7"/>
      <c r="G174" s="7"/>
      <c r="H174" s="7"/>
      <c r="I174" s="7"/>
      <c r="J174" s="8"/>
      <c r="K174" s="9"/>
    </row>
    <row r="175">
      <c r="A175" s="6"/>
      <c r="B175" s="7"/>
      <c r="C175" s="7"/>
      <c r="D175" s="7"/>
      <c r="E175" s="7"/>
      <c r="F175" s="7"/>
      <c r="G175" s="7"/>
      <c r="H175" s="7"/>
      <c r="I175" s="7"/>
      <c r="J175" s="8"/>
      <c r="K175" s="9"/>
    </row>
    <row r="176">
      <c r="A176" s="6"/>
      <c r="B176" s="7"/>
      <c r="C176" s="7"/>
      <c r="D176" s="7"/>
      <c r="E176" s="7"/>
      <c r="F176" s="7"/>
      <c r="G176" s="7"/>
      <c r="H176" s="7"/>
      <c r="I176" s="7"/>
      <c r="J176" s="8"/>
      <c r="K176" s="9"/>
    </row>
    <row r="177">
      <c r="A177" s="6"/>
      <c r="B177" s="7"/>
      <c r="C177" s="7"/>
      <c r="D177" s="7"/>
      <c r="E177" s="7"/>
      <c r="F177" s="7"/>
      <c r="G177" s="7"/>
      <c r="H177" s="7"/>
      <c r="I177" s="7"/>
      <c r="J177" s="8"/>
      <c r="K177" s="9"/>
    </row>
    <row r="178">
      <c r="A178" s="6"/>
      <c r="B178" s="7"/>
      <c r="C178" s="7"/>
      <c r="D178" s="7"/>
      <c r="E178" s="7"/>
      <c r="F178" s="7"/>
      <c r="G178" s="7"/>
      <c r="H178" s="7"/>
      <c r="I178" s="7"/>
      <c r="J178" s="8"/>
      <c r="K178" s="9"/>
    </row>
    <row r="179">
      <c r="A179" s="6"/>
      <c r="B179" s="7"/>
      <c r="C179" s="7"/>
      <c r="D179" s="7"/>
      <c r="E179" s="7"/>
      <c r="F179" s="7"/>
      <c r="G179" s="7"/>
      <c r="H179" s="7"/>
      <c r="I179" s="7"/>
      <c r="J179" s="8"/>
      <c r="K179" s="9"/>
    </row>
    <row r="180">
      <c r="A180" s="6"/>
      <c r="B180" s="7"/>
      <c r="C180" s="7"/>
      <c r="D180" s="7"/>
      <c r="E180" s="7"/>
      <c r="F180" s="7"/>
      <c r="G180" s="7"/>
      <c r="H180" s="7"/>
      <c r="I180" s="7"/>
      <c r="J180" s="8"/>
      <c r="K180" s="9"/>
    </row>
    <row r="181">
      <c r="A181" s="6"/>
      <c r="B181" s="7"/>
      <c r="C181" s="7"/>
      <c r="D181" s="7"/>
      <c r="E181" s="7"/>
      <c r="F181" s="7"/>
      <c r="G181" s="7"/>
      <c r="H181" s="7"/>
      <c r="I181" s="7"/>
      <c r="J181" s="8"/>
      <c r="K181" s="9"/>
    </row>
    <row r="182">
      <c r="A182" s="6"/>
      <c r="B182" s="7"/>
      <c r="C182" s="7"/>
      <c r="D182" s="7"/>
      <c r="E182" s="7"/>
      <c r="F182" s="7"/>
      <c r="G182" s="7"/>
      <c r="H182" s="7"/>
      <c r="I182" s="7"/>
      <c r="J182" s="8"/>
      <c r="K182" s="9"/>
    </row>
    <row r="183">
      <c r="A183" s="6"/>
      <c r="B183" s="7"/>
      <c r="C183" s="7"/>
      <c r="D183" s="7"/>
      <c r="E183" s="7"/>
      <c r="F183" s="7"/>
      <c r="G183" s="7"/>
      <c r="H183" s="7"/>
      <c r="I183" s="7"/>
      <c r="J183" s="8"/>
      <c r="K183" s="9"/>
    </row>
    <row r="184">
      <c r="A184" s="6"/>
      <c r="B184" s="7"/>
      <c r="C184" s="7"/>
      <c r="D184" s="7"/>
      <c r="E184" s="7"/>
      <c r="F184" s="7"/>
      <c r="G184" s="7"/>
      <c r="H184" s="7"/>
      <c r="I184" s="7"/>
      <c r="J184" s="8"/>
      <c r="K184" s="9"/>
    </row>
    <row r="185">
      <c r="A185" s="6"/>
      <c r="B185" s="7"/>
      <c r="C185" s="7"/>
      <c r="D185" s="7"/>
      <c r="E185" s="7"/>
      <c r="F185" s="7"/>
      <c r="G185" s="7"/>
      <c r="H185" s="7"/>
      <c r="I185" s="7"/>
      <c r="J185" s="8"/>
      <c r="K185" s="9"/>
    </row>
    <row r="186">
      <c r="A186" s="6"/>
      <c r="B186" s="7"/>
      <c r="C186" s="7"/>
      <c r="D186" s="7"/>
      <c r="E186" s="7"/>
      <c r="F186" s="7"/>
      <c r="G186" s="7"/>
      <c r="H186" s="7"/>
      <c r="I186" s="7"/>
      <c r="J186" s="8"/>
      <c r="K186" s="9"/>
    </row>
    <row r="187">
      <c r="A187" s="6"/>
      <c r="B187" s="7"/>
      <c r="C187" s="7"/>
      <c r="D187" s="7"/>
      <c r="E187" s="7"/>
      <c r="F187" s="7"/>
      <c r="G187" s="7"/>
      <c r="H187" s="7"/>
      <c r="I187" s="7"/>
      <c r="J187" s="8"/>
      <c r="K187" s="9"/>
    </row>
    <row r="188">
      <c r="A188" s="6"/>
      <c r="B188" s="7"/>
      <c r="C188" s="7"/>
      <c r="D188" s="7"/>
      <c r="E188" s="7"/>
      <c r="F188" s="7"/>
      <c r="G188" s="7"/>
      <c r="H188" s="7"/>
      <c r="I188" s="7"/>
      <c r="J188" s="8"/>
      <c r="K188" s="9"/>
    </row>
    <row r="189">
      <c r="A189" s="6"/>
      <c r="B189" s="7"/>
      <c r="C189" s="7"/>
      <c r="D189" s="7"/>
      <c r="E189" s="7"/>
      <c r="F189" s="7"/>
      <c r="G189" s="7"/>
      <c r="H189" s="7"/>
      <c r="I189" s="7"/>
      <c r="J189" s="8"/>
      <c r="K189" s="9"/>
    </row>
    <row r="190">
      <c r="A190" s="6"/>
      <c r="B190" s="7"/>
      <c r="C190" s="7"/>
      <c r="D190" s="7"/>
      <c r="E190" s="7"/>
      <c r="F190" s="7"/>
      <c r="G190" s="7"/>
      <c r="H190" s="7"/>
      <c r="I190" s="7"/>
      <c r="J190" s="8"/>
      <c r="K190" s="9"/>
    </row>
    <row r="191">
      <c r="A191" s="6"/>
      <c r="B191" s="7"/>
      <c r="C191" s="7"/>
      <c r="D191" s="7"/>
      <c r="E191" s="7"/>
      <c r="F191" s="7"/>
      <c r="G191" s="7"/>
      <c r="H191" s="7"/>
      <c r="I191" s="7"/>
      <c r="J191" s="8"/>
      <c r="K191" s="9"/>
    </row>
    <row r="192">
      <c r="A192" s="6"/>
      <c r="B192" s="7"/>
      <c r="C192" s="7"/>
      <c r="D192" s="7"/>
      <c r="E192" s="7"/>
      <c r="F192" s="7"/>
      <c r="G192" s="7"/>
      <c r="H192" s="7"/>
      <c r="I192" s="7"/>
      <c r="J192" s="8"/>
      <c r="K192" s="9"/>
    </row>
    <row r="193">
      <c r="A193" s="6"/>
      <c r="B193" s="7"/>
      <c r="C193" s="7"/>
      <c r="D193" s="7"/>
      <c r="E193" s="7"/>
      <c r="F193" s="7"/>
      <c r="G193" s="7"/>
      <c r="H193" s="7"/>
      <c r="I193" s="7"/>
      <c r="J193" s="8"/>
      <c r="K193" s="9"/>
    </row>
    <row r="194">
      <c r="A194" s="6"/>
      <c r="B194" s="7"/>
      <c r="C194" s="7"/>
      <c r="D194" s="7"/>
      <c r="E194" s="7"/>
      <c r="F194" s="7"/>
      <c r="G194" s="7"/>
      <c r="H194" s="7"/>
      <c r="I194" s="7"/>
      <c r="J194" s="8"/>
      <c r="K194" s="9"/>
    </row>
    <row r="195">
      <c r="A195" s="6"/>
      <c r="B195" s="7"/>
      <c r="C195" s="7"/>
      <c r="D195" s="7"/>
      <c r="E195" s="7"/>
      <c r="F195" s="7"/>
      <c r="G195" s="7"/>
      <c r="H195" s="7"/>
      <c r="I195" s="7"/>
      <c r="J195" s="8"/>
      <c r="K195" s="9"/>
    </row>
    <row r="196">
      <c r="A196" s="6"/>
      <c r="B196" s="7"/>
      <c r="C196" s="7"/>
      <c r="D196" s="7"/>
      <c r="E196" s="7"/>
      <c r="F196" s="7"/>
      <c r="G196" s="7"/>
      <c r="H196" s="7"/>
      <c r="I196" s="7"/>
      <c r="J196" s="8"/>
      <c r="K196" s="9"/>
    </row>
    <row r="197">
      <c r="A197" s="6"/>
      <c r="B197" s="7"/>
      <c r="C197" s="7"/>
      <c r="D197" s="7"/>
      <c r="E197" s="7"/>
      <c r="F197" s="7"/>
      <c r="G197" s="7"/>
      <c r="H197" s="7"/>
      <c r="I197" s="7"/>
      <c r="J197" s="8"/>
      <c r="K197" s="9"/>
    </row>
    <row r="198">
      <c r="A198" s="6"/>
      <c r="B198" s="7"/>
      <c r="C198" s="7"/>
      <c r="D198" s="7"/>
      <c r="E198" s="7"/>
      <c r="F198" s="7"/>
      <c r="G198" s="7"/>
      <c r="H198" s="7"/>
      <c r="I198" s="7"/>
      <c r="J198" s="8"/>
      <c r="K198" s="9"/>
    </row>
    <row r="199">
      <c r="A199" s="6"/>
      <c r="B199" s="7"/>
      <c r="C199" s="7"/>
      <c r="D199" s="7"/>
      <c r="E199" s="7"/>
      <c r="F199" s="7"/>
      <c r="G199" s="7"/>
      <c r="H199" s="7"/>
      <c r="I199" s="7"/>
      <c r="J199" s="8"/>
      <c r="K199" s="9"/>
    </row>
    <row r="200">
      <c r="A200" s="6"/>
      <c r="B200" s="7"/>
      <c r="C200" s="7"/>
      <c r="D200" s="7"/>
      <c r="E200" s="7"/>
      <c r="F200" s="7"/>
      <c r="G200" s="7"/>
      <c r="H200" s="7"/>
      <c r="I200" s="7"/>
      <c r="J200" s="8"/>
      <c r="K200" s="9"/>
    </row>
    <row r="201">
      <c r="A201" s="6"/>
      <c r="B201" s="7"/>
      <c r="C201" s="7"/>
      <c r="D201" s="7"/>
      <c r="E201" s="7"/>
      <c r="F201" s="7"/>
      <c r="G201" s="7"/>
      <c r="H201" s="7"/>
      <c r="I201" s="7"/>
      <c r="J201" s="8"/>
      <c r="K201" s="9"/>
    </row>
    <row r="202">
      <c r="A202" s="6"/>
      <c r="B202" s="7"/>
      <c r="C202" s="7"/>
      <c r="D202" s="7"/>
      <c r="E202" s="7"/>
      <c r="F202" s="7"/>
      <c r="G202" s="7"/>
      <c r="H202" s="7"/>
      <c r="I202" s="7"/>
      <c r="J202" s="8"/>
      <c r="K202" s="9"/>
    </row>
    <row r="203">
      <c r="A203" s="6"/>
      <c r="B203" s="7"/>
      <c r="C203" s="7"/>
      <c r="D203" s="7"/>
      <c r="E203" s="7"/>
      <c r="F203" s="7"/>
      <c r="G203" s="7"/>
      <c r="H203" s="7"/>
      <c r="I203" s="7"/>
      <c r="J203" s="8"/>
      <c r="K203" s="9"/>
    </row>
    <row r="204">
      <c r="A204" s="6"/>
      <c r="B204" s="7"/>
      <c r="C204" s="7"/>
      <c r="D204" s="7"/>
      <c r="E204" s="7"/>
      <c r="F204" s="7"/>
      <c r="G204" s="7"/>
      <c r="H204" s="7"/>
      <c r="I204" s="7"/>
      <c r="J204" s="8"/>
      <c r="K204" s="9"/>
    </row>
    <row r="205">
      <c r="A205" s="6"/>
      <c r="B205" s="7"/>
      <c r="C205" s="7"/>
      <c r="D205" s="7"/>
      <c r="E205" s="7"/>
      <c r="F205" s="7"/>
      <c r="G205" s="7"/>
      <c r="H205" s="7"/>
      <c r="I205" s="7"/>
      <c r="J205" s="8"/>
      <c r="K205" s="9"/>
    </row>
    <row r="206">
      <c r="A206" s="6"/>
      <c r="B206" s="7"/>
      <c r="C206" s="7"/>
      <c r="D206" s="7"/>
      <c r="E206" s="7"/>
      <c r="F206" s="7"/>
      <c r="G206" s="7"/>
      <c r="H206" s="7"/>
      <c r="I206" s="7"/>
      <c r="J206" s="8"/>
      <c r="K206" s="9"/>
    </row>
    <row r="207">
      <c r="A207" s="6"/>
      <c r="B207" s="7"/>
      <c r="C207" s="7"/>
      <c r="D207" s="7"/>
      <c r="E207" s="7"/>
      <c r="F207" s="7"/>
      <c r="G207" s="7"/>
      <c r="H207" s="7"/>
      <c r="I207" s="7"/>
      <c r="J207" s="8"/>
      <c r="K207" s="9"/>
    </row>
    <row r="208">
      <c r="A208" s="6"/>
      <c r="B208" s="7"/>
      <c r="C208" s="7"/>
      <c r="D208" s="7"/>
      <c r="E208" s="7"/>
      <c r="F208" s="7"/>
      <c r="G208" s="7"/>
      <c r="H208" s="7"/>
      <c r="I208" s="7"/>
      <c r="J208" s="8"/>
      <c r="K208" s="9"/>
    </row>
    <row r="209">
      <c r="A209" s="6"/>
      <c r="B209" s="7"/>
      <c r="C209" s="7"/>
      <c r="D209" s="7"/>
      <c r="E209" s="7"/>
      <c r="F209" s="7"/>
      <c r="G209" s="7"/>
      <c r="H209" s="7"/>
      <c r="I209" s="7"/>
      <c r="J209" s="8"/>
      <c r="K209" s="9"/>
    </row>
    <row r="210">
      <c r="A210" s="6"/>
      <c r="B210" s="7"/>
      <c r="C210" s="7"/>
      <c r="D210" s="7"/>
      <c r="E210" s="7"/>
      <c r="F210" s="7"/>
      <c r="G210" s="7"/>
      <c r="H210" s="7"/>
      <c r="I210" s="7"/>
      <c r="J210" s="8"/>
      <c r="K210" s="9"/>
    </row>
    <row r="211">
      <c r="A211" s="6"/>
      <c r="B211" s="7"/>
      <c r="C211" s="7"/>
      <c r="D211" s="7"/>
      <c r="E211" s="7"/>
      <c r="F211" s="7"/>
      <c r="G211" s="7"/>
      <c r="H211" s="7"/>
      <c r="I211" s="7"/>
      <c r="J211" s="8"/>
      <c r="K211" s="9"/>
    </row>
    <row r="212">
      <c r="A212" s="6"/>
      <c r="B212" s="7"/>
      <c r="C212" s="7"/>
      <c r="D212" s="7"/>
      <c r="E212" s="7"/>
      <c r="F212" s="7"/>
      <c r="G212" s="7"/>
      <c r="H212" s="7"/>
      <c r="I212" s="7"/>
      <c r="J212" s="8"/>
      <c r="K212" s="9"/>
    </row>
    <row r="213">
      <c r="A213" s="6"/>
      <c r="B213" s="7"/>
      <c r="C213" s="7"/>
      <c r="D213" s="7"/>
      <c r="E213" s="7"/>
      <c r="F213" s="7"/>
      <c r="G213" s="7"/>
      <c r="H213" s="7"/>
      <c r="I213" s="7"/>
      <c r="J213" s="8"/>
      <c r="K213" s="9"/>
    </row>
    <row r="214">
      <c r="A214" s="6"/>
      <c r="B214" s="7"/>
      <c r="C214" s="7"/>
      <c r="D214" s="7"/>
      <c r="E214" s="7"/>
      <c r="F214" s="7"/>
      <c r="G214" s="7"/>
      <c r="H214" s="7"/>
      <c r="I214" s="7"/>
      <c r="J214" s="8"/>
      <c r="K214" s="9"/>
    </row>
    <row r="215">
      <c r="A215" s="6"/>
      <c r="B215" s="7"/>
      <c r="C215" s="7"/>
      <c r="D215" s="7"/>
      <c r="E215" s="7"/>
      <c r="F215" s="7"/>
      <c r="G215" s="7"/>
      <c r="H215" s="7"/>
      <c r="I215" s="7"/>
      <c r="J215" s="8"/>
      <c r="K215" s="9"/>
    </row>
    <row r="216">
      <c r="A216" s="6"/>
      <c r="B216" s="7"/>
      <c r="C216" s="7"/>
      <c r="D216" s="7"/>
      <c r="E216" s="7"/>
      <c r="F216" s="7"/>
      <c r="G216" s="7"/>
      <c r="H216" s="7"/>
      <c r="I216" s="7"/>
      <c r="J216" s="8"/>
      <c r="K216" s="9"/>
    </row>
    <row r="217">
      <c r="A217" s="6"/>
      <c r="B217" s="7"/>
      <c r="C217" s="7"/>
      <c r="D217" s="7"/>
      <c r="E217" s="7"/>
      <c r="F217" s="7"/>
      <c r="G217" s="7"/>
      <c r="H217" s="7"/>
      <c r="I217" s="7"/>
      <c r="J217" s="8"/>
      <c r="K217" s="9"/>
    </row>
    <row r="218">
      <c r="A218" s="6"/>
      <c r="B218" s="7"/>
      <c r="C218" s="7"/>
      <c r="D218" s="7"/>
      <c r="E218" s="7"/>
      <c r="F218" s="7"/>
      <c r="G218" s="7"/>
      <c r="H218" s="7"/>
      <c r="I218" s="7"/>
      <c r="J218" s="8"/>
      <c r="K218" s="9"/>
    </row>
    <row r="219">
      <c r="A219" s="6"/>
      <c r="B219" s="7"/>
      <c r="C219" s="7"/>
      <c r="D219" s="7"/>
      <c r="E219" s="7"/>
      <c r="F219" s="7"/>
      <c r="G219" s="7"/>
      <c r="H219" s="7"/>
      <c r="I219" s="7"/>
      <c r="J219" s="8"/>
      <c r="K219" s="9"/>
    </row>
    <row r="220">
      <c r="A220" s="6"/>
      <c r="B220" s="7"/>
      <c r="C220" s="7"/>
      <c r="D220" s="7"/>
      <c r="E220" s="7"/>
      <c r="F220" s="7"/>
      <c r="G220" s="7"/>
      <c r="H220" s="7"/>
      <c r="I220" s="7"/>
      <c r="J220" s="8"/>
      <c r="K220" s="9"/>
    </row>
    <row r="221">
      <c r="A221" s="6"/>
      <c r="B221" s="7"/>
      <c r="C221" s="7"/>
      <c r="D221" s="7"/>
      <c r="E221" s="7"/>
      <c r="F221" s="7"/>
      <c r="G221" s="7"/>
      <c r="H221" s="7"/>
      <c r="I221" s="7"/>
      <c r="J221" s="8"/>
      <c r="K221" s="9"/>
    </row>
    <row r="222">
      <c r="A222" s="6"/>
      <c r="B222" s="7"/>
      <c r="C222" s="7"/>
      <c r="D222" s="7"/>
      <c r="E222" s="7"/>
      <c r="F222" s="7"/>
      <c r="G222" s="7"/>
      <c r="H222" s="7"/>
      <c r="I222" s="7"/>
      <c r="J222" s="8"/>
      <c r="K222" s="9"/>
    </row>
    <row r="223">
      <c r="A223" s="6"/>
      <c r="B223" s="7"/>
      <c r="C223" s="7"/>
      <c r="D223" s="7"/>
      <c r="E223" s="7"/>
      <c r="F223" s="7"/>
      <c r="G223" s="7"/>
      <c r="H223" s="7"/>
      <c r="I223" s="7"/>
      <c r="J223" s="8"/>
      <c r="K223" s="9"/>
    </row>
    <row r="224">
      <c r="A224" s="6"/>
      <c r="B224" s="7"/>
      <c r="C224" s="7"/>
      <c r="D224" s="7"/>
      <c r="E224" s="7"/>
      <c r="F224" s="7"/>
      <c r="G224" s="7"/>
      <c r="H224" s="7"/>
      <c r="I224" s="7"/>
      <c r="J224" s="8"/>
      <c r="K224" s="9"/>
    </row>
    <row r="225">
      <c r="A225" s="6"/>
      <c r="B225" s="7"/>
      <c r="C225" s="7"/>
      <c r="D225" s="7"/>
      <c r="E225" s="7"/>
      <c r="F225" s="7"/>
      <c r="G225" s="7"/>
      <c r="H225" s="7"/>
      <c r="I225" s="7"/>
      <c r="J225" s="8"/>
      <c r="K225" s="9"/>
    </row>
    <row r="226">
      <c r="A226" s="6"/>
      <c r="B226" s="7"/>
      <c r="C226" s="7"/>
      <c r="D226" s="7"/>
      <c r="E226" s="7"/>
      <c r="F226" s="7"/>
      <c r="G226" s="7"/>
      <c r="H226" s="7"/>
      <c r="I226" s="7"/>
      <c r="J226" s="8"/>
      <c r="K226" s="9"/>
    </row>
    <row r="227">
      <c r="A227" s="6"/>
      <c r="B227" s="7"/>
      <c r="C227" s="7"/>
      <c r="D227" s="7"/>
      <c r="E227" s="7"/>
      <c r="F227" s="7"/>
      <c r="G227" s="7"/>
      <c r="H227" s="7"/>
      <c r="I227" s="7"/>
      <c r="J227" s="8"/>
      <c r="K227" s="9"/>
    </row>
    <row r="228">
      <c r="A228" s="6"/>
      <c r="B228" s="7"/>
      <c r="C228" s="7"/>
      <c r="D228" s="7"/>
      <c r="E228" s="7"/>
      <c r="F228" s="7"/>
      <c r="G228" s="7"/>
      <c r="H228" s="7"/>
      <c r="I228" s="7"/>
      <c r="J228" s="8"/>
      <c r="K228" s="9"/>
    </row>
    <row r="229">
      <c r="A229" s="6"/>
      <c r="B229" s="7"/>
      <c r="C229" s="7"/>
      <c r="D229" s="7"/>
      <c r="E229" s="7"/>
      <c r="F229" s="7"/>
      <c r="G229" s="7"/>
      <c r="H229" s="7"/>
      <c r="I229" s="7"/>
      <c r="J229" s="8"/>
      <c r="K229" s="9"/>
    </row>
    <row r="230">
      <c r="A230" s="6"/>
      <c r="B230" s="7"/>
      <c r="C230" s="7"/>
      <c r="D230" s="7"/>
      <c r="E230" s="7"/>
      <c r="F230" s="7"/>
      <c r="G230" s="7"/>
      <c r="H230" s="7"/>
      <c r="I230" s="7"/>
      <c r="J230" s="8"/>
      <c r="K230" s="9"/>
    </row>
    <row r="231">
      <c r="A231" s="6"/>
      <c r="B231" s="7"/>
      <c r="C231" s="7"/>
      <c r="D231" s="7"/>
      <c r="E231" s="7"/>
      <c r="F231" s="7"/>
      <c r="G231" s="7"/>
      <c r="H231" s="7"/>
      <c r="I231" s="7"/>
      <c r="J231" s="8"/>
      <c r="K231" s="9"/>
    </row>
    <row r="232">
      <c r="A232" s="6"/>
      <c r="B232" s="7"/>
      <c r="C232" s="7"/>
      <c r="D232" s="7"/>
      <c r="E232" s="7"/>
      <c r="F232" s="7"/>
      <c r="G232" s="7"/>
      <c r="H232" s="7"/>
      <c r="I232" s="7"/>
      <c r="J232" s="8"/>
      <c r="K232" s="9"/>
    </row>
    <row r="233">
      <c r="A233" s="6"/>
      <c r="B233" s="7"/>
      <c r="C233" s="7"/>
      <c r="D233" s="7"/>
      <c r="E233" s="7"/>
      <c r="F233" s="7"/>
      <c r="G233" s="7"/>
      <c r="H233" s="7"/>
      <c r="I233" s="7"/>
      <c r="J233" s="8"/>
      <c r="K233" s="9"/>
    </row>
    <row r="234">
      <c r="A234" s="6"/>
      <c r="B234" s="7"/>
      <c r="C234" s="7"/>
      <c r="D234" s="7"/>
      <c r="E234" s="7"/>
      <c r="F234" s="7"/>
      <c r="G234" s="7"/>
      <c r="H234" s="7"/>
      <c r="I234" s="7"/>
      <c r="J234" s="8"/>
      <c r="K234" s="9"/>
    </row>
    <row r="235">
      <c r="A235" s="6"/>
      <c r="B235" s="7"/>
      <c r="C235" s="7"/>
      <c r="D235" s="7"/>
      <c r="E235" s="7"/>
      <c r="F235" s="7"/>
      <c r="G235" s="7"/>
      <c r="H235" s="7"/>
      <c r="I235" s="7"/>
      <c r="J235" s="8"/>
      <c r="K235" s="9"/>
    </row>
    <row r="236">
      <c r="A236" s="6"/>
      <c r="B236" s="7"/>
      <c r="C236" s="7"/>
      <c r="D236" s="7"/>
      <c r="E236" s="7"/>
      <c r="F236" s="7"/>
      <c r="G236" s="7"/>
      <c r="H236" s="7"/>
      <c r="I236" s="7"/>
      <c r="J236" s="8"/>
      <c r="K236" s="9"/>
    </row>
    <row r="237">
      <c r="A237" s="6"/>
      <c r="B237" s="7"/>
      <c r="C237" s="7"/>
      <c r="D237" s="7"/>
      <c r="E237" s="7"/>
      <c r="F237" s="7"/>
      <c r="G237" s="7"/>
      <c r="H237" s="7"/>
      <c r="I237" s="7"/>
      <c r="J237" s="8"/>
      <c r="K237" s="9"/>
    </row>
    <row r="238">
      <c r="A238" s="6"/>
      <c r="B238" s="7"/>
      <c r="C238" s="7"/>
      <c r="D238" s="7"/>
      <c r="E238" s="7"/>
      <c r="F238" s="7"/>
      <c r="G238" s="7"/>
      <c r="H238" s="7"/>
      <c r="I238" s="7"/>
      <c r="J238" s="8"/>
      <c r="K238" s="9"/>
    </row>
    <row r="239">
      <c r="A239" s="6"/>
      <c r="B239" s="7"/>
      <c r="C239" s="7"/>
      <c r="D239" s="7"/>
      <c r="E239" s="7"/>
      <c r="F239" s="7"/>
      <c r="G239" s="7"/>
      <c r="H239" s="7"/>
      <c r="I239" s="7"/>
      <c r="J239" s="8"/>
      <c r="K239" s="9"/>
    </row>
    <row r="240">
      <c r="A240" s="6"/>
      <c r="B240" s="7"/>
      <c r="C240" s="7"/>
      <c r="D240" s="7"/>
      <c r="E240" s="7"/>
      <c r="F240" s="7"/>
      <c r="G240" s="7"/>
      <c r="H240" s="7"/>
      <c r="I240" s="7"/>
      <c r="J240" s="8"/>
      <c r="K240" s="9"/>
    </row>
    <row r="241">
      <c r="A241" s="6"/>
      <c r="B241" s="7"/>
      <c r="C241" s="7"/>
      <c r="D241" s="7"/>
      <c r="E241" s="7"/>
      <c r="F241" s="7"/>
      <c r="G241" s="7"/>
      <c r="H241" s="7"/>
      <c r="I241" s="7"/>
      <c r="J241" s="8"/>
      <c r="K241" s="9"/>
    </row>
    <row r="242">
      <c r="A242" s="6"/>
      <c r="B242" s="7"/>
      <c r="C242" s="7"/>
      <c r="D242" s="7"/>
      <c r="E242" s="7"/>
      <c r="F242" s="7"/>
      <c r="G242" s="7"/>
      <c r="H242" s="7"/>
      <c r="I242" s="7"/>
      <c r="J242" s="8"/>
      <c r="K242" s="9"/>
    </row>
    <row r="243">
      <c r="A243" s="6"/>
      <c r="B243" s="7"/>
      <c r="C243" s="7"/>
      <c r="D243" s="7"/>
      <c r="E243" s="7"/>
      <c r="F243" s="7"/>
      <c r="G243" s="7"/>
      <c r="H243" s="7"/>
      <c r="I243" s="7"/>
      <c r="J243" s="8"/>
      <c r="K243" s="9"/>
    </row>
    <row r="244">
      <c r="A244" s="6"/>
      <c r="B244" s="7"/>
      <c r="C244" s="7"/>
      <c r="D244" s="7"/>
      <c r="E244" s="7"/>
      <c r="F244" s="7"/>
      <c r="G244" s="7"/>
      <c r="H244" s="7"/>
      <c r="I244" s="7"/>
      <c r="J244" s="8"/>
      <c r="K244" s="9"/>
    </row>
    <row r="245">
      <c r="A245" s="6"/>
      <c r="B245" s="7"/>
      <c r="C245" s="7"/>
      <c r="D245" s="7"/>
      <c r="E245" s="7"/>
      <c r="F245" s="7"/>
      <c r="G245" s="7"/>
      <c r="H245" s="7"/>
      <c r="I245" s="7"/>
      <c r="J245" s="8"/>
      <c r="K245" s="9"/>
    </row>
    <row r="246">
      <c r="A246" s="6"/>
      <c r="B246" s="7"/>
      <c r="C246" s="7"/>
      <c r="D246" s="7"/>
      <c r="E246" s="7"/>
      <c r="F246" s="7"/>
      <c r="G246" s="7"/>
      <c r="H246" s="7"/>
      <c r="I246" s="7"/>
      <c r="J246" s="8"/>
      <c r="K246" s="9"/>
    </row>
    <row r="247">
      <c r="A247" s="6"/>
      <c r="B247" s="7"/>
      <c r="C247" s="7"/>
      <c r="D247" s="7"/>
      <c r="E247" s="7"/>
      <c r="F247" s="7"/>
      <c r="G247" s="7"/>
      <c r="H247" s="7"/>
      <c r="I247" s="7"/>
      <c r="J247" s="8"/>
      <c r="K247" s="9"/>
    </row>
    <row r="248">
      <c r="A248" s="6"/>
      <c r="B248" s="7"/>
      <c r="C248" s="7"/>
      <c r="D248" s="7"/>
      <c r="E248" s="7"/>
      <c r="F248" s="7"/>
      <c r="G248" s="7"/>
      <c r="H248" s="7"/>
      <c r="I248" s="7"/>
      <c r="J248" s="8"/>
      <c r="K248" s="9"/>
    </row>
    <row r="249">
      <c r="A249" s="6"/>
      <c r="B249" s="7"/>
      <c r="C249" s="7"/>
      <c r="D249" s="7"/>
      <c r="E249" s="7"/>
      <c r="F249" s="7"/>
      <c r="G249" s="7"/>
      <c r="H249" s="7"/>
      <c r="I249" s="7"/>
      <c r="J249" s="8"/>
      <c r="K249" s="9"/>
    </row>
    <row r="250">
      <c r="A250" s="6"/>
      <c r="B250" s="7"/>
      <c r="C250" s="7"/>
      <c r="D250" s="7"/>
      <c r="E250" s="7"/>
      <c r="F250" s="7"/>
      <c r="G250" s="7"/>
      <c r="H250" s="7"/>
      <c r="I250" s="7"/>
      <c r="J250" s="8"/>
      <c r="K250" s="9"/>
    </row>
    <row r="251">
      <c r="A251" s="6"/>
      <c r="B251" s="7"/>
      <c r="C251" s="7"/>
      <c r="D251" s="7"/>
      <c r="E251" s="7"/>
      <c r="F251" s="7"/>
      <c r="G251" s="7"/>
      <c r="H251" s="7"/>
      <c r="I251" s="7"/>
      <c r="J251" s="8"/>
      <c r="K251" s="9"/>
    </row>
    <row r="252">
      <c r="A252" s="6"/>
      <c r="B252" s="7"/>
      <c r="C252" s="7"/>
      <c r="D252" s="7"/>
      <c r="E252" s="7"/>
      <c r="F252" s="7"/>
      <c r="G252" s="7"/>
      <c r="H252" s="7"/>
      <c r="I252" s="7"/>
      <c r="J252" s="8"/>
      <c r="K252" s="9"/>
    </row>
    <row r="253">
      <c r="A253" s="6"/>
      <c r="B253" s="7"/>
      <c r="C253" s="7"/>
      <c r="D253" s="7"/>
      <c r="E253" s="7"/>
      <c r="F253" s="7"/>
      <c r="G253" s="7"/>
      <c r="H253" s="7"/>
      <c r="I253" s="7"/>
      <c r="J253" s="8"/>
      <c r="K253" s="9"/>
    </row>
    <row r="254">
      <c r="A254" s="6"/>
      <c r="B254" s="7"/>
      <c r="C254" s="7"/>
      <c r="D254" s="7"/>
      <c r="E254" s="7"/>
      <c r="F254" s="7"/>
      <c r="G254" s="7"/>
      <c r="H254" s="7"/>
      <c r="I254" s="7"/>
      <c r="J254" s="8"/>
      <c r="K254" s="9"/>
    </row>
    <row r="255">
      <c r="A255" s="6"/>
      <c r="B255" s="7"/>
      <c r="C255" s="7"/>
      <c r="D255" s="7"/>
      <c r="E255" s="7"/>
      <c r="F255" s="7"/>
      <c r="G255" s="7"/>
      <c r="H255" s="7"/>
      <c r="I255" s="7"/>
      <c r="J255" s="8"/>
      <c r="K255" s="9"/>
    </row>
    <row r="256">
      <c r="A256" s="6"/>
      <c r="B256" s="7"/>
      <c r="C256" s="7"/>
      <c r="D256" s="7"/>
      <c r="E256" s="7"/>
      <c r="F256" s="7"/>
      <c r="G256" s="7"/>
      <c r="H256" s="7"/>
      <c r="I256" s="7"/>
      <c r="J256" s="8"/>
      <c r="K256" s="9"/>
    </row>
    <row r="257">
      <c r="A257" s="6"/>
      <c r="B257" s="7"/>
      <c r="C257" s="7"/>
      <c r="D257" s="7"/>
      <c r="E257" s="7"/>
      <c r="F257" s="7"/>
      <c r="G257" s="7"/>
      <c r="H257" s="7"/>
      <c r="I257" s="7"/>
      <c r="J257" s="8"/>
      <c r="K257" s="9"/>
    </row>
    <row r="258">
      <c r="A258" s="6"/>
      <c r="B258" s="7"/>
      <c r="C258" s="7"/>
      <c r="D258" s="7"/>
      <c r="E258" s="7"/>
      <c r="F258" s="7"/>
      <c r="G258" s="7"/>
      <c r="H258" s="7"/>
      <c r="I258" s="7"/>
      <c r="J258" s="8"/>
      <c r="K258" s="9"/>
    </row>
    <row r="259">
      <c r="A259" s="6"/>
      <c r="B259" s="7"/>
      <c r="C259" s="7"/>
      <c r="D259" s="7"/>
      <c r="E259" s="7"/>
      <c r="F259" s="7"/>
      <c r="G259" s="7"/>
      <c r="H259" s="7"/>
      <c r="I259" s="7"/>
      <c r="J259" s="8"/>
      <c r="K259" s="9"/>
    </row>
    <row r="260">
      <c r="A260" s="6"/>
      <c r="B260" s="7"/>
      <c r="C260" s="7"/>
      <c r="D260" s="7"/>
      <c r="E260" s="7"/>
      <c r="F260" s="7"/>
      <c r="G260" s="7"/>
      <c r="H260" s="7"/>
      <c r="I260" s="7"/>
      <c r="J260" s="8"/>
      <c r="K260" s="9"/>
    </row>
    <row r="261">
      <c r="A261" s="6"/>
      <c r="B261" s="7"/>
      <c r="C261" s="7"/>
      <c r="D261" s="7"/>
      <c r="E261" s="7"/>
      <c r="F261" s="7"/>
      <c r="G261" s="7"/>
      <c r="H261" s="7"/>
      <c r="I261" s="7"/>
      <c r="J261" s="8"/>
      <c r="K261" s="9"/>
    </row>
    <row r="262">
      <c r="A262" s="6"/>
      <c r="B262" s="7"/>
      <c r="C262" s="7"/>
      <c r="D262" s="7"/>
      <c r="E262" s="7"/>
      <c r="F262" s="7"/>
      <c r="G262" s="7"/>
      <c r="H262" s="7"/>
      <c r="I262" s="7"/>
      <c r="J262" s="8"/>
      <c r="K262" s="9"/>
    </row>
    <row r="263">
      <c r="A263" s="6"/>
      <c r="B263" s="7"/>
      <c r="C263" s="7"/>
      <c r="D263" s="7"/>
      <c r="E263" s="7"/>
      <c r="F263" s="7"/>
      <c r="G263" s="7"/>
      <c r="H263" s="7"/>
      <c r="I263" s="7"/>
      <c r="J263" s="8"/>
      <c r="K263" s="9"/>
    </row>
    <row r="264">
      <c r="A264" s="6"/>
      <c r="B264" s="7"/>
      <c r="C264" s="7"/>
      <c r="D264" s="7"/>
      <c r="E264" s="7"/>
      <c r="F264" s="7"/>
      <c r="G264" s="7"/>
      <c r="H264" s="7"/>
      <c r="I264" s="7"/>
      <c r="J264" s="8"/>
      <c r="K264" s="9"/>
    </row>
    <row r="265">
      <c r="A265" s="6"/>
      <c r="B265" s="7"/>
      <c r="C265" s="7"/>
      <c r="D265" s="7"/>
      <c r="E265" s="7"/>
      <c r="F265" s="7"/>
      <c r="G265" s="7"/>
      <c r="H265" s="7"/>
      <c r="I265" s="7"/>
      <c r="J265" s="8"/>
      <c r="K265" s="9"/>
    </row>
    <row r="266">
      <c r="A266" s="6"/>
      <c r="B266" s="7"/>
      <c r="C266" s="7"/>
      <c r="D266" s="7"/>
      <c r="E266" s="7"/>
      <c r="F266" s="7"/>
      <c r="G266" s="7"/>
      <c r="H266" s="7"/>
      <c r="I266" s="7"/>
      <c r="J266" s="8"/>
      <c r="K266" s="9"/>
    </row>
    <row r="267">
      <c r="A267" s="6"/>
      <c r="B267" s="7"/>
      <c r="C267" s="7"/>
      <c r="D267" s="7"/>
      <c r="E267" s="7"/>
      <c r="F267" s="7"/>
      <c r="G267" s="7"/>
      <c r="H267" s="7"/>
      <c r="I267" s="7"/>
      <c r="J267" s="8"/>
      <c r="K267" s="9"/>
    </row>
    <row r="268">
      <c r="A268" s="6"/>
      <c r="B268" s="7"/>
      <c r="C268" s="7"/>
      <c r="D268" s="7"/>
      <c r="E268" s="7"/>
      <c r="F268" s="7"/>
      <c r="G268" s="7"/>
      <c r="H268" s="7"/>
      <c r="I268" s="7"/>
      <c r="J268" s="8"/>
      <c r="K268" s="9"/>
    </row>
    <row r="269">
      <c r="A269" s="6"/>
      <c r="B269" s="7"/>
      <c r="C269" s="7"/>
      <c r="D269" s="7"/>
      <c r="E269" s="7"/>
      <c r="F269" s="7"/>
      <c r="G269" s="7"/>
      <c r="H269" s="7"/>
      <c r="I269" s="7"/>
      <c r="J269" s="8"/>
      <c r="K269" s="9"/>
    </row>
    <row r="270">
      <c r="A270" s="6"/>
      <c r="B270" s="7"/>
      <c r="C270" s="7"/>
      <c r="D270" s="7"/>
      <c r="E270" s="7"/>
      <c r="F270" s="7"/>
      <c r="G270" s="7"/>
      <c r="H270" s="7"/>
      <c r="I270" s="7"/>
      <c r="J270" s="8"/>
      <c r="K270" s="9"/>
    </row>
    <row r="271">
      <c r="A271" s="6"/>
      <c r="B271" s="7"/>
      <c r="C271" s="7"/>
      <c r="D271" s="7"/>
      <c r="E271" s="7"/>
      <c r="F271" s="7"/>
      <c r="G271" s="7"/>
      <c r="H271" s="7"/>
      <c r="I271" s="7"/>
      <c r="J271" s="8"/>
      <c r="K271" s="9"/>
    </row>
    <row r="272">
      <c r="A272" s="6"/>
      <c r="B272" s="7"/>
      <c r="C272" s="7"/>
      <c r="D272" s="7"/>
      <c r="E272" s="7"/>
      <c r="F272" s="7"/>
      <c r="G272" s="7"/>
      <c r="H272" s="7"/>
      <c r="I272" s="7"/>
      <c r="J272" s="8"/>
      <c r="K272" s="9"/>
    </row>
    <row r="273">
      <c r="A273" s="6"/>
      <c r="B273" s="7"/>
      <c r="C273" s="7"/>
      <c r="D273" s="7"/>
      <c r="E273" s="7"/>
      <c r="F273" s="7"/>
      <c r="G273" s="7"/>
      <c r="H273" s="7"/>
      <c r="I273" s="7"/>
      <c r="J273" s="8"/>
      <c r="K273" s="9"/>
    </row>
    <row r="274">
      <c r="A274" s="6"/>
      <c r="B274" s="7"/>
      <c r="C274" s="7"/>
      <c r="D274" s="7"/>
      <c r="E274" s="7"/>
      <c r="F274" s="7"/>
      <c r="G274" s="7"/>
      <c r="H274" s="7"/>
      <c r="I274" s="7"/>
      <c r="J274" s="8"/>
      <c r="K274" s="9"/>
    </row>
    <row r="275">
      <c r="A275" s="6"/>
      <c r="B275" s="7"/>
      <c r="C275" s="7"/>
      <c r="D275" s="7"/>
      <c r="E275" s="7"/>
      <c r="F275" s="7"/>
      <c r="G275" s="7"/>
      <c r="H275" s="7"/>
      <c r="I275" s="7"/>
      <c r="J275" s="8"/>
      <c r="K275" s="9"/>
    </row>
    <row r="276">
      <c r="A276" s="6"/>
      <c r="B276" s="7"/>
      <c r="C276" s="7"/>
      <c r="D276" s="7"/>
      <c r="E276" s="7"/>
      <c r="F276" s="7"/>
      <c r="G276" s="7"/>
      <c r="H276" s="7"/>
      <c r="I276" s="7"/>
      <c r="J276" s="8"/>
      <c r="K276" s="9"/>
    </row>
    <row r="277">
      <c r="A277" s="6"/>
      <c r="B277" s="7"/>
      <c r="C277" s="7"/>
      <c r="D277" s="7"/>
      <c r="E277" s="7"/>
      <c r="F277" s="7"/>
      <c r="G277" s="7"/>
      <c r="H277" s="7"/>
      <c r="I277" s="7"/>
      <c r="J277" s="8"/>
      <c r="K277" s="9"/>
    </row>
    <row r="278">
      <c r="A278" s="6"/>
      <c r="B278" s="7"/>
      <c r="C278" s="7"/>
      <c r="D278" s="7"/>
      <c r="E278" s="7"/>
      <c r="F278" s="7"/>
      <c r="G278" s="7"/>
      <c r="H278" s="7"/>
      <c r="I278" s="7"/>
      <c r="J278" s="8"/>
      <c r="K278" s="9"/>
    </row>
    <row r="279">
      <c r="A279" s="6"/>
      <c r="B279" s="7"/>
      <c r="C279" s="7"/>
      <c r="D279" s="7"/>
      <c r="E279" s="7"/>
      <c r="F279" s="7"/>
      <c r="G279" s="7"/>
      <c r="H279" s="7"/>
      <c r="I279" s="7"/>
      <c r="J279" s="8"/>
      <c r="K279" s="9"/>
    </row>
    <row r="280">
      <c r="A280" s="6"/>
      <c r="B280" s="7"/>
      <c r="C280" s="7"/>
      <c r="D280" s="7"/>
      <c r="E280" s="7"/>
      <c r="F280" s="7"/>
      <c r="G280" s="7"/>
      <c r="H280" s="7"/>
      <c r="I280" s="7"/>
      <c r="J280" s="8"/>
      <c r="K280" s="9"/>
    </row>
    <row r="281">
      <c r="A281" s="6"/>
      <c r="B281" s="7"/>
      <c r="C281" s="7"/>
      <c r="D281" s="7"/>
      <c r="E281" s="7"/>
      <c r="F281" s="7"/>
      <c r="G281" s="7"/>
      <c r="H281" s="7"/>
      <c r="I281" s="7"/>
      <c r="J281" s="8"/>
      <c r="K281" s="9"/>
    </row>
    <row r="282">
      <c r="A282" s="6"/>
      <c r="B282" s="7"/>
      <c r="C282" s="7"/>
      <c r="D282" s="7"/>
      <c r="E282" s="7"/>
      <c r="F282" s="7"/>
      <c r="G282" s="7"/>
      <c r="H282" s="7"/>
      <c r="I282" s="7"/>
      <c r="J282" s="8"/>
      <c r="K282" s="9"/>
    </row>
    <row r="283">
      <c r="A283" s="6"/>
      <c r="B283" s="7"/>
      <c r="C283" s="7"/>
      <c r="D283" s="7"/>
      <c r="E283" s="7"/>
      <c r="F283" s="7"/>
      <c r="G283" s="7"/>
      <c r="H283" s="7"/>
      <c r="I283" s="7"/>
      <c r="J283" s="8"/>
      <c r="K283" s="9"/>
    </row>
    <row r="284">
      <c r="A284" s="6"/>
      <c r="B284" s="7"/>
      <c r="C284" s="7"/>
      <c r="D284" s="7"/>
      <c r="E284" s="7"/>
      <c r="F284" s="7"/>
      <c r="G284" s="7"/>
      <c r="H284" s="7"/>
      <c r="I284" s="7"/>
      <c r="J284" s="8"/>
      <c r="K284" s="9"/>
    </row>
    <row r="285">
      <c r="A285" s="6"/>
      <c r="B285" s="7"/>
      <c r="C285" s="7"/>
      <c r="D285" s="7"/>
      <c r="E285" s="7"/>
      <c r="F285" s="7"/>
      <c r="G285" s="7"/>
      <c r="H285" s="7"/>
      <c r="I285" s="7"/>
      <c r="J285" s="8"/>
      <c r="K285" s="9"/>
    </row>
    <row r="286">
      <c r="A286" s="6"/>
      <c r="B286" s="7"/>
      <c r="C286" s="7"/>
      <c r="D286" s="7"/>
      <c r="E286" s="7"/>
      <c r="F286" s="7"/>
      <c r="G286" s="7"/>
      <c r="H286" s="7"/>
      <c r="I286" s="7"/>
      <c r="J286" s="8"/>
      <c r="K286" s="9"/>
    </row>
    <row r="287">
      <c r="A287" s="6"/>
      <c r="B287" s="7"/>
      <c r="C287" s="7"/>
      <c r="D287" s="7"/>
      <c r="E287" s="7"/>
      <c r="F287" s="7"/>
      <c r="G287" s="7"/>
      <c r="H287" s="7"/>
      <c r="I287" s="7"/>
      <c r="J287" s="8"/>
      <c r="K287" s="9"/>
    </row>
    <row r="288">
      <c r="A288" s="6"/>
      <c r="B288" s="7"/>
      <c r="C288" s="7"/>
      <c r="D288" s="7"/>
      <c r="E288" s="7"/>
      <c r="F288" s="7"/>
      <c r="G288" s="7"/>
      <c r="H288" s="7"/>
      <c r="I288" s="7"/>
      <c r="J288" s="8"/>
      <c r="K288" s="9"/>
    </row>
    <row r="289">
      <c r="A289" s="6"/>
      <c r="B289" s="7"/>
      <c r="C289" s="7"/>
      <c r="D289" s="7"/>
      <c r="E289" s="7"/>
      <c r="F289" s="7"/>
      <c r="G289" s="7"/>
      <c r="H289" s="7"/>
      <c r="I289" s="7"/>
      <c r="J289" s="8"/>
      <c r="K289" s="9"/>
    </row>
    <row r="290">
      <c r="A290" s="6"/>
      <c r="B290" s="7"/>
      <c r="C290" s="7"/>
      <c r="D290" s="7"/>
      <c r="E290" s="7"/>
      <c r="F290" s="7"/>
      <c r="G290" s="7"/>
      <c r="H290" s="7"/>
      <c r="I290" s="7"/>
      <c r="J290" s="8"/>
      <c r="K290" s="9"/>
    </row>
    <row r="291">
      <c r="A291" s="6"/>
      <c r="B291" s="7"/>
      <c r="C291" s="7"/>
      <c r="D291" s="7"/>
      <c r="E291" s="7"/>
      <c r="F291" s="7"/>
      <c r="G291" s="7"/>
      <c r="H291" s="7"/>
      <c r="I291" s="7"/>
      <c r="J291" s="8"/>
      <c r="K291" s="9"/>
    </row>
    <row r="292">
      <c r="A292" s="6"/>
      <c r="B292" s="7"/>
      <c r="C292" s="7"/>
      <c r="D292" s="7"/>
      <c r="E292" s="7"/>
      <c r="F292" s="7"/>
      <c r="G292" s="7"/>
      <c r="H292" s="7"/>
      <c r="I292" s="7"/>
      <c r="J292" s="8"/>
      <c r="K292" s="9"/>
    </row>
    <row r="293">
      <c r="A293" s="6"/>
      <c r="B293" s="7"/>
      <c r="C293" s="7"/>
      <c r="D293" s="7"/>
      <c r="E293" s="7"/>
      <c r="F293" s="7"/>
      <c r="G293" s="7"/>
      <c r="H293" s="7"/>
      <c r="I293" s="7"/>
      <c r="J293" s="8"/>
      <c r="K293" s="9"/>
    </row>
    <row r="294">
      <c r="A294" s="6"/>
      <c r="B294" s="7"/>
      <c r="C294" s="7"/>
      <c r="D294" s="7"/>
      <c r="E294" s="7"/>
      <c r="F294" s="7"/>
      <c r="G294" s="7"/>
      <c r="H294" s="7"/>
      <c r="I294" s="7"/>
      <c r="J294" s="8"/>
      <c r="K294" s="9"/>
    </row>
    <row r="295">
      <c r="A295" s="6"/>
      <c r="B295" s="7"/>
      <c r="C295" s="7"/>
      <c r="D295" s="7"/>
      <c r="E295" s="7"/>
      <c r="F295" s="7"/>
      <c r="G295" s="7"/>
      <c r="H295" s="7"/>
      <c r="I295" s="7"/>
      <c r="J295" s="8"/>
      <c r="K295" s="9"/>
    </row>
    <row r="296">
      <c r="A296" s="6"/>
      <c r="B296" s="7"/>
      <c r="C296" s="7"/>
      <c r="D296" s="7"/>
      <c r="E296" s="7"/>
      <c r="F296" s="7"/>
      <c r="G296" s="7"/>
      <c r="H296" s="7"/>
      <c r="I296" s="7"/>
      <c r="J296" s="8"/>
      <c r="K296" s="9"/>
    </row>
    <row r="297">
      <c r="A297" s="6"/>
      <c r="B297" s="7"/>
      <c r="C297" s="7"/>
      <c r="D297" s="7"/>
      <c r="E297" s="7"/>
      <c r="F297" s="7"/>
      <c r="G297" s="7"/>
      <c r="H297" s="7"/>
      <c r="I297" s="7"/>
      <c r="J297" s="8"/>
      <c r="K297" s="9"/>
    </row>
    <row r="298">
      <c r="A298" s="6"/>
      <c r="B298" s="7"/>
      <c r="C298" s="7"/>
      <c r="D298" s="7"/>
      <c r="E298" s="7"/>
      <c r="F298" s="7"/>
      <c r="G298" s="7"/>
      <c r="H298" s="7"/>
      <c r="I298" s="7"/>
      <c r="J298" s="8"/>
      <c r="K298" s="9"/>
    </row>
    <row r="299">
      <c r="A299" s="6"/>
      <c r="B299" s="7"/>
      <c r="C299" s="7"/>
      <c r="D299" s="7"/>
      <c r="E299" s="7"/>
      <c r="F299" s="7"/>
      <c r="G299" s="7"/>
      <c r="H299" s="7"/>
      <c r="I299" s="7"/>
      <c r="J299" s="8"/>
      <c r="K299" s="9"/>
    </row>
    <row r="300">
      <c r="A300" s="6"/>
      <c r="B300" s="7"/>
      <c r="C300" s="7"/>
      <c r="D300" s="7"/>
      <c r="E300" s="7"/>
      <c r="F300" s="7"/>
      <c r="G300" s="7"/>
      <c r="H300" s="7"/>
      <c r="I300" s="7"/>
      <c r="J300" s="8"/>
      <c r="K300" s="9"/>
    </row>
    <row r="301">
      <c r="A301" s="6"/>
      <c r="B301" s="7"/>
      <c r="C301" s="7"/>
      <c r="D301" s="7"/>
      <c r="E301" s="7"/>
      <c r="F301" s="7"/>
      <c r="G301" s="7"/>
      <c r="H301" s="7"/>
      <c r="I301" s="7"/>
      <c r="J301" s="8"/>
      <c r="K301" s="9"/>
    </row>
    <row r="302">
      <c r="A302" s="6"/>
      <c r="B302" s="7"/>
      <c r="C302" s="7"/>
      <c r="D302" s="7"/>
      <c r="E302" s="7"/>
      <c r="F302" s="7"/>
      <c r="G302" s="7"/>
      <c r="H302" s="7"/>
      <c r="I302" s="7"/>
      <c r="J302" s="8"/>
      <c r="K302" s="9"/>
    </row>
    <row r="303">
      <c r="A303" s="6"/>
      <c r="B303" s="7"/>
      <c r="C303" s="7"/>
      <c r="D303" s="7"/>
      <c r="E303" s="7"/>
      <c r="F303" s="7"/>
      <c r="G303" s="7"/>
      <c r="H303" s="7"/>
      <c r="I303" s="7"/>
      <c r="J303" s="8"/>
      <c r="K303" s="9"/>
    </row>
    <row r="304">
      <c r="A304" s="6"/>
      <c r="B304" s="7"/>
      <c r="C304" s="7"/>
      <c r="D304" s="7"/>
      <c r="E304" s="7"/>
      <c r="F304" s="7"/>
      <c r="G304" s="7"/>
      <c r="H304" s="7"/>
      <c r="I304" s="7"/>
      <c r="J304" s="8"/>
      <c r="K304" s="9"/>
    </row>
    <row r="305">
      <c r="A305" s="6"/>
      <c r="B305" s="7"/>
      <c r="C305" s="7"/>
      <c r="D305" s="7"/>
      <c r="E305" s="7"/>
      <c r="F305" s="7"/>
      <c r="G305" s="7"/>
      <c r="H305" s="7"/>
      <c r="I305" s="7"/>
      <c r="J305" s="8"/>
      <c r="K305" s="9"/>
    </row>
    <row r="306">
      <c r="A306" s="6"/>
      <c r="B306" s="7"/>
      <c r="C306" s="7"/>
      <c r="D306" s="7"/>
      <c r="E306" s="7"/>
      <c r="F306" s="7"/>
      <c r="G306" s="7"/>
      <c r="H306" s="7"/>
      <c r="I306" s="7"/>
      <c r="J306" s="8"/>
      <c r="K306" s="9"/>
    </row>
    <row r="307">
      <c r="A307" s="6"/>
      <c r="B307" s="7"/>
      <c r="C307" s="7"/>
      <c r="D307" s="7"/>
      <c r="E307" s="7"/>
      <c r="F307" s="7"/>
      <c r="G307" s="7"/>
      <c r="H307" s="7"/>
      <c r="I307" s="7"/>
      <c r="J307" s="8"/>
      <c r="K307" s="9"/>
    </row>
    <row r="308">
      <c r="A308" s="6"/>
      <c r="B308" s="7"/>
      <c r="C308" s="7"/>
      <c r="D308" s="7"/>
      <c r="E308" s="7"/>
      <c r="F308" s="7"/>
      <c r="G308" s="7"/>
      <c r="H308" s="7"/>
      <c r="I308" s="7"/>
      <c r="J308" s="8"/>
      <c r="K308" s="9"/>
    </row>
    <row r="309">
      <c r="A309" s="6"/>
      <c r="B309" s="7"/>
      <c r="C309" s="7"/>
      <c r="D309" s="7"/>
      <c r="E309" s="7"/>
      <c r="F309" s="7"/>
      <c r="G309" s="7"/>
      <c r="H309" s="7"/>
      <c r="I309" s="7"/>
      <c r="J309" s="8"/>
      <c r="K309" s="9"/>
    </row>
    <row r="310">
      <c r="A310" s="6"/>
      <c r="B310" s="7"/>
      <c r="C310" s="7"/>
      <c r="D310" s="7"/>
      <c r="E310" s="7"/>
      <c r="F310" s="7"/>
      <c r="G310" s="7"/>
      <c r="H310" s="7"/>
      <c r="I310" s="7"/>
      <c r="J310" s="8"/>
      <c r="K310" s="9"/>
    </row>
    <row r="311">
      <c r="A311" s="6"/>
      <c r="B311" s="7"/>
      <c r="C311" s="7"/>
      <c r="D311" s="7"/>
      <c r="E311" s="7"/>
      <c r="F311" s="7"/>
      <c r="G311" s="7"/>
      <c r="H311" s="7"/>
      <c r="I311" s="7"/>
      <c r="J311" s="8"/>
      <c r="K311" s="9"/>
    </row>
    <row r="312">
      <c r="A312" s="6"/>
      <c r="B312" s="7"/>
      <c r="C312" s="7"/>
      <c r="D312" s="7"/>
      <c r="E312" s="7"/>
      <c r="F312" s="7"/>
      <c r="G312" s="7"/>
      <c r="H312" s="7"/>
      <c r="I312" s="7"/>
      <c r="J312" s="8"/>
      <c r="K312" s="9"/>
    </row>
    <row r="313">
      <c r="A313" s="6"/>
      <c r="B313" s="7"/>
      <c r="C313" s="7"/>
      <c r="D313" s="7"/>
      <c r="E313" s="7"/>
      <c r="F313" s="7"/>
      <c r="G313" s="7"/>
      <c r="H313" s="7"/>
      <c r="I313" s="7"/>
      <c r="J313" s="8"/>
      <c r="K313" s="9"/>
    </row>
    <row r="314">
      <c r="A314" s="6"/>
      <c r="B314" s="7"/>
      <c r="C314" s="7"/>
      <c r="D314" s="7"/>
      <c r="E314" s="7"/>
      <c r="F314" s="7"/>
      <c r="G314" s="7"/>
      <c r="H314" s="7"/>
      <c r="I314" s="7"/>
      <c r="J314" s="8"/>
      <c r="K314" s="9"/>
    </row>
    <row r="315">
      <c r="A315" s="6"/>
      <c r="B315" s="7"/>
      <c r="C315" s="7"/>
      <c r="D315" s="7"/>
      <c r="E315" s="7"/>
      <c r="F315" s="7"/>
      <c r="G315" s="7"/>
      <c r="H315" s="7"/>
      <c r="I315" s="7"/>
      <c r="J315" s="8"/>
      <c r="K315" s="9"/>
    </row>
    <row r="316">
      <c r="A316" s="6"/>
      <c r="B316" s="7"/>
      <c r="C316" s="7"/>
      <c r="D316" s="7"/>
      <c r="E316" s="7"/>
      <c r="F316" s="7"/>
      <c r="G316" s="7"/>
      <c r="H316" s="7"/>
      <c r="I316" s="7"/>
      <c r="J316" s="8"/>
      <c r="K316" s="9"/>
    </row>
    <row r="317">
      <c r="A317" s="6"/>
      <c r="B317" s="7"/>
      <c r="C317" s="7"/>
      <c r="D317" s="7"/>
      <c r="E317" s="7"/>
      <c r="F317" s="7"/>
      <c r="G317" s="7"/>
      <c r="H317" s="7"/>
      <c r="I317" s="7"/>
      <c r="J317" s="8"/>
      <c r="K317" s="9"/>
    </row>
    <row r="318">
      <c r="A318" s="6"/>
      <c r="B318" s="7"/>
      <c r="C318" s="7"/>
      <c r="D318" s="7"/>
      <c r="E318" s="7"/>
      <c r="F318" s="7"/>
      <c r="G318" s="7"/>
      <c r="H318" s="7"/>
      <c r="I318" s="7"/>
      <c r="J318" s="8"/>
      <c r="K318" s="9"/>
    </row>
    <row r="319">
      <c r="A319" s="6"/>
      <c r="B319" s="7"/>
      <c r="C319" s="7"/>
      <c r="D319" s="7"/>
      <c r="E319" s="7"/>
      <c r="F319" s="7"/>
      <c r="G319" s="7"/>
      <c r="H319" s="7"/>
      <c r="I319" s="7"/>
      <c r="J319" s="8"/>
      <c r="K319" s="9"/>
    </row>
    <row r="320">
      <c r="A320" s="6"/>
      <c r="B320" s="7"/>
      <c r="C320" s="7"/>
      <c r="D320" s="7"/>
      <c r="E320" s="7"/>
      <c r="F320" s="7"/>
      <c r="G320" s="7"/>
      <c r="H320" s="7"/>
      <c r="I320" s="7"/>
      <c r="J320" s="8"/>
      <c r="K320" s="9"/>
    </row>
    <row r="321">
      <c r="A321" s="6"/>
      <c r="B321" s="7"/>
      <c r="C321" s="7"/>
      <c r="D321" s="7"/>
      <c r="E321" s="7"/>
      <c r="F321" s="7"/>
      <c r="G321" s="7"/>
      <c r="H321" s="7"/>
      <c r="I321" s="7"/>
      <c r="J321" s="8"/>
      <c r="K321" s="9"/>
    </row>
    <row r="322">
      <c r="A322" s="6"/>
      <c r="B322" s="7"/>
      <c r="C322" s="7"/>
      <c r="D322" s="7"/>
      <c r="E322" s="7"/>
      <c r="F322" s="7"/>
      <c r="G322" s="7"/>
      <c r="H322" s="7"/>
      <c r="I322" s="7"/>
      <c r="J322" s="8"/>
      <c r="K322" s="9"/>
    </row>
    <row r="323">
      <c r="A323" s="6"/>
      <c r="B323" s="7"/>
      <c r="C323" s="7"/>
      <c r="D323" s="7"/>
      <c r="E323" s="7"/>
      <c r="F323" s="7"/>
      <c r="G323" s="7"/>
      <c r="H323" s="7"/>
      <c r="I323" s="7"/>
      <c r="J323" s="8"/>
      <c r="K323" s="9"/>
    </row>
    <row r="324">
      <c r="A324" s="6"/>
      <c r="B324" s="7"/>
      <c r="C324" s="7"/>
      <c r="D324" s="7"/>
      <c r="E324" s="7"/>
      <c r="F324" s="7"/>
      <c r="G324" s="7"/>
      <c r="H324" s="7"/>
      <c r="I324" s="7"/>
      <c r="J324" s="8"/>
      <c r="K324" s="9"/>
    </row>
    <row r="325">
      <c r="A325" s="6"/>
      <c r="B325" s="7"/>
      <c r="C325" s="7"/>
      <c r="D325" s="7"/>
      <c r="E325" s="7"/>
      <c r="F325" s="7"/>
      <c r="G325" s="7"/>
      <c r="H325" s="7"/>
      <c r="I325" s="7"/>
      <c r="J325" s="8"/>
      <c r="K325" s="9"/>
    </row>
    <row r="326">
      <c r="A326" s="6"/>
      <c r="B326" s="7"/>
      <c r="C326" s="7"/>
      <c r="D326" s="7"/>
      <c r="E326" s="7"/>
      <c r="F326" s="7"/>
      <c r="G326" s="7"/>
      <c r="H326" s="7"/>
      <c r="I326" s="7"/>
      <c r="J326" s="8"/>
      <c r="K326" s="9"/>
    </row>
    <row r="327">
      <c r="A327" s="6"/>
      <c r="B327" s="7"/>
      <c r="C327" s="7"/>
      <c r="D327" s="7"/>
      <c r="E327" s="7"/>
      <c r="F327" s="7"/>
      <c r="G327" s="7"/>
      <c r="H327" s="7"/>
      <c r="I327" s="7"/>
      <c r="J327" s="8"/>
      <c r="K327" s="9"/>
    </row>
    <row r="328">
      <c r="A328" s="6"/>
      <c r="B328" s="7"/>
      <c r="C328" s="7"/>
      <c r="D328" s="7"/>
      <c r="E328" s="7"/>
      <c r="F328" s="7"/>
      <c r="G328" s="7"/>
      <c r="H328" s="7"/>
      <c r="I328" s="7"/>
      <c r="J328" s="8"/>
      <c r="K328" s="9"/>
    </row>
    <row r="329">
      <c r="A329" s="6"/>
      <c r="B329" s="7"/>
      <c r="C329" s="7"/>
      <c r="D329" s="7"/>
      <c r="E329" s="7"/>
      <c r="F329" s="7"/>
      <c r="G329" s="7"/>
      <c r="H329" s="7"/>
      <c r="I329" s="7"/>
      <c r="J329" s="8"/>
      <c r="K329" s="9"/>
    </row>
    <row r="330">
      <c r="A330" s="6"/>
      <c r="B330" s="7"/>
      <c r="C330" s="7"/>
      <c r="D330" s="7"/>
      <c r="E330" s="7"/>
      <c r="F330" s="7"/>
      <c r="G330" s="7"/>
      <c r="H330" s="7"/>
      <c r="I330" s="7"/>
      <c r="J330" s="8"/>
      <c r="K330" s="9"/>
    </row>
    <row r="331">
      <c r="A331" s="6"/>
      <c r="B331" s="7"/>
      <c r="C331" s="7"/>
      <c r="D331" s="7"/>
      <c r="E331" s="7"/>
      <c r="F331" s="7"/>
      <c r="G331" s="7"/>
      <c r="H331" s="7"/>
      <c r="I331" s="7"/>
      <c r="J331" s="8"/>
      <c r="K331" s="9"/>
    </row>
    <row r="332">
      <c r="A332" s="6"/>
      <c r="B332" s="7"/>
      <c r="C332" s="7"/>
      <c r="D332" s="7"/>
      <c r="E332" s="7"/>
      <c r="F332" s="7"/>
      <c r="G332" s="7"/>
      <c r="H332" s="7"/>
      <c r="I332" s="7"/>
      <c r="J332" s="8"/>
      <c r="K332" s="9"/>
    </row>
    <row r="333">
      <c r="A333" s="6"/>
      <c r="B333" s="7"/>
      <c r="C333" s="7"/>
      <c r="D333" s="7"/>
      <c r="E333" s="7"/>
      <c r="F333" s="7"/>
      <c r="G333" s="7"/>
      <c r="H333" s="7"/>
      <c r="I333" s="7"/>
      <c r="J333" s="8"/>
      <c r="K333" s="9"/>
    </row>
    <row r="334">
      <c r="A334" s="6"/>
      <c r="B334" s="7"/>
      <c r="C334" s="7"/>
      <c r="D334" s="7"/>
      <c r="E334" s="7"/>
      <c r="F334" s="7"/>
      <c r="G334" s="7"/>
      <c r="H334" s="7"/>
      <c r="I334" s="7"/>
      <c r="J334" s="8"/>
      <c r="K334" s="9"/>
    </row>
    <row r="335">
      <c r="A335" s="6"/>
      <c r="B335" s="7"/>
      <c r="C335" s="7"/>
      <c r="D335" s="7"/>
      <c r="E335" s="7"/>
      <c r="F335" s="7"/>
      <c r="G335" s="7"/>
      <c r="H335" s="7"/>
      <c r="I335" s="7"/>
      <c r="J335" s="8"/>
      <c r="K335" s="9"/>
    </row>
    <row r="336">
      <c r="A336" s="6"/>
      <c r="B336" s="7"/>
      <c r="C336" s="7"/>
      <c r="D336" s="7"/>
      <c r="E336" s="7"/>
      <c r="F336" s="7"/>
      <c r="G336" s="7"/>
      <c r="H336" s="7"/>
      <c r="I336" s="7"/>
      <c r="J336" s="8"/>
      <c r="K336" s="9"/>
    </row>
    <row r="337">
      <c r="A337" s="6"/>
      <c r="B337" s="7"/>
      <c r="C337" s="7"/>
      <c r="D337" s="7"/>
      <c r="E337" s="7"/>
      <c r="F337" s="7"/>
      <c r="G337" s="7"/>
      <c r="H337" s="7"/>
      <c r="I337" s="7"/>
      <c r="J337" s="8"/>
      <c r="K337" s="9"/>
    </row>
    <row r="338">
      <c r="A338" s="6"/>
      <c r="B338" s="7"/>
      <c r="C338" s="7"/>
      <c r="D338" s="7"/>
      <c r="E338" s="7"/>
      <c r="F338" s="7"/>
      <c r="G338" s="7"/>
      <c r="H338" s="7"/>
      <c r="I338" s="7"/>
      <c r="J338" s="8"/>
      <c r="K338" s="9"/>
    </row>
    <row r="339">
      <c r="A339" s="6"/>
      <c r="B339" s="7"/>
      <c r="C339" s="7"/>
      <c r="D339" s="7"/>
      <c r="E339" s="7"/>
      <c r="F339" s="7"/>
      <c r="G339" s="7"/>
      <c r="H339" s="7"/>
      <c r="I339" s="7"/>
      <c r="J339" s="8"/>
      <c r="K339" s="9"/>
    </row>
    <row r="340">
      <c r="A340" s="6"/>
      <c r="B340" s="7"/>
      <c r="C340" s="7"/>
      <c r="D340" s="7"/>
      <c r="E340" s="7"/>
      <c r="F340" s="7"/>
      <c r="G340" s="7"/>
      <c r="H340" s="7"/>
      <c r="I340" s="7"/>
      <c r="J340" s="8"/>
      <c r="K340" s="9"/>
    </row>
    <row r="341">
      <c r="A341" s="6"/>
      <c r="B341" s="7"/>
      <c r="C341" s="7"/>
      <c r="D341" s="7"/>
      <c r="E341" s="7"/>
      <c r="F341" s="7"/>
      <c r="G341" s="7"/>
      <c r="H341" s="7"/>
      <c r="I341" s="7"/>
      <c r="J341" s="8"/>
      <c r="K341" s="9"/>
    </row>
    <row r="342">
      <c r="A342" s="6"/>
      <c r="B342" s="7"/>
      <c r="C342" s="7"/>
      <c r="D342" s="7"/>
      <c r="E342" s="7"/>
      <c r="F342" s="7"/>
      <c r="G342" s="7"/>
      <c r="H342" s="7"/>
      <c r="I342" s="7"/>
      <c r="J342" s="8"/>
      <c r="K342" s="9"/>
    </row>
    <row r="343">
      <c r="A343" s="6"/>
      <c r="B343" s="7"/>
      <c r="C343" s="7"/>
      <c r="D343" s="7"/>
      <c r="E343" s="7"/>
      <c r="F343" s="7"/>
      <c r="G343" s="7"/>
      <c r="H343" s="7"/>
      <c r="I343" s="7"/>
      <c r="J343" s="8"/>
      <c r="K343" s="9"/>
    </row>
    <row r="344">
      <c r="A344" s="6"/>
      <c r="B344" s="7"/>
      <c r="C344" s="7"/>
      <c r="D344" s="7"/>
      <c r="E344" s="7"/>
      <c r="F344" s="7"/>
      <c r="G344" s="7"/>
      <c r="H344" s="7"/>
      <c r="I344" s="7"/>
      <c r="J344" s="8"/>
      <c r="K344" s="9"/>
    </row>
    <row r="345">
      <c r="A345" s="6"/>
      <c r="B345" s="7"/>
      <c r="C345" s="7"/>
      <c r="D345" s="7"/>
      <c r="E345" s="7"/>
      <c r="F345" s="7"/>
      <c r="G345" s="7"/>
      <c r="H345" s="7"/>
      <c r="I345" s="7"/>
      <c r="J345" s="8"/>
      <c r="K345" s="9"/>
    </row>
    <row r="346">
      <c r="A346" s="6"/>
      <c r="B346" s="7"/>
      <c r="C346" s="7"/>
      <c r="D346" s="7"/>
      <c r="E346" s="7"/>
      <c r="F346" s="7"/>
      <c r="G346" s="7"/>
      <c r="H346" s="7"/>
      <c r="I346" s="7"/>
      <c r="J346" s="8"/>
      <c r="K346" s="9"/>
    </row>
    <row r="347">
      <c r="A347" s="6"/>
      <c r="B347" s="7"/>
      <c r="C347" s="7"/>
      <c r="D347" s="7"/>
      <c r="E347" s="7"/>
      <c r="F347" s="7"/>
      <c r="G347" s="7"/>
      <c r="H347" s="7"/>
      <c r="I347" s="7"/>
      <c r="J347" s="8"/>
      <c r="K347" s="9"/>
    </row>
    <row r="348">
      <c r="A348" s="6"/>
      <c r="B348" s="7"/>
      <c r="C348" s="7"/>
      <c r="D348" s="7"/>
      <c r="E348" s="7"/>
      <c r="F348" s="7"/>
      <c r="G348" s="7"/>
      <c r="H348" s="7"/>
      <c r="I348" s="7"/>
      <c r="J348" s="8"/>
      <c r="K348" s="9"/>
    </row>
    <row r="349">
      <c r="A349" s="6"/>
      <c r="B349" s="7"/>
      <c r="C349" s="7"/>
      <c r="D349" s="7"/>
      <c r="E349" s="7"/>
      <c r="F349" s="7"/>
      <c r="G349" s="7"/>
      <c r="H349" s="7"/>
      <c r="I349" s="7"/>
      <c r="J349" s="8"/>
      <c r="K349" s="9"/>
    </row>
    <row r="350">
      <c r="A350" s="6"/>
      <c r="B350" s="7"/>
      <c r="C350" s="7"/>
      <c r="D350" s="7"/>
      <c r="E350" s="7"/>
      <c r="F350" s="7"/>
      <c r="G350" s="7"/>
      <c r="H350" s="7"/>
      <c r="I350" s="7"/>
      <c r="J350" s="8"/>
      <c r="K350" s="9"/>
    </row>
    <row r="351">
      <c r="A351" s="6"/>
      <c r="B351" s="7"/>
      <c r="C351" s="7"/>
      <c r="D351" s="7"/>
      <c r="E351" s="7"/>
      <c r="F351" s="7"/>
      <c r="G351" s="7"/>
      <c r="H351" s="7"/>
      <c r="I351" s="7"/>
      <c r="J351" s="8"/>
      <c r="K351" s="9"/>
    </row>
    <row r="352">
      <c r="A352" s="6"/>
      <c r="B352" s="7"/>
      <c r="C352" s="7"/>
      <c r="D352" s="7"/>
      <c r="E352" s="7"/>
      <c r="F352" s="7"/>
      <c r="G352" s="7"/>
      <c r="H352" s="7"/>
      <c r="I352" s="7"/>
      <c r="J352" s="8"/>
      <c r="K352" s="9"/>
    </row>
    <row r="353">
      <c r="A353" s="6"/>
      <c r="B353" s="7"/>
      <c r="C353" s="7"/>
      <c r="D353" s="7"/>
      <c r="E353" s="7"/>
      <c r="F353" s="7"/>
      <c r="G353" s="7"/>
      <c r="H353" s="7"/>
      <c r="I353" s="7"/>
      <c r="J353" s="8"/>
      <c r="K353" s="9"/>
    </row>
    <row r="354">
      <c r="A354" s="6"/>
      <c r="B354" s="7"/>
      <c r="C354" s="7"/>
      <c r="D354" s="7"/>
      <c r="E354" s="7"/>
      <c r="F354" s="7"/>
      <c r="G354" s="7"/>
      <c r="H354" s="7"/>
      <c r="I354" s="7"/>
      <c r="J354" s="8"/>
      <c r="K354" s="9"/>
    </row>
    <row r="355">
      <c r="A355" s="6"/>
      <c r="B355" s="7"/>
      <c r="C355" s="7"/>
      <c r="D355" s="7"/>
      <c r="E355" s="7"/>
      <c r="F355" s="7"/>
      <c r="G355" s="7"/>
      <c r="H355" s="7"/>
      <c r="I355" s="7"/>
      <c r="J355" s="8"/>
      <c r="K355" s="9"/>
    </row>
    <row r="356">
      <c r="A356" s="6"/>
      <c r="B356" s="7"/>
      <c r="C356" s="7"/>
      <c r="D356" s="7"/>
      <c r="E356" s="7"/>
      <c r="F356" s="7"/>
      <c r="G356" s="7"/>
      <c r="H356" s="7"/>
      <c r="I356" s="7"/>
      <c r="J356" s="8"/>
      <c r="K356" s="9"/>
    </row>
    <row r="357">
      <c r="A357" s="6"/>
      <c r="B357" s="7"/>
      <c r="C357" s="7"/>
      <c r="D357" s="7"/>
      <c r="E357" s="7"/>
      <c r="F357" s="7"/>
      <c r="G357" s="7"/>
      <c r="H357" s="7"/>
      <c r="I357" s="7"/>
      <c r="J357" s="8"/>
      <c r="K357" s="9"/>
    </row>
    <row r="358">
      <c r="A358" s="6"/>
      <c r="B358" s="7"/>
      <c r="C358" s="7"/>
      <c r="D358" s="7"/>
      <c r="E358" s="7"/>
      <c r="F358" s="7"/>
      <c r="G358" s="7"/>
      <c r="H358" s="7"/>
      <c r="I358" s="7"/>
      <c r="J358" s="8"/>
      <c r="K358" s="9"/>
    </row>
    <row r="359">
      <c r="A359" s="6"/>
      <c r="B359" s="7"/>
      <c r="C359" s="7"/>
      <c r="D359" s="7"/>
      <c r="E359" s="7"/>
      <c r="F359" s="7"/>
      <c r="G359" s="7"/>
      <c r="H359" s="7"/>
      <c r="I359" s="7"/>
      <c r="J359" s="8"/>
      <c r="K359" s="9"/>
    </row>
    <row r="360">
      <c r="A360" s="6"/>
      <c r="B360" s="7"/>
      <c r="C360" s="7"/>
      <c r="D360" s="7"/>
      <c r="E360" s="7"/>
      <c r="F360" s="7"/>
      <c r="G360" s="7"/>
      <c r="H360" s="7"/>
      <c r="I360" s="7"/>
      <c r="J360" s="8"/>
      <c r="K360" s="9"/>
    </row>
    <row r="361">
      <c r="A361" s="6"/>
      <c r="B361" s="7"/>
      <c r="C361" s="7"/>
      <c r="D361" s="7"/>
      <c r="E361" s="7"/>
      <c r="F361" s="7"/>
      <c r="G361" s="7"/>
      <c r="H361" s="7"/>
      <c r="I361" s="7"/>
      <c r="J361" s="8"/>
      <c r="K361" s="9"/>
    </row>
    <row r="362">
      <c r="A362" s="6"/>
      <c r="B362" s="7"/>
      <c r="C362" s="7"/>
      <c r="D362" s="7"/>
      <c r="E362" s="7"/>
      <c r="F362" s="7"/>
      <c r="G362" s="7"/>
      <c r="H362" s="7"/>
      <c r="I362" s="7"/>
      <c r="J362" s="8"/>
      <c r="K362" s="9"/>
    </row>
    <row r="363">
      <c r="A363" s="6"/>
      <c r="B363" s="7"/>
      <c r="C363" s="7"/>
      <c r="D363" s="7"/>
      <c r="E363" s="7"/>
      <c r="F363" s="7"/>
      <c r="G363" s="7"/>
      <c r="H363" s="7"/>
      <c r="I363" s="7"/>
      <c r="J363" s="8"/>
      <c r="K363" s="9"/>
    </row>
    <row r="364">
      <c r="A364" s="6"/>
      <c r="B364" s="7"/>
      <c r="C364" s="7"/>
      <c r="D364" s="7"/>
      <c r="E364" s="7"/>
      <c r="F364" s="7"/>
      <c r="G364" s="7"/>
      <c r="H364" s="7"/>
      <c r="I364" s="7"/>
      <c r="J364" s="8"/>
      <c r="K364" s="9"/>
    </row>
    <row r="365">
      <c r="A365" s="6"/>
      <c r="B365" s="7"/>
      <c r="C365" s="7"/>
      <c r="D365" s="7"/>
      <c r="E365" s="7"/>
      <c r="F365" s="7"/>
      <c r="G365" s="7"/>
      <c r="H365" s="7"/>
      <c r="I365" s="7"/>
      <c r="J365" s="8"/>
      <c r="K365" s="9"/>
    </row>
    <row r="366">
      <c r="A366" s="6"/>
      <c r="B366" s="7"/>
      <c r="C366" s="7"/>
      <c r="D366" s="7"/>
      <c r="E366" s="7"/>
      <c r="F366" s="7"/>
      <c r="G366" s="7"/>
      <c r="H366" s="7"/>
      <c r="I366" s="7"/>
      <c r="J366" s="8"/>
      <c r="K366" s="9"/>
    </row>
    <row r="367">
      <c r="A367" s="6"/>
      <c r="B367" s="7"/>
      <c r="C367" s="7"/>
      <c r="D367" s="7"/>
      <c r="E367" s="7"/>
      <c r="F367" s="7"/>
      <c r="G367" s="7"/>
      <c r="H367" s="7"/>
      <c r="I367" s="7"/>
      <c r="J367" s="8"/>
      <c r="K367" s="9"/>
    </row>
    <row r="368">
      <c r="A368" s="6"/>
      <c r="B368" s="7"/>
      <c r="C368" s="7"/>
      <c r="D368" s="7"/>
      <c r="E368" s="7"/>
      <c r="F368" s="7"/>
      <c r="G368" s="7"/>
      <c r="H368" s="7"/>
      <c r="I368" s="7"/>
      <c r="J368" s="8"/>
      <c r="K368" s="9"/>
    </row>
    <row r="369">
      <c r="A369" s="6"/>
      <c r="B369" s="7"/>
      <c r="C369" s="7"/>
      <c r="D369" s="7"/>
      <c r="E369" s="7"/>
      <c r="F369" s="7"/>
      <c r="G369" s="7"/>
      <c r="H369" s="7"/>
      <c r="I369" s="7"/>
      <c r="J369" s="8"/>
      <c r="K369" s="9"/>
    </row>
    <row r="370">
      <c r="A370" s="6"/>
      <c r="B370" s="7"/>
      <c r="C370" s="7"/>
      <c r="D370" s="7"/>
      <c r="E370" s="7"/>
      <c r="F370" s="7"/>
      <c r="G370" s="7"/>
      <c r="H370" s="7"/>
      <c r="I370" s="7"/>
      <c r="J370" s="8"/>
      <c r="K370" s="9"/>
    </row>
    <row r="371">
      <c r="A371" s="6"/>
      <c r="B371" s="7"/>
      <c r="C371" s="7"/>
      <c r="D371" s="7"/>
      <c r="E371" s="7"/>
      <c r="F371" s="7"/>
      <c r="G371" s="7"/>
      <c r="H371" s="7"/>
      <c r="I371" s="7"/>
      <c r="J371" s="8"/>
      <c r="K371" s="9"/>
    </row>
    <row r="372">
      <c r="A372" s="6"/>
      <c r="B372" s="7"/>
      <c r="C372" s="7"/>
      <c r="D372" s="7"/>
      <c r="E372" s="7"/>
      <c r="F372" s="7"/>
      <c r="G372" s="7"/>
      <c r="H372" s="7"/>
      <c r="I372" s="7"/>
      <c r="J372" s="8"/>
      <c r="K372" s="9"/>
    </row>
    <row r="373">
      <c r="A373" s="6"/>
      <c r="B373" s="7"/>
      <c r="C373" s="7"/>
      <c r="D373" s="7"/>
      <c r="E373" s="7"/>
      <c r="F373" s="7"/>
      <c r="G373" s="7"/>
      <c r="H373" s="7"/>
      <c r="I373" s="7"/>
      <c r="J373" s="8"/>
      <c r="K373" s="9"/>
    </row>
    <row r="374">
      <c r="A374" s="6"/>
      <c r="B374" s="7"/>
      <c r="C374" s="7"/>
      <c r="D374" s="7"/>
      <c r="E374" s="7"/>
      <c r="F374" s="7"/>
      <c r="G374" s="7"/>
      <c r="H374" s="7"/>
      <c r="I374" s="7"/>
      <c r="J374" s="8"/>
      <c r="K374" s="9"/>
    </row>
    <row r="375">
      <c r="A375" s="6"/>
      <c r="B375" s="7"/>
      <c r="C375" s="7"/>
      <c r="D375" s="7"/>
      <c r="E375" s="7"/>
      <c r="F375" s="7"/>
      <c r="G375" s="7"/>
      <c r="H375" s="7"/>
      <c r="I375" s="7"/>
      <c r="J375" s="8"/>
      <c r="K375" s="9"/>
    </row>
    <row r="376">
      <c r="A376" s="6"/>
      <c r="B376" s="7"/>
      <c r="C376" s="7"/>
      <c r="D376" s="7"/>
      <c r="E376" s="7"/>
      <c r="F376" s="7"/>
      <c r="G376" s="7"/>
      <c r="H376" s="7"/>
      <c r="I376" s="7"/>
      <c r="J376" s="8"/>
      <c r="K376" s="9"/>
    </row>
    <row r="377">
      <c r="A377" s="6"/>
      <c r="B377" s="7"/>
      <c r="C377" s="7"/>
      <c r="D377" s="7"/>
      <c r="E377" s="7"/>
      <c r="F377" s="7"/>
      <c r="G377" s="7"/>
      <c r="H377" s="7"/>
      <c r="I377" s="7"/>
      <c r="J377" s="8"/>
      <c r="K377" s="9"/>
    </row>
    <row r="378">
      <c r="A378" s="6"/>
      <c r="B378" s="7"/>
      <c r="C378" s="7"/>
      <c r="D378" s="7"/>
      <c r="E378" s="7"/>
      <c r="F378" s="7"/>
      <c r="G378" s="7"/>
      <c r="H378" s="7"/>
      <c r="I378" s="7"/>
      <c r="J378" s="8"/>
      <c r="K378" s="9"/>
    </row>
    <row r="379">
      <c r="A379" s="6"/>
      <c r="B379" s="7"/>
      <c r="C379" s="7"/>
      <c r="D379" s="7"/>
      <c r="E379" s="7"/>
      <c r="F379" s="7"/>
      <c r="G379" s="7"/>
      <c r="H379" s="7"/>
      <c r="I379" s="7"/>
      <c r="J379" s="8"/>
      <c r="K379" s="9"/>
    </row>
    <row r="380">
      <c r="A380" s="6"/>
      <c r="B380" s="7"/>
      <c r="C380" s="7"/>
      <c r="D380" s="7"/>
      <c r="E380" s="7"/>
      <c r="F380" s="7"/>
      <c r="G380" s="7"/>
      <c r="H380" s="7"/>
      <c r="I380" s="7"/>
      <c r="J380" s="8"/>
      <c r="K380" s="9"/>
    </row>
    <row r="381">
      <c r="A381" s="6"/>
      <c r="B381" s="7"/>
      <c r="C381" s="7"/>
      <c r="D381" s="7"/>
      <c r="E381" s="7"/>
      <c r="F381" s="7"/>
      <c r="G381" s="7"/>
      <c r="H381" s="7"/>
      <c r="I381" s="7"/>
      <c r="J381" s="8"/>
      <c r="K381" s="9"/>
    </row>
    <row r="382">
      <c r="A382" s="6"/>
      <c r="B382" s="7"/>
      <c r="C382" s="7"/>
      <c r="D382" s="7"/>
      <c r="E382" s="7"/>
      <c r="F382" s="7"/>
      <c r="G382" s="7"/>
      <c r="H382" s="7"/>
      <c r="I382" s="7"/>
      <c r="J382" s="8"/>
      <c r="K382" s="9"/>
    </row>
    <row r="383">
      <c r="A383" s="6"/>
      <c r="B383" s="7"/>
      <c r="C383" s="7"/>
      <c r="D383" s="7"/>
      <c r="E383" s="7"/>
      <c r="F383" s="7"/>
      <c r="G383" s="7"/>
      <c r="H383" s="7"/>
      <c r="I383" s="7"/>
      <c r="J383" s="8"/>
      <c r="K383" s="9"/>
    </row>
    <row r="384">
      <c r="A384" s="6"/>
      <c r="B384" s="7"/>
      <c r="C384" s="7"/>
      <c r="D384" s="7"/>
      <c r="E384" s="7"/>
      <c r="F384" s="7"/>
      <c r="G384" s="7"/>
      <c r="H384" s="7"/>
      <c r="I384" s="7"/>
      <c r="J384" s="8"/>
      <c r="K384" s="9"/>
    </row>
    <row r="385">
      <c r="A385" s="6"/>
      <c r="B385" s="7"/>
      <c r="C385" s="7"/>
      <c r="D385" s="7"/>
      <c r="E385" s="7"/>
      <c r="F385" s="7"/>
      <c r="G385" s="7"/>
      <c r="H385" s="7"/>
      <c r="I385" s="7"/>
      <c r="J385" s="8"/>
      <c r="K385" s="9"/>
    </row>
    <row r="386">
      <c r="A386" s="6"/>
      <c r="B386" s="7"/>
      <c r="C386" s="7"/>
      <c r="D386" s="7"/>
      <c r="E386" s="7"/>
      <c r="F386" s="7"/>
      <c r="G386" s="7"/>
      <c r="H386" s="7"/>
      <c r="I386" s="7"/>
      <c r="J386" s="8"/>
      <c r="K386" s="9"/>
    </row>
    <row r="387">
      <c r="A387" s="6"/>
      <c r="B387" s="7"/>
      <c r="C387" s="7"/>
      <c r="D387" s="7"/>
      <c r="E387" s="7"/>
      <c r="F387" s="7"/>
      <c r="G387" s="7"/>
      <c r="H387" s="7"/>
      <c r="I387" s="7"/>
      <c r="J387" s="8"/>
      <c r="K387" s="9"/>
    </row>
    <row r="388">
      <c r="A388" s="6"/>
      <c r="B388" s="7"/>
      <c r="C388" s="7"/>
      <c r="D388" s="7"/>
      <c r="E388" s="7"/>
      <c r="F388" s="7"/>
      <c r="G388" s="7"/>
      <c r="H388" s="7"/>
      <c r="I388" s="7"/>
      <c r="J388" s="8"/>
      <c r="K388" s="9"/>
    </row>
    <row r="389">
      <c r="A389" s="6"/>
      <c r="B389" s="7"/>
      <c r="C389" s="7"/>
      <c r="D389" s="7"/>
      <c r="E389" s="7"/>
      <c r="F389" s="7"/>
      <c r="G389" s="7"/>
      <c r="H389" s="7"/>
      <c r="I389" s="7"/>
      <c r="J389" s="8"/>
      <c r="K389" s="9"/>
    </row>
    <row r="390">
      <c r="A390" s="6"/>
      <c r="B390" s="7"/>
      <c r="C390" s="7"/>
      <c r="D390" s="7"/>
      <c r="E390" s="7"/>
      <c r="F390" s="7"/>
      <c r="G390" s="7"/>
      <c r="H390" s="7"/>
      <c r="I390" s="7"/>
      <c r="J390" s="8"/>
      <c r="K390" s="9"/>
    </row>
    <row r="391">
      <c r="A391" s="6"/>
      <c r="B391" s="7"/>
      <c r="C391" s="7"/>
      <c r="D391" s="7"/>
      <c r="E391" s="7"/>
      <c r="F391" s="7"/>
      <c r="G391" s="7"/>
      <c r="H391" s="7"/>
      <c r="I391" s="7"/>
      <c r="J391" s="8"/>
      <c r="K391" s="9"/>
    </row>
    <row r="392">
      <c r="A392" s="6"/>
      <c r="B392" s="7"/>
      <c r="C392" s="7"/>
      <c r="D392" s="7"/>
      <c r="E392" s="7"/>
      <c r="F392" s="7"/>
      <c r="G392" s="7"/>
      <c r="H392" s="7"/>
      <c r="I392" s="7"/>
      <c r="J392" s="8"/>
      <c r="K392" s="9"/>
    </row>
    <row r="393">
      <c r="A393" s="6"/>
      <c r="B393" s="7"/>
      <c r="C393" s="7"/>
      <c r="D393" s="7"/>
      <c r="E393" s="7"/>
      <c r="F393" s="7"/>
      <c r="G393" s="7"/>
      <c r="H393" s="7"/>
      <c r="I393" s="7"/>
      <c r="J393" s="8"/>
      <c r="K393" s="9"/>
    </row>
    <row r="394">
      <c r="A394" s="6"/>
      <c r="B394" s="7"/>
      <c r="C394" s="7"/>
      <c r="D394" s="7"/>
      <c r="E394" s="7"/>
      <c r="F394" s="7"/>
      <c r="G394" s="7"/>
      <c r="H394" s="7"/>
      <c r="I394" s="7"/>
      <c r="J394" s="8"/>
      <c r="K394" s="9"/>
    </row>
    <row r="395">
      <c r="A395" s="6"/>
      <c r="B395" s="7"/>
      <c r="C395" s="7"/>
      <c r="D395" s="7"/>
      <c r="E395" s="7"/>
      <c r="F395" s="7"/>
      <c r="G395" s="7"/>
      <c r="H395" s="7"/>
      <c r="I395" s="7"/>
      <c r="J395" s="8"/>
      <c r="K395" s="9"/>
    </row>
    <row r="396">
      <c r="A396" s="6"/>
      <c r="B396" s="7"/>
      <c r="C396" s="7"/>
      <c r="D396" s="7"/>
      <c r="E396" s="7"/>
      <c r="F396" s="7"/>
      <c r="G396" s="7"/>
      <c r="H396" s="7"/>
      <c r="I396" s="7"/>
      <c r="J396" s="8"/>
      <c r="K396" s="9"/>
    </row>
    <row r="397">
      <c r="A397" s="6"/>
      <c r="B397" s="7"/>
      <c r="C397" s="7"/>
      <c r="D397" s="7"/>
      <c r="E397" s="7"/>
      <c r="F397" s="7"/>
      <c r="G397" s="7"/>
      <c r="H397" s="7"/>
      <c r="I397" s="7"/>
      <c r="J397" s="8"/>
      <c r="K397" s="9"/>
    </row>
    <row r="398">
      <c r="A398" s="6"/>
      <c r="B398" s="7"/>
      <c r="C398" s="7"/>
      <c r="D398" s="7"/>
      <c r="E398" s="7"/>
      <c r="F398" s="7"/>
      <c r="G398" s="7"/>
      <c r="H398" s="7"/>
      <c r="I398" s="7"/>
      <c r="J398" s="8"/>
      <c r="K398" s="9"/>
    </row>
    <row r="399">
      <c r="A399" s="6"/>
      <c r="B399" s="7"/>
      <c r="C399" s="7"/>
      <c r="D399" s="7"/>
      <c r="E399" s="7"/>
      <c r="F399" s="7"/>
      <c r="G399" s="7"/>
      <c r="H399" s="7"/>
      <c r="I399" s="7"/>
      <c r="J399" s="8"/>
      <c r="K399" s="9"/>
    </row>
    <row r="400">
      <c r="A400" s="6"/>
      <c r="B400" s="7"/>
      <c r="C400" s="7"/>
      <c r="D400" s="7"/>
      <c r="E400" s="7"/>
      <c r="F400" s="7"/>
      <c r="G400" s="7"/>
      <c r="H400" s="7"/>
      <c r="I400" s="7"/>
      <c r="J400" s="8"/>
      <c r="K400" s="9"/>
    </row>
    <row r="401">
      <c r="A401" s="6"/>
      <c r="B401" s="7"/>
      <c r="C401" s="7"/>
      <c r="D401" s="7"/>
      <c r="E401" s="7"/>
      <c r="F401" s="7"/>
      <c r="G401" s="7"/>
      <c r="H401" s="7"/>
      <c r="I401" s="7"/>
      <c r="J401" s="8"/>
      <c r="K401" s="9"/>
    </row>
    <row r="402">
      <c r="A402" s="6"/>
      <c r="B402" s="7"/>
      <c r="C402" s="7"/>
      <c r="D402" s="7"/>
      <c r="E402" s="7"/>
      <c r="F402" s="7"/>
      <c r="G402" s="7"/>
      <c r="H402" s="7"/>
      <c r="I402" s="7"/>
      <c r="J402" s="8"/>
      <c r="K402" s="9"/>
    </row>
    <row r="403">
      <c r="A403" s="6"/>
      <c r="B403" s="7"/>
      <c r="C403" s="7"/>
      <c r="D403" s="7"/>
      <c r="E403" s="7"/>
      <c r="F403" s="7"/>
      <c r="G403" s="7"/>
      <c r="H403" s="7"/>
      <c r="I403" s="7"/>
      <c r="J403" s="8"/>
      <c r="K403" s="9"/>
    </row>
    <row r="404">
      <c r="A404" s="6"/>
      <c r="B404" s="7"/>
      <c r="C404" s="7"/>
      <c r="D404" s="7"/>
      <c r="E404" s="7"/>
      <c r="F404" s="7"/>
      <c r="G404" s="7"/>
      <c r="H404" s="7"/>
      <c r="I404" s="7"/>
      <c r="J404" s="8"/>
      <c r="K404" s="9"/>
    </row>
    <row r="405">
      <c r="A405" s="6"/>
      <c r="B405" s="7"/>
      <c r="C405" s="7"/>
      <c r="D405" s="7"/>
      <c r="E405" s="7"/>
      <c r="F405" s="7"/>
      <c r="G405" s="7"/>
      <c r="H405" s="7"/>
      <c r="I405" s="7"/>
      <c r="J405" s="8"/>
      <c r="K405" s="9"/>
    </row>
    <row r="406">
      <c r="A406" s="6"/>
      <c r="B406" s="7"/>
      <c r="C406" s="7"/>
      <c r="D406" s="7"/>
      <c r="E406" s="7"/>
      <c r="F406" s="7"/>
      <c r="G406" s="7"/>
      <c r="H406" s="7"/>
      <c r="I406" s="7"/>
      <c r="J406" s="8"/>
      <c r="K406" s="9"/>
    </row>
    <row r="407">
      <c r="A407" s="6"/>
      <c r="B407" s="7"/>
      <c r="C407" s="7"/>
      <c r="D407" s="7"/>
      <c r="E407" s="7"/>
      <c r="F407" s="7"/>
      <c r="G407" s="7"/>
      <c r="H407" s="7"/>
      <c r="I407" s="7"/>
      <c r="J407" s="8"/>
      <c r="K407" s="9"/>
    </row>
    <row r="408">
      <c r="A408" s="6"/>
      <c r="B408" s="7"/>
      <c r="C408" s="7"/>
      <c r="D408" s="7"/>
      <c r="E408" s="7"/>
      <c r="F408" s="7"/>
      <c r="G408" s="7"/>
      <c r="H408" s="7"/>
      <c r="I408" s="7"/>
      <c r="J408" s="8"/>
      <c r="K408" s="9"/>
    </row>
    <row r="409">
      <c r="A409" s="6"/>
      <c r="B409" s="7"/>
      <c r="C409" s="7"/>
      <c r="D409" s="7"/>
      <c r="E409" s="7"/>
      <c r="F409" s="7"/>
      <c r="G409" s="7"/>
      <c r="H409" s="7"/>
      <c r="I409" s="7"/>
      <c r="J409" s="8"/>
      <c r="K409" s="9"/>
    </row>
    <row r="410">
      <c r="A410" s="6"/>
      <c r="B410" s="7"/>
      <c r="C410" s="7"/>
      <c r="D410" s="7"/>
      <c r="E410" s="7"/>
      <c r="F410" s="7"/>
      <c r="G410" s="7"/>
      <c r="H410" s="7"/>
      <c r="I410" s="7"/>
      <c r="J410" s="8"/>
      <c r="K410" s="9"/>
    </row>
    <row r="411">
      <c r="A411" s="6"/>
      <c r="B411" s="7"/>
      <c r="C411" s="7"/>
      <c r="D411" s="7"/>
      <c r="E411" s="7"/>
      <c r="F411" s="7"/>
      <c r="G411" s="7"/>
      <c r="H411" s="7"/>
      <c r="I411" s="7"/>
      <c r="J411" s="8"/>
      <c r="K411" s="9"/>
    </row>
    <row r="412">
      <c r="A412" s="6"/>
      <c r="B412" s="7"/>
      <c r="C412" s="7"/>
      <c r="D412" s="7"/>
      <c r="E412" s="7"/>
      <c r="F412" s="7"/>
      <c r="G412" s="7"/>
      <c r="H412" s="7"/>
      <c r="I412" s="7"/>
      <c r="J412" s="8"/>
      <c r="K412" s="9"/>
    </row>
    <row r="413">
      <c r="A413" s="6"/>
      <c r="B413" s="7"/>
      <c r="C413" s="7"/>
      <c r="D413" s="7"/>
      <c r="E413" s="7"/>
      <c r="F413" s="7"/>
      <c r="G413" s="7"/>
      <c r="H413" s="7"/>
      <c r="I413" s="7"/>
      <c r="J413" s="8"/>
      <c r="K413" s="9"/>
    </row>
    <row r="414">
      <c r="A414" s="6"/>
      <c r="B414" s="7"/>
      <c r="C414" s="7"/>
      <c r="D414" s="7"/>
      <c r="E414" s="7"/>
      <c r="F414" s="7"/>
      <c r="G414" s="7"/>
      <c r="H414" s="7"/>
      <c r="I414" s="7"/>
      <c r="J414" s="8"/>
      <c r="K414" s="9"/>
    </row>
    <row r="415">
      <c r="A415" s="6"/>
      <c r="B415" s="7"/>
      <c r="C415" s="7"/>
      <c r="D415" s="7"/>
      <c r="E415" s="7"/>
      <c r="F415" s="7"/>
      <c r="G415" s="7"/>
      <c r="H415" s="7"/>
      <c r="I415" s="7"/>
      <c r="J415" s="8"/>
      <c r="K415" s="9"/>
    </row>
    <row r="416">
      <c r="A416" s="6"/>
      <c r="B416" s="7"/>
      <c r="C416" s="7"/>
      <c r="D416" s="7"/>
      <c r="E416" s="7"/>
      <c r="F416" s="7"/>
      <c r="G416" s="7"/>
      <c r="H416" s="7"/>
      <c r="I416" s="7"/>
      <c r="J416" s="8"/>
      <c r="K416" s="9"/>
    </row>
    <row r="417">
      <c r="A417" s="6"/>
      <c r="B417" s="7"/>
      <c r="C417" s="7"/>
      <c r="D417" s="7"/>
      <c r="E417" s="7"/>
      <c r="F417" s="7"/>
      <c r="G417" s="7"/>
      <c r="H417" s="7"/>
      <c r="I417" s="7"/>
      <c r="J417" s="8"/>
      <c r="K417" s="9"/>
    </row>
    <row r="418">
      <c r="A418" s="6"/>
      <c r="B418" s="7"/>
      <c r="C418" s="7"/>
      <c r="D418" s="7"/>
      <c r="E418" s="7"/>
      <c r="F418" s="7"/>
      <c r="G418" s="7"/>
      <c r="H418" s="7"/>
      <c r="I418" s="7"/>
      <c r="J418" s="8"/>
      <c r="K418" s="9"/>
    </row>
    <row r="419">
      <c r="A419" s="6"/>
      <c r="B419" s="7"/>
      <c r="C419" s="7"/>
      <c r="D419" s="7"/>
      <c r="E419" s="7"/>
      <c r="F419" s="7"/>
      <c r="G419" s="7"/>
      <c r="H419" s="7"/>
      <c r="I419" s="7"/>
      <c r="J419" s="8"/>
      <c r="K419" s="9"/>
    </row>
    <row r="420">
      <c r="A420" s="6"/>
      <c r="B420" s="7"/>
      <c r="C420" s="7"/>
      <c r="D420" s="7"/>
      <c r="E420" s="7"/>
      <c r="F420" s="7"/>
      <c r="G420" s="7"/>
      <c r="H420" s="7"/>
      <c r="I420" s="7"/>
      <c r="J420" s="8"/>
      <c r="K420" s="9"/>
    </row>
    <row r="421">
      <c r="A421" s="6"/>
      <c r="B421" s="7"/>
      <c r="C421" s="7"/>
      <c r="D421" s="7"/>
      <c r="E421" s="7"/>
      <c r="F421" s="7"/>
      <c r="G421" s="7"/>
      <c r="H421" s="7"/>
      <c r="I421" s="7"/>
      <c r="J421" s="8"/>
      <c r="K421" s="9"/>
    </row>
    <row r="422">
      <c r="A422" s="6"/>
      <c r="B422" s="7"/>
      <c r="C422" s="7"/>
      <c r="D422" s="7"/>
      <c r="E422" s="7"/>
      <c r="F422" s="7"/>
      <c r="G422" s="7"/>
      <c r="H422" s="7"/>
      <c r="I422" s="7"/>
      <c r="J422" s="8"/>
      <c r="K422" s="9"/>
    </row>
    <row r="423">
      <c r="A423" s="6"/>
      <c r="B423" s="7"/>
      <c r="C423" s="7"/>
      <c r="D423" s="7"/>
      <c r="E423" s="7"/>
      <c r="F423" s="7"/>
      <c r="G423" s="7"/>
      <c r="H423" s="7"/>
      <c r="I423" s="7"/>
      <c r="J423" s="8"/>
      <c r="K423" s="9"/>
    </row>
    <row r="424">
      <c r="A424" s="6"/>
      <c r="B424" s="7"/>
      <c r="C424" s="7"/>
      <c r="D424" s="7"/>
      <c r="E424" s="7"/>
      <c r="F424" s="7"/>
      <c r="G424" s="7"/>
      <c r="H424" s="7"/>
      <c r="I424" s="7"/>
      <c r="J424" s="8"/>
      <c r="K424" s="9"/>
    </row>
    <row r="425">
      <c r="A425" s="6"/>
      <c r="B425" s="7"/>
      <c r="C425" s="7"/>
      <c r="D425" s="7"/>
      <c r="E425" s="7"/>
      <c r="F425" s="7"/>
      <c r="G425" s="7"/>
      <c r="H425" s="7"/>
      <c r="I425" s="7"/>
      <c r="J425" s="8"/>
      <c r="K425" s="9"/>
    </row>
    <row r="426">
      <c r="A426" s="6"/>
      <c r="B426" s="7"/>
      <c r="C426" s="7"/>
      <c r="D426" s="7"/>
      <c r="E426" s="7"/>
      <c r="F426" s="7"/>
      <c r="G426" s="7"/>
      <c r="H426" s="7"/>
      <c r="I426" s="7"/>
      <c r="J426" s="8"/>
      <c r="K426" s="9"/>
    </row>
    <row r="427">
      <c r="A427" s="6"/>
      <c r="B427" s="7"/>
      <c r="C427" s="7"/>
      <c r="D427" s="7"/>
      <c r="E427" s="7"/>
      <c r="F427" s="7"/>
      <c r="G427" s="7"/>
      <c r="H427" s="7"/>
      <c r="I427" s="7"/>
      <c r="J427" s="8"/>
      <c r="K427" s="9"/>
    </row>
    <row r="428">
      <c r="A428" s="6"/>
      <c r="B428" s="7"/>
      <c r="C428" s="7"/>
      <c r="D428" s="7"/>
      <c r="E428" s="7"/>
      <c r="F428" s="7"/>
      <c r="G428" s="7"/>
      <c r="H428" s="7"/>
      <c r="I428" s="7"/>
      <c r="J428" s="8"/>
      <c r="K428" s="9"/>
    </row>
    <row r="429">
      <c r="A429" s="6"/>
      <c r="B429" s="7"/>
      <c r="C429" s="7"/>
      <c r="D429" s="7"/>
      <c r="E429" s="7"/>
      <c r="F429" s="7"/>
      <c r="G429" s="7"/>
      <c r="H429" s="7"/>
      <c r="I429" s="7"/>
      <c r="J429" s="8"/>
      <c r="K429" s="9"/>
    </row>
    <row r="430">
      <c r="A430" s="6"/>
      <c r="B430" s="7"/>
      <c r="C430" s="7"/>
      <c r="D430" s="7"/>
      <c r="E430" s="7"/>
      <c r="F430" s="7"/>
      <c r="G430" s="7"/>
      <c r="H430" s="7"/>
      <c r="I430" s="7"/>
      <c r="J430" s="8"/>
      <c r="K430" s="9"/>
    </row>
    <row r="431">
      <c r="A431" s="6"/>
      <c r="B431" s="7"/>
      <c r="C431" s="7"/>
      <c r="D431" s="7"/>
      <c r="E431" s="7"/>
      <c r="F431" s="7"/>
      <c r="G431" s="7"/>
      <c r="H431" s="7"/>
      <c r="I431" s="7"/>
      <c r="J431" s="8"/>
      <c r="K431" s="9"/>
    </row>
    <row r="432">
      <c r="A432" s="6"/>
      <c r="B432" s="7"/>
      <c r="C432" s="7"/>
      <c r="D432" s="7"/>
      <c r="E432" s="7"/>
      <c r="F432" s="7"/>
      <c r="G432" s="7"/>
      <c r="H432" s="7"/>
      <c r="I432" s="7"/>
      <c r="J432" s="8"/>
      <c r="K432" s="9"/>
    </row>
    <row r="433">
      <c r="A433" s="6"/>
      <c r="B433" s="7"/>
      <c r="C433" s="7"/>
      <c r="D433" s="7"/>
      <c r="E433" s="7"/>
      <c r="F433" s="7"/>
      <c r="G433" s="7"/>
      <c r="H433" s="7"/>
      <c r="I433" s="7"/>
      <c r="J433" s="8"/>
      <c r="K433" s="9"/>
    </row>
    <row r="434">
      <c r="A434" s="6"/>
      <c r="B434" s="7"/>
      <c r="C434" s="7"/>
      <c r="D434" s="7"/>
      <c r="E434" s="7"/>
      <c r="F434" s="7"/>
      <c r="G434" s="7"/>
      <c r="H434" s="7"/>
      <c r="I434" s="7"/>
      <c r="J434" s="8"/>
      <c r="K434" s="9"/>
    </row>
    <row r="435">
      <c r="A435" s="6"/>
      <c r="B435" s="7"/>
      <c r="C435" s="7"/>
      <c r="D435" s="7"/>
      <c r="E435" s="7"/>
      <c r="F435" s="7"/>
      <c r="G435" s="7"/>
      <c r="H435" s="7"/>
      <c r="I435" s="7"/>
      <c r="J435" s="8"/>
      <c r="K435" s="9"/>
    </row>
    <row r="436">
      <c r="A436" s="6"/>
      <c r="B436" s="7"/>
      <c r="C436" s="7"/>
      <c r="D436" s="7"/>
      <c r="E436" s="7"/>
      <c r="F436" s="7"/>
      <c r="G436" s="7"/>
      <c r="H436" s="7"/>
      <c r="I436" s="7"/>
      <c r="J436" s="8"/>
      <c r="K436" s="9"/>
    </row>
    <row r="437">
      <c r="A437" s="6"/>
      <c r="B437" s="7"/>
      <c r="C437" s="7"/>
      <c r="D437" s="7"/>
      <c r="E437" s="7"/>
      <c r="F437" s="7"/>
      <c r="G437" s="7"/>
      <c r="H437" s="7"/>
      <c r="I437" s="7"/>
      <c r="J437" s="8"/>
      <c r="K437" s="9"/>
    </row>
    <row r="438">
      <c r="A438" s="6"/>
      <c r="B438" s="7"/>
      <c r="C438" s="7"/>
      <c r="D438" s="7"/>
      <c r="E438" s="7"/>
      <c r="F438" s="7"/>
      <c r="G438" s="7"/>
      <c r="H438" s="7"/>
      <c r="I438" s="7"/>
      <c r="J438" s="8"/>
      <c r="K438" s="9"/>
    </row>
    <row r="439">
      <c r="A439" s="6"/>
      <c r="B439" s="7"/>
      <c r="C439" s="7"/>
      <c r="D439" s="7"/>
      <c r="E439" s="7"/>
      <c r="F439" s="7"/>
      <c r="G439" s="7"/>
      <c r="H439" s="7"/>
      <c r="I439" s="7"/>
      <c r="J439" s="8"/>
      <c r="K439" s="9"/>
    </row>
    <row r="440">
      <c r="A440" s="6"/>
      <c r="B440" s="7"/>
      <c r="C440" s="7"/>
      <c r="D440" s="7"/>
      <c r="E440" s="7"/>
      <c r="F440" s="7"/>
      <c r="G440" s="7"/>
      <c r="H440" s="7"/>
      <c r="I440" s="7"/>
      <c r="J440" s="8"/>
      <c r="K440" s="9"/>
    </row>
    <row r="441">
      <c r="A441" s="6"/>
      <c r="B441" s="7"/>
      <c r="C441" s="7"/>
      <c r="D441" s="7"/>
      <c r="E441" s="7"/>
      <c r="F441" s="7"/>
      <c r="G441" s="7"/>
      <c r="H441" s="7"/>
      <c r="I441" s="7"/>
      <c r="J441" s="8"/>
      <c r="K441" s="9"/>
    </row>
    <row r="442">
      <c r="A442" s="6"/>
      <c r="B442" s="7"/>
      <c r="C442" s="7"/>
      <c r="D442" s="7"/>
      <c r="E442" s="7"/>
      <c r="F442" s="7"/>
      <c r="G442" s="7"/>
      <c r="H442" s="7"/>
      <c r="I442" s="7"/>
      <c r="J442" s="8"/>
      <c r="K442" s="9"/>
    </row>
    <row r="443">
      <c r="A443" s="6"/>
      <c r="B443" s="7"/>
      <c r="C443" s="7"/>
      <c r="D443" s="7"/>
      <c r="E443" s="7"/>
      <c r="F443" s="7"/>
      <c r="G443" s="7"/>
      <c r="H443" s="7"/>
      <c r="I443" s="7"/>
      <c r="J443" s="8"/>
      <c r="K443" s="9"/>
    </row>
    <row r="444">
      <c r="A444" s="6"/>
      <c r="B444" s="7"/>
      <c r="C444" s="7"/>
      <c r="D444" s="7"/>
      <c r="E444" s="7"/>
      <c r="F444" s="7"/>
      <c r="G444" s="7"/>
      <c r="H444" s="7"/>
      <c r="I444" s="7"/>
      <c r="J444" s="8"/>
      <c r="K444" s="9"/>
    </row>
    <row r="445">
      <c r="A445" s="6"/>
      <c r="B445" s="7"/>
      <c r="C445" s="7"/>
      <c r="D445" s="7"/>
      <c r="E445" s="7"/>
      <c r="F445" s="7"/>
      <c r="G445" s="7"/>
      <c r="H445" s="7"/>
      <c r="I445" s="7"/>
      <c r="J445" s="8"/>
      <c r="K445" s="9"/>
    </row>
    <row r="446">
      <c r="A446" s="6"/>
      <c r="B446" s="7"/>
      <c r="C446" s="7"/>
      <c r="D446" s="7"/>
      <c r="E446" s="7"/>
      <c r="F446" s="7"/>
      <c r="G446" s="7"/>
      <c r="H446" s="7"/>
      <c r="I446" s="7"/>
      <c r="J446" s="8"/>
      <c r="K446" s="9"/>
    </row>
    <row r="447">
      <c r="A447" s="6"/>
      <c r="B447" s="7"/>
      <c r="C447" s="7"/>
      <c r="D447" s="7"/>
      <c r="E447" s="7"/>
      <c r="F447" s="7"/>
      <c r="G447" s="7"/>
      <c r="H447" s="7"/>
      <c r="I447" s="7"/>
      <c r="J447" s="8"/>
      <c r="K447" s="9"/>
    </row>
    <row r="448">
      <c r="A448" s="6"/>
      <c r="B448" s="7"/>
      <c r="C448" s="7"/>
      <c r="D448" s="7"/>
      <c r="E448" s="7"/>
      <c r="F448" s="7"/>
      <c r="G448" s="7"/>
      <c r="H448" s="7"/>
      <c r="I448" s="7"/>
      <c r="J448" s="8"/>
      <c r="K448" s="9"/>
    </row>
    <row r="449">
      <c r="A449" s="6"/>
      <c r="B449" s="7"/>
      <c r="C449" s="7"/>
      <c r="D449" s="7"/>
      <c r="E449" s="7"/>
      <c r="F449" s="7"/>
      <c r="G449" s="7"/>
      <c r="H449" s="7"/>
      <c r="I449" s="7"/>
      <c r="J449" s="8"/>
      <c r="K449" s="9"/>
    </row>
    <row r="450">
      <c r="A450" s="6"/>
      <c r="B450" s="7"/>
      <c r="C450" s="7"/>
      <c r="D450" s="7"/>
      <c r="E450" s="7"/>
      <c r="F450" s="7"/>
      <c r="G450" s="7"/>
      <c r="H450" s="7"/>
      <c r="I450" s="7"/>
      <c r="J450" s="8"/>
      <c r="K450" s="9"/>
    </row>
    <row r="451">
      <c r="A451" s="6"/>
      <c r="B451" s="7"/>
      <c r="C451" s="7"/>
      <c r="D451" s="7"/>
      <c r="E451" s="7"/>
      <c r="F451" s="7"/>
      <c r="G451" s="7"/>
      <c r="H451" s="7"/>
      <c r="I451" s="7"/>
      <c r="J451" s="8"/>
      <c r="K451" s="9"/>
    </row>
    <row r="452">
      <c r="A452" s="6"/>
      <c r="B452" s="7"/>
      <c r="C452" s="7"/>
      <c r="D452" s="7"/>
      <c r="E452" s="7"/>
      <c r="F452" s="7"/>
      <c r="G452" s="7"/>
      <c r="H452" s="7"/>
      <c r="I452" s="7"/>
      <c r="J452" s="8"/>
      <c r="K452" s="9"/>
    </row>
    <row r="453">
      <c r="A453" s="6"/>
      <c r="B453" s="7"/>
      <c r="C453" s="7"/>
      <c r="D453" s="7"/>
      <c r="E453" s="7"/>
      <c r="F453" s="7"/>
      <c r="G453" s="7"/>
      <c r="H453" s="7"/>
      <c r="I453" s="7"/>
      <c r="J453" s="8"/>
      <c r="K453" s="9"/>
    </row>
    <row r="454">
      <c r="A454" s="6"/>
      <c r="B454" s="7"/>
      <c r="C454" s="7"/>
      <c r="D454" s="7"/>
      <c r="E454" s="7"/>
      <c r="F454" s="7"/>
      <c r="G454" s="7"/>
      <c r="H454" s="7"/>
      <c r="I454" s="7"/>
      <c r="J454" s="8"/>
      <c r="K454" s="9"/>
    </row>
    <row r="455">
      <c r="A455" s="6"/>
      <c r="B455" s="7"/>
      <c r="C455" s="7"/>
      <c r="D455" s="7"/>
      <c r="E455" s="7"/>
      <c r="F455" s="7"/>
      <c r="G455" s="7"/>
      <c r="H455" s="7"/>
      <c r="I455" s="7"/>
      <c r="J455" s="8"/>
      <c r="K455" s="9"/>
    </row>
    <row r="456">
      <c r="A456" s="6"/>
      <c r="B456" s="7"/>
      <c r="C456" s="7"/>
      <c r="D456" s="7"/>
      <c r="E456" s="7"/>
      <c r="F456" s="7"/>
      <c r="G456" s="7"/>
      <c r="H456" s="7"/>
      <c r="I456" s="7"/>
      <c r="J456" s="8"/>
      <c r="K456" s="9"/>
    </row>
    <row r="457">
      <c r="A457" s="6"/>
      <c r="B457" s="7"/>
      <c r="C457" s="7"/>
      <c r="D457" s="7"/>
      <c r="E457" s="7"/>
      <c r="F457" s="7"/>
      <c r="G457" s="7"/>
      <c r="H457" s="7"/>
      <c r="I457" s="7"/>
      <c r="J457" s="8"/>
      <c r="K457" s="9"/>
    </row>
    <row r="458">
      <c r="A458" s="6"/>
      <c r="B458" s="7"/>
      <c r="C458" s="7"/>
      <c r="D458" s="7"/>
      <c r="E458" s="7"/>
      <c r="F458" s="7"/>
      <c r="G458" s="7"/>
      <c r="H458" s="7"/>
      <c r="I458" s="7"/>
      <c r="J458" s="8"/>
      <c r="K458" s="9"/>
    </row>
    <row r="459">
      <c r="A459" s="6"/>
      <c r="B459" s="7"/>
      <c r="C459" s="7"/>
      <c r="D459" s="7"/>
      <c r="E459" s="7"/>
      <c r="F459" s="7"/>
      <c r="G459" s="7"/>
      <c r="H459" s="7"/>
      <c r="I459" s="7"/>
      <c r="J459" s="8"/>
      <c r="K459" s="9"/>
    </row>
    <row r="460">
      <c r="A460" s="6"/>
      <c r="B460" s="7"/>
      <c r="C460" s="7"/>
      <c r="D460" s="7"/>
      <c r="E460" s="7"/>
      <c r="F460" s="7"/>
      <c r="G460" s="7"/>
      <c r="H460" s="7"/>
      <c r="I460" s="7"/>
      <c r="J460" s="8"/>
      <c r="K460" s="9"/>
    </row>
    <row r="461">
      <c r="A461" s="6"/>
      <c r="B461" s="7"/>
      <c r="C461" s="7"/>
      <c r="D461" s="7"/>
      <c r="E461" s="7"/>
      <c r="F461" s="7"/>
      <c r="G461" s="7"/>
      <c r="H461" s="7"/>
      <c r="I461" s="7"/>
      <c r="J461" s="8"/>
      <c r="K461" s="9"/>
    </row>
    <row r="462">
      <c r="A462" s="6"/>
      <c r="B462" s="7"/>
      <c r="C462" s="7"/>
      <c r="D462" s="7"/>
      <c r="E462" s="7"/>
      <c r="F462" s="7"/>
      <c r="G462" s="7"/>
      <c r="H462" s="7"/>
      <c r="I462" s="7"/>
      <c r="J462" s="8"/>
      <c r="K462" s="9"/>
    </row>
    <row r="463">
      <c r="A463" s="6"/>
      <c r="B463" s="7"/>
      <c r="C463" s="7"/>
      <c r="D463" s="7"/>
      <c r="E463" s="7"/>
      <c r="F463" s="7"/>
      <c r="G463" s="7"/>
      <c r="H463" s="7"/>
      <c r="I463" s="7"/>
      <c r="J463" s="8"/>
      <c r="K463" s="9"/>
    </row>
    <row r="464">
      <c r="A464" s="6"/>
      <c r="B464" s="7"/>
      <c r="C464" s="7"/>
      <c r="D464" s="7"/>
      <c r="E464" s="7"/>
      <c r="F464" s="7"/>
      <c r="G464" s="7"/>
      <c r="H464" s="7"/>
      <c r="I464" s="7"/>
      <c r="J464" s="8"/>
      <c r="K464" s="9"/>
    </row>
    <row r="465">
      <c r="A465" s="6"/>
      <c r="B465" s="7"/>
      <c r="C465" s="7"/>
      <c r="D465" s="7"/>
      <c r="E465" s="7"/>
      <c r="F465" s="7"/>
      <c r="G465" s="7"/>
      <c r="H465" s="7"/>
      <c r="I465" s="7"/>
      <c r="J465" s="8"/>
      <c r="K465" s="9"/>
    </row>
    <row r="466">
      <c r="A466" s="6"/>
      <c r="B466" s="7"/>
      <c r="C466" s="7"/>
      <c r="D466" s="7"/>
      <c r="E466" s="7"/>
      <c r="F466" s="7"/>
      <c r="G466" s="7"/>
      <c r="H466" s="7"/>
      <c r="I466" s="7"/>
      <c r="J466" s="8"/>
      <c r="K466" s="9"/>
    </row>
    <row r="467">
      <c r="A467" s="6"/>
      <c r="B467" s="7"/>
      <c r="C467" s="7"/>
      <c r="D467" s="7"/>
      <c r="E467" s="7"/>
      <c r="F467" s="7"/>
      <c r="G467" s="7"/>
      <c r="H467" s="7"/>
      <c r="I467" s="7"/>
      <c r="J467" s="8"/>
      <c r="K467" s="9"/>
    </row>
    <row r="468">
      <c r="A468" s="6"/>
      <c r="B468" s="7"/>
      <c r="C468" s="7"/>
      <c r="D468" s="7"/>
      <c r="E468" s="7"/>
      <c r="F468" s="7"/>
      <c r="G468" s="7"/>
      <c r="H468" s="7"/>
      <c r="I468" s="7"/>
      <c r="J468" s="8"/>
      <c r="K468" s="9"/>
    </row>
    <row r="469">
      <c r="A469" s="6"/>
      <c r="B469" s="7"/>
      <c r="C469" s="7"/>
      <c r="D469" s="7"/>
      <c r="E469" s="7"/>
      <c r="F469" s="7"/>
      <c r="G469" s="7"/>
      <c r="H469" s="7"/>
      <c r="I469" s="7"/>
      <c r="J469" s="8"/>
      <c r="K469" s="9"/>
    </row>
    <row r="470">
      <c r="A470" s="6"/>
      <c r="B470" s="7"/>
      <c r="C470" s="7"/>
      <c r="D470" s="7"/>
      <c r="E470" s="7"/>
      <c r="F470" s="7"/>
      <c r="G470" s="7"/>
      <c r="H470" s="7"/>
      <c r="I470" s="7"/>
      <c r="J470" s="8"/>
      <c r="K470" s="9"/>
    </row>
    <row r="471">
      <c r="A471" s="6"/>
      <c r="B471" s="7"/>
      <c r="C471" s="7"/>
      <c r="D471" s="7"/>
      <c r="E471" s="7"/>
      <c r="F471" s="7"/>
      <c r="G471" s="7"/>
      <c r="H471" s="7"/>
      <c r="I471" s="7"/>
      <c r="J471" s="8"/>
      <c r="K471" s="9"/>
    </row>
    <row r="472">
      <c r="A472" s="6"/>
      <c r="B472" s="7"/>
      <c r="C472" s="7"/>
      <c r="D472" s="7"/>
      <c r="E472" s="7"/>
      <c r="F472" s="7"/>
      <c r="G472" s="7"/>
      <c r="H472" s="7"/>
      <c r="I472" s="7"/>
      <c r="J472" s="8"/>
      <c r="K472" s="9"/>
    </row>
    <row r="473">
      <c r="A473" s="6"/>
      <c r="B473" s="7"/>
      <c r="C473" s="7"/>
      <c r="D473" s="7"/>
      <c r="E473" s="7"/>
      <c r="F473" s="7"/>
      <c r="G473" s="7"/>
      <c r="H473" s="7"/>
      <c r="I473" s="7"/>
      <c r="J473" s="8"/>
      <c r="K473" s="9"/>
    </row>
    <row r="474">
      <c r="A474" s="6"/>
      <c r="B474" s="7"/>
      <c r="C474" s="7"/>
      <c r="D474" s="7"/>
      <c r="E474" s="7"/>
      <c r="F474" s="7"/>
      <c r="G474" s="7"/>
      <c r="H474" s="7"/>
      <c r="I474" s="7"/>
      <c r="J474" s="8"/>
      <c r="K474" s="9"/>
    </row>
    <row r="475">
      <c r="A475" s="6"/>
      <c r="B475" s="7"/>
      <c r="C475" s="7"/>
      <c r="D475" s="7"/>
      <c r="E475" s="7"/>
      <c r="F475" s="7"/>
      <c r="G475" s="7"/>
      <c r="H475" s="7"/>
      <c r="I475" s="7"/>
      <c r="J475" s="8"/>
      <c r="K475" s="9"/>
    </row>
    <row r="476">
      <c r="A476" s="6"/>
      <c r="B476" s="7"/>
      <c r="C476" s="7"/>
      <c r="D476" s="7"/>
      <c r="E476" s="7"/>
      <c r="F476" s="7"/>
      <c r="G476" s="7"/>
      <c r="H476" s="7"/>
      <c r="I476" s="7"/>
      <c r="J476" s="8"/>
      <c r="K476" s="9"/>
    </row>
    <row r="477">
      <c r="A477" s="6"/>
      <c r="B477" s="7"/>
      <c r="C477" s="7"/>
      <c r="D477" s="7"/>
      <c r="E477" s="7"/>
      <c r="F477" s="7"/>
      <c r="G477" s="7"/>
      <c r="H477" s="7"/>
      <c r="I477" s="7"/>
      <c r="J477" s="8"/>
      <c r="K477" s="9"/>
    </row>
    <row r="478">
      <c r="A478" s="6"/>
      <c r="B478" s="7"/>
      <c r="C478" s="7"/>
      <c r="D478" s="7"/>
      <c r="E478" s="7"/>
      <c r="F478" s="7"/>
      <c r="G478" s="7"/>
      <c r="H478" s="7"/>
      <c r="I478" s="7"/>
      <c r="J478" s="8"/>
      <c r="K478" s="9"/>
    </row>
    <row r="479">
      <c r="A479" s="6"/>
      <c r="B479" s="7"/>
      <c r="C479" s="7"/>
      <c r="D479" s="7"/>
      <c r="E479" s="7"/>
      <c r="F479" s="7"/>
      <c r="G479" s="7"/>
      <c r="H479" s="7"/>
      <c r="I479" s="7"/>
      <c r="J479" s="8"/>
      <c r="K479" s="9"/>
    </row>
    <row r="480">
      <c r="A480" s="6"/>
      <c r="B480" s="7"/>
      <c r="C480" s="7"/>
      <c r="D480" s="7"/>
      <c r="E480" s="7"/>
      <c r="F480" s="7"/>
      <c r="G480" s="7"/>
      <c r="H480" s="7"/>
      <c r="I480" s="7"/>
      <c r="J480" s="8"/>
      <c r="K480" s="9"/>
    </row>
    <row r="481">
      <c r="A481" s="6"/>
      <c r="B481" s="7"/>
      <c r="C481" s="7"/>
      <c r="D481" s="7"/>
      <c r="E481" s="7"/>
      <c r="F481" s="7"/>
      <c r="G481" s="7"/>
      <c r="H481" s="7"/>
      <c r="I481" s="7"/>
      <c r="J481" s="8"/>
      <c r="K481" s="9"/>
    </row>
    <row r="482">
      <c r="A482" s="6"/>
      <c r="B482" s="7"/>
      <c r="C482" s="7"/>
      <c r="D482" s="7"/>
      <c r="E482" s="7"/>
      <c r="F482" s="7"/>
      <c r="G482" s="7"/>
      <c r="H482" s="7"/>
      <c r="I482" s="7"/>
      <c r="J482" s="8"/>
      <c r="K482" s="9"/>
    </row>
    <row r="483">
      <c r="A483" s="6"/>
      <c r="B483" s="7"/>
      <c r="C483" s="7"/>
      <c r="D483" s="7"/>
      <c r="E483" s="7"/>
      <c r="F483" s="7"/>
      <c r="G483" s="7"/>
      <c r="H483" s="7"/>
      <c r="I483" s="7"/>
      <c r="J483" s="8"/>
      <c r="K483" s="9"/>
    </row>
    <row r="484">
      <c r="A484" s="6"/>
      <c r="B484" s="7"/>
      <c r="C484" s="7"/>
      <c r="D484" s="7"/>
      <c r="E484" s="7"/>
      <c r="F484" s="7"/>
      <c r="G484" s="7"/>
      <c r="H484" s="7"/>
      <c r="I484" s="7"/>
      <c r="J484" s="8"/>
      <c r="K484" s="9"/>
    </row>
    <row r="485">
      <c r="A485" s="6"/>
      <c r="B485" s="7"/>
      <c r="C485" s="7"/>
      <c r="D485" s="7"/>
      <c r="E485" s="7"/>
      <c r="F485" s="7"/>
      <c r="G485" s="7"/>
      <c r="H485" s="7"/>
      <c r="I485" s="7"/>
      <c r="J485" s="8"/>
      <c r="K485" s="9"/>
    </row>
    <row r="486">
      <c r="A486" s="6"/>
      <c r="B486" s="7"/>
      <c r="C486" s="7"/>
      <c r="D486" s="7"/>
      <c r="E486" s="7"/>
      <c r="F486" s="7"/>
      <c r="G486" s="7"/>
      <c r="H486" s="7"/>
      <c r="I486" s="7"/>
      <c r="J486" s="8"/>
      <c r="K486" s="9"/>
    </row>
    <row r="487">
      <c r="A487" s="6"/>
      <c r="B487" s="7"/>
      <c r="C487" s="7"/>
      <c r="D487" s="7"/>
      <c r="E487" s="7"/>
      <c r="F487" s="7"/>
      <c r="G487" s="7"/>
      <c r="H487" s="7"/>
      <c r="I487" s="7"/>
      <c r="J487" s="8"/>
      <c r="K487" s="9"/>
    </row>
    <row r="488">
      <c r="A488" s="6"/>
      <c r="B488" s="7"/>
      <c r="C488" s="7"/>
      <c r="D488" s="7"/>
      <c r="E488" s="7"/>
      <c r="F488" s="7"/>
      <c r="G488" s="7"/>
      <c r="H488" s="7"/>
      <c r="I488" s="7"/>
      <c r="J488" s="8"/>
      <c r="K488" s="9"/>
    </row>
    <row r="489">
      <c r="A489" s="6"/>
      <c r="B489" s="7"/>
      <c r="C489" s="7"/>
      <c r="D489" s="7"/>
      <c r="E489" s="7"/>
      <c r="F489" s="7"/>
      <c r="G489" s="7"/>
      <c r="H489" s="7"/>
      <c r="I489" s="7"/>
      <c r="J489" s="8"/>
      <c r="K489" s="9"/>
    </row>
    <row r="490">
      <c r="A490" s="6"/>
      <c r="B490" s="7"/>
      <c r="C490" s="7"/>
      <c r="D490" s="7"/>
      <c r="E490" s="7"/>
      <c r="F490" s="7"/>
      <c r="G490" s="7"/>
      <c r="H490" s="7"/>
      <c r="I490" s="7"/>
      <c r="J490" s="8"/>
      <c r="K490" s="9"/>
    </row>
    <row r="491">
      <c r="A491" s="6"/>
      <c r="B491" s="7"/>
      <c r="C491" s="7"/>
      <c r="D491" s="7"/>
      <c r="E491" s="7"/>
      <c r="F491" s="7"/>
      <c r="G491" s="7"/>
      <c r="H491" s="7"/>
      <c r="I491" s="7"/>
      <c r="J491" s="8"/>
      <c r="K491" s="9"/>
    </row>
    <row r="492">
      <c r="A492" s="6"/>
      <c r="B492" s="7"/>
      <c r="C492" s="7"/>
      <c r="D492" s="7"/>
      <c r="E492" s="7"/>
      <c r="F492" s="7"/>
      <c r="G492" s="7"/>
      <c r="H492" s="7"/>
      <c r="I492" s="7"/>
      <c r="J492" s="8"/>
      <c r="K492" s="9"/>
    </row>
    <row r="493">
      <c r="A493" s="6"/>
      <c r="B493" s="7"/>
      <c r="C493" s="7"/>
      <c r="D493" s="7"/>
      <c r="E493" s="7"/>
      <c r="F493" s="7"/>
      <c r="G493" s="7"/>
      <c r="H493" s="7"/>
      <c r="I493" s="7"/>
      <c r="J493" s="8"/>
      <c r="K493" s="9"/>
    </row>
    <row r="494">
      <c r="A494" s="6"/>
      <c r="B494" s="7"/>
      <c r="C494" s="7"/>
      <c r="D494" s="7"/>
      <c r="E494" s="7"/>
      <c r="F494" s="7"/>
      <c r="G494" s="7"/>
      <c r="H494" s="7"/>
      <c r="I494" s="7"/>
      <c r="J494" s="8"/>
      <c r="K494" s="9"/>
    </row>
    <row r="495">
      <c r="A495" s="6"/>
      <c r="B495" s="7"/>
      <c r="C495" s="7"/>
      <c r="D495" s="7"/>
      <c r="E495" s="7"/>
      <c r="F495" s="7"/>
      <c r="G495" s="7"/>
      <c r="H495" s="7"/>
      <c r="I495" s="7"/>
      <c r="J495" s="8"/>
      <c r="K495" s="9"/>
    </row>
    <row r="496">
      <c r="A496" s="6"/>
      <c r="B496" s="7"/>
      <c r="C496" s="7"/>
      <c r="D496" s="7"/>
      <c r="E496" s="7"/>
      <c r="F496" s="7"/>
      <c r="G496" s="7"/>
      <c r="H496" s="7"/>
      <c r="I496" s="7"/>
      <c r="J496" s="8"/>
      <c r="K496" s="9"/>
    </row>
    <row r="497">
      <c r="A497" s="6"/>
      <c r="B497" s="7"/>
      <c r="C497" s="7"/>
      <c r="D497" s="7"/>
      <c r="E497" s="7"/>
      <c r="F497" s="7"/>
      <c r="G497" s="7"/>
      <c r="H497" s="7"/>
      <c r="I497" s="7"/>
      <c r="J497" s="8"/>
      <c r="K497" s="9"/>
    </row>
    <row r="498">
      <c r="A498" s="6"/>
      <c r="B498" s="7"/>
      <c r="C498" s="7"/>
      <c r="D498" s="7"/>
      <c r="E498" s="7"/>
      <c r="F498" s="7"/>
      <c r="G498" s="7"/>
      <c r="H498" s="7"/>
      <c r="I498" s="7"/>
      <c r="J498" s="8"/>
      <c r="K498" s="9"/>
    </row>
    <row r="499">
      <c r="A499" s="6"/>
      <c r="B499" s="7"/>
      <c r="C499" s="7"/>
      <c r="D499" s="7"/>
      <c r="E499" s="7"/>
      <c r="F499" s="7"/>
      <c r="G499" s="7"/>
      <c r="H499" s="7"/>
      <c r="I499" s="7"/>
      <c r="J499" s="8"/>
      <c r="K499" s="9"/>
    </row>
    <row r="500">
      <c r="A500" s="6"/>
      <c r="B500" s="7"/>
      <c r="C500" s="7"/>
      <c r="D500" s="7"/>
      <c r="E500" s="7"/>
      <c r="F500" s="7"/>
      <c r="G500" s="7"/>
      <c r="H500" s="7"/>
      <c r="I500" s="7"/>
      <c r="J500" s="8"/>
      <c r="K500" s="9"/>
    </row>
    <row r="501">
      <c r="A501" s="6"/>
      <c r="B501" s="7"/>
      <c r="C501" s="7"/>
      <c r="D501" s="7"/>
      <c r="E501" s="7"/>
      <c r="F501" s="7"/>
      <c r="G501" s="7"/>
      <c r="H501" s="7"/>
      <c r="I501" s="7"/>
      <c r="J501" s="8"/>
      <c r="K501" s="9"/>
    </row>
    <row r="502">
      <c r="A502" s="6"/>
      <c r="B502" s="7"/>
      <c r="C502" s="7"/>
      <c r="D502" s="7"/>
      <c r="E502" s="7"/>
      <c r="F502" s="7"/>
      <c r="G502" s="7"/>
      <c r="H502" s="7"/>
      <c r="I502" s="7"/>
      <c r="J502" s="8"/>
      <c r="K502" s="9"/>
    </row>
    <row r="503">
      <c r="A503" s="6"/>
      <c r="B503" s="7"/>
      <c r="C503" s="7"/>
      <c r="D503" s="7"/>
      <c r="E503" s="7"/>
      <c r="F503" s="7"/>
      <c r="G503" s="7"/>
      <c r="H503" s="7"/>
      <c r="I503" s="7"/>
      <c r="J503" s="8"/>
      <c r="K503" s="9"/>
    </row>
    <row r="504">
      <c r="A504" s="6"/>
      <c r="B504" s="7"/>
      <c r="C504" s="7"/>
      <c r="D504" s="7"/>
      <c r="E504" s="7"/>
      <c r="F504" s="7"/>
      <c r="G504" s="7"/>
      <c r="H504" s="7"/>
      <c r="I504" s="7"/>
      <c r="J504" s="8"/>
      <c r="K504" s="9"/>
    </row>
    <row r="505">
      <c r="A505" s="6"/>
      <c r="B505" s="7"/>
      <c r="C505" s="7"/>
      <c r="D505" s="7"/>
      <c r="E505" s="7"/>
      <c r="F505" s="7"/>
      <c r="G505" s="7"/>
      <c r="H505" s="7"/>
      <c r="I505" s="7"/>
      <c r="J505" s="8"/>
      <c r="K505" s="9"/>
    </row>
    <row r="506">
      <c r="A506" s="6"/>
      <c r="B506" s="7"/>
      <c r="C506" s="7"/>
      <c r="D506" s="7"/>
      <c r="E506" s="7"/>
      <c r="F506" s="7"/>
      <c r="G506" s="7"/>
      <c r="H506" s="7"/>
      <c r="I506" s="7"/>
      <c r="J506" s="8"/>
      <c r="K506" s="9"/>
    </row>
    <row r="507">
      <c r="A507" s="6"/>
      <c r="B507" s="7"/>
      <c r="C507" s="7"/>
      <c r="D507" s="7"/>
      <c r="E507" s="7"/>
      <c r="F507" s="7"/>
      <c r="G507" s="7"/>
      <c r="H507" s="7"/>
      <c r="I507" s="7"/>
      <c r="J507" s="8"/>
      <c r="K507" s="9"/>
    </row>
    <row r="508">
      <c r="A508" s="6"/>
      <c r="B508" s="7"/>
      <c r="C508" s="7"/>
      <c r="D508" s="7"/>
      <c r="E508" s="7"/>
      <c r="F508" s="7"/>
      <c r="G508" s="7"/>
      <c r="H508" s="7"/>
      <c r="I508" s="7"/>
      <c r="J508" s="8"/>
      <c r="K508" s="9"/>
    </row>
    <row r="509">
      <c r="A509" s="6"/>
      <c r="B509" s="7"/>
      <c r="C509" s="7"/>
      <c r="D509" s="7"/>
      <c r="E509" s="7"/>
      <c r="F509" s="7"/>
      <c r="G509" s="7"/>
      <c r="H509" s="7"/>
      <c r="I509" s="7"/>
      <c r="J509" s="8"/>
      <c r="K509" s="9"/>
    </row>
    <row r="510">
      <c r="A510" s="6"/>
      <c r="B510" s="7"/>
      <c r="C510" s="7"/>
      <c r="D510" s="7"/>
      <c r="E510" s="7"/>
      <c r="F510" s="7"/>
      <c r="G510" s="7"/>
      <c r="H510" s="7"/>
      <c r="I510" s="7"/>
      <c r="J510" s="8"/>
      <c r="K510" s="9"/>
    </row>
    <row r="511">
      <c r="A511" s="6"/>
      <c r="B511" s="7"/>
      <c r="C511" s="7"/>
      <c r="D511" s="7"/>
      <c r="E511" s="7"/>
      <c r="F511" s="7"/>
      <c r="G511" s="7"/>
      <c r="H511" s="7"/>
      <c r="I511" s="7"/>
      <c r="J511" s="8"/>
      <c r="K511" s="9"/>
    </row>
    <row r="512">
      <c r="A512" s="6"/>
      <c r="B512" s="7"/>
      <c r="C512" s="7"/>
      <c r="D512" s="7"/>
      <c r="E512" s="7"/>
      <c r="F512" s="7"/>
      <c r="G512" s="7"/>
      <c r="H512" s="7"/>
      <c r="I512" s="7"/>
      <c r="J512" s="8"/>
      <c r="K512" s="9"/>
    </row>
    <row r="513">
      <c r="A513" s="6"/>
      <c r="B513" s="7"/>
      <c r="C513" s="7"/>
      <c r="D513" s="7"/>
      <c r="E513" s="7"/>
      <c r="F513" s="7"/>
      <c r="G513" s="7"/>
      <c r="H513" s="7"/>
      <c r="I513" s="7"/>
      <c r="J513" s="8"/>
      <c r="K513" s="9"/>
    </row>
    <row r="514">
      <c r="A514" s="6"/>
      <c r="B514" s="7"/>
      <c r="C514" s="7"/>
      <c r="D514" s="7"/>
      <c r="E514" s="7"/>
      <c r="F514" s="7"/>
      <c r="G514" s="7"/>
      <c r="H514" s="7"/>
      <c r="I514" s="7"/>
      <c r="J514" s="8"/>
      <c r="K514" s="9"/>
    </row>
    <row r="515">
      <c r="A515" s="6"/>
      <c r="B515" s="7"/>
      <c r="C515" s="7"/>
      <c r="D515" s="7"/>
      <c r="E515" s="7"/>
      <c r="F515" s="7"/>
      <c r="G515" s="7"/>
      <c r="H515" s="7"/>
      <c r="I515" s="7"/>
      <c r="J515" s="8"/>
      <c r="K515" s="9"/>
    </row>
    <row r="516">
      <c r="A516" s="6"/>
      <c r="B516" s="7"/>
      <c r="C516" s="7"/>
      <c r="D516" s="7"/>
      <c r="E516" s="7"/>
      <c r="F516" s="7"/>
      <c r="G516" s="7"/>
      <c r="H516" s="7"/>
      <c r="I516" s="7"/>
      <c r="J516" s="8"/>
      <c r="K516" s="9"/>
    </row>
    <row r="517">
      <c r="A517" s="6"/>
      <c r="B517" s="7"/>
      <c r="C517" s="7"/>
      <c r="D517" s="7"/>
      <c r="E517" s="7"/>
      <c r="F517" s="7"/>
      <c r="G517" s="7"/>
      <c r="H517" s="7"/>
      <c r="I517" s="7"/>
      <c r="J517" s="8"/>
      <c r="K517" s="9"/>
    </row>
    <row r="518">
      <c r="A518" s="6"/>
      <c r="B518" s="7"/>
      <c r="C518" s="7"/>
      <c r="D518" s="7"/>
      <c r="E518" s="7"/>
      <c r="F518" s="7"/>
      <c r="G518" s="7"/>
      <c r="H518" s="7"/>
      <c r="I518" s="7"/>
      <c r="J518" s="8"/>
      <c r="K518" s="9"/>
    </row>
    <row r="519">
      <c r="A519" s="6"/>
      <c r="B519" s="7"/>
      <c r="C519" s="7"/>
      <c r="D519" s="7"/>
      <c r="E519" s="7"/>
      <c r="F519" s="7"/>
      <c r="G519" s="7"/>
      <c r="H519" s="7"/>
      <c r="I519" s="7"/>
      <c r="J519" s="8"/>
      <c r="K519" s="9"/>
    </row>
    <row r="520">
      <c r="A520" s="6"/>
      <c r="B520" s="7"/>
      <c r="C520" s="7"/>
      <c r="D520" s="7"/>
      <c r="E520" s="7"/>
      <c r="F520" s="7"/>
      <c r="G520" s="7"/>
      <c r="H520" s="7"/>
      <c r="I520" s="7"/>
      <c r="J520" s="8"/>
      <c r="K520" s="9"/>
    </row>
    <row r="521">
      <c r="A521" s="6"/>
      <c r="B521" s="7"/>
      <c r="C521" s="7"/>
      <c r="D521" s="7"/>
      <c r="E521" s="7"/>
      <c r="F521" s="7"/>
      <c r="G521" s="7"/>
      <c r="H521" s="7"/>
      <c r="I521" s="7"/>
      <c r="J521" s="8"/>
      <c r="K521" s="9"/>
    </row>
    <row r="522">
      <c r="A522" s="6"/>
      <c r="B522" s="7"/>
      <c r="C522" s="7"/>
      <c r="D522" s="7"/>
      <c r="E522" s="7"/>
      <c r="F522" s="7"/>
      <c r="G522" s="7"/>
      <c r="H522" s="7"/>
      <c r="I522" s="7"/>
      <c r="J522" s="8"/>
      <c r="K522" s="9"/>
    </row>
    <row r="523">
      <c r="A523" s="6"/>
      <c r="B523" s="7"/>
      <c r="C523" s="7"/>
      <c r="D523" s="7"/>
      <c r="E523" s="7"/>
      <c r="F523" s="7"/>
      <c r="G523" s="7"/>
      <c r="H523" s="7"/>
      <c r="I523" s="7"/>
      <c r="J523" s="8"/>
      <c r="K523" s="9"/>
    </row>
    <row r="524">
      <c r="A524" s="6"/>
      <c r="B524" s="7"/>
      <c r="C524" s="7"/>
      <c r="D524" s="7"/>
      <c r="E524" s="7"/>
      <c r="F524" s="7"/>
      <c r="G524" s="7"/>
      <c r="H524" s="7"/>
      <c r="I524" s="7"/>
      <c r="J524" s="8"/>
      <c r="K524" s="9"/>
    </row>
    <row r="525">
      <c r="A525" s="6"/>
      <c r="B525" s="7"/>
      <c r="C525" s="7"/>
      <c r="D525" s="7"/>
      <c r="E525" s="7"/>
      <c r="F525" s="7"/>
      <c r="G525" s="7"/>
      <c r="H525" s="7"/>
      <c r="I525" s="7"/>
      <c r="J525" s="8"/>
      <c r="K525" s="9"/>
    </row>
    <row r="526">
      <c r="A526" s="6"/>
      <c r="B526" s="7"/>
      <c r="C526" s="7"/>
      <c r="D526" s="7"/>
      <c r="E526" s="7"/>
      <c r="F526" s="7"/>
      <c r="G526" s="7"/>
      <c r="H526" s="7"/>
      <c r="I526" s="7"/>
      <c r="J526" s="8"/>
      <c r="K526" s="9"/>
    </row>
    <row r="527">
      <c r="A527" s="6"/>
      <c r="B527" s="7"/>
      <c r="C527" s="7"/>
      <c r="D527" s="7"/>
      <c r="E527" s="7"/>
      <c r="F527" s="7"/>
      <c r="G527" s="7"/>
      <c r="H527" s="7"/>
      <c r="I527" s="7"/>
      <c r="J527" s="8"/>
      <c r="K527" s="9"/>
    </row>
    <row r="528">
      <c r="A528" s="6"/>
      <c r="B528" s="7"/>
      <c r="C528" s="7"/>
      <c r="D528" s="7"/>
      <c r="E528" s="7"/>
      <c r="F528" s="7"/>
      <c r="G528" s="7"/>
      <c r="H528" s="7"/>
      <c r="I528" s="7"/>
      <c r="J528" s="8"/>
      <c r="K528" s="9"/>
    </row>
    <row r="529">
      <c r="A529" s="6"/>
      <c r="B529" s="7"/>
      <c r="C529" s="7"/>
      <c r="D529" s="7"/>
      <c r="E529" s="7"/>
      <c r="F529" s="7"/>
      <c r="G529" s="7"/>
      <c r="H529" s="7"/>
      <c r="I529" s="7"/>
      <c r="J529" s="8"/>
      <c r="K529" s="9"/>
    </row>
    <row r="530">
      <c r="A530" s="6"/>
      <c r="B530" s="7"/>
      <c r="C530" s="7"/>
      <c r="D530" s="7"/>
      <c r="E530" s="7"/>
      <c r="F530" s="7"/>
      <c r="G530" s="7"/>
      <c r="H530" s="7"/>
      <c r="I530" s="7"/>
      <c r="J530" s="8"/>
      <c r="K530" s="9"/>
    </row>
    <row r="531">
      <c r="A531" s="6"/>
      <c r="B531" s="7"/>
      <c r="C531" s="7"/>
      <c r="D531" s="7"/>
      <c r="E531" s="7"/>
      <c r="F531" s="7"/>
      <c r="G531" s="7"/>
      <c r="H531" s="7"/>
      <c r="I531" s="7"/>
      <c r="J531" s="8"/>
      <c r="K531" s="9"/>
    </row>
    <row r="532">
      <c r="A532" s="6"/>
      <c r="B532" s="7"/>
      <c r="C532" s="7"/>
      <c r="D532" s="7"/>
      <c r="E532" s="7"/>
      <c r="F532" s="7"/>
      <c r="G532" s="7"/>
      <c r="H532" s="7"/>
      <c r="I532" s="7"/>
      <c r="J532" s="8"/>
      <c r="K532" s="9"/>
    </row>
    <row r="533">
      <c r="A533" s="6"/>
      <c r="B533" s="7"/>
      <c r="C533" s="7"/>
      <c r="D533" s="7"/>
      <c r="E533" s="7"/>
      <c r="F533" s="7"/>
      <c r="G533" s="7"/>
      <c r="H533" s="7"/>
      <c r="I533" s="7"/>
      <c r="J533" s="8"/>
      <c r="K533" s="9"/>
    </row>
    <row r="534">
      <c r="A534" s="6"/>
      <c r="B534" s="7"/>
      <c r="C534" s="7"/>
      <c r="D534" s="7"/>
      <c r="E534" s="7"/>
      <c r="F534" s="7"/>
      <c r="G534" s="7"/>
      <c r="H534" s="7"/>
      <c r="I534" s="7"/>
      <c r="J534" s="8"/>
      <c r="K534" s="9"/>
    </row>
    <row r="535">
      <c r="A535" s="6"/>
      <c r="B535" s="7"/>
      <c r="C535" s="7"/>
      <c r="D535" s="7"/>
      <c r="E535" s="7"/>
      <c r="F535" s="7"/>
      <c r="G535" s="7"/>
      <c r="H535" s="7"/>
      <c r="I535" s="7"/>
      <c r="J535" s="8"/>
      <c r="K535" s="9"/>
    </row>
    <row r="536">
      <c r="A536" s="6"/>
      <c r="B536" s="7"/>
      <c r="C536" s="7"/>
      <c r="D536" s="7"/>
      <c r="E536" s="7"/>
      <c r="F536" s="7"/>
      <c r="G536" s="7"/>
      <c r="H536" s="7"/>
      <c r="I536" s="7"/>
      <c r="J536" s="8"/>
      <c r="K536" s="9"/>
    </row>
    <row r="537">
      <c r="A537" s="6"/>
      <c r="B537" s="7"/>
      <c r="C537" s="7"/>
      <c r="D537" s="7"/>
      <c r="E537" s="7"/>
      <c r="F537" s="7"/>
      <c r="G537" s="7"/>
      <c r="H537" s="7"/>
      <c r="I537" s="7"/>
      <c r="J537" s="8"/>
      <c r="K537" s="9"/>
    </row>
    <row r="538">
      <c r="A538" s="6"/>
      <c r="B538" s="7"/>
      <c r="C538" s="7"/>
      <c r="D538" s="7"/>
      <c r="E538" s="7"/>
      <c r="F538" s="7"/>
      <c r="G538" s="7"/>
      <c r="H538" s="7"/>
      <c r="I538" s="7"/>
      <c r="J538" s="8"/>
      <c r="K538" s="9"/>
    </row>
    <row r="539">
      <c r="A539" s="6"/>
      <c r="B539" s="7"/>
      <c r="C539" s="7"/>
      <c r="D539" s="7"/>
      <c r="E539" s="7"/>
      <c r="F539" s="7"/>
      <c r="G539" s="7"/>
      <c r="H539" s="7"/>
      <c r="I539" s="7"/>
      <c r="J539" s="8"/>
      <c r="K539" s="9"/>
    </row>
    <row r="540">
      <c r="A540" s="6"/>
      <c r="B540" s="7"/>
      <c r="C540" s="7"/>
      <c r="D540" s="7"/>
      <c r="E540" s="7"/>
      <c r="F540" s="7"/>
      <c r="G540" s="7"/>
      <c r="H540" s="7"/>
      <c r="I540" s="7"/>
      <c r="J540" s="8"/>
      <c r="K540" s="9"/>
    </row>
    <row r="541">
      <c r="A541" s="6"/>
      <c r="B541" s="7"/>
      <c r="C541" s="7"/>
      <c r="D541" s="7"/>
      <c r="E541" s="7"/>
      <c r="F541" s="7"/>
      <c r="G541" s="7"/>
      <c r="H541" s="7"/>
      <c r="I541" s="7"/>
      <c r="J541" s="8"/>
      <c r="K541" s="9"/>
    </row>
    <row r="542">
      <c r="A542" s="6"/>
      <c r="B542" s="7"/>
      <c r="C542" s="7"/>
      <c r="D542" s="7"/>
      <c r="E542" s="7"/>
      <c r="F542" s="7"/>
      <c r="G542" s="7"/>
      <c r="H542" s="7"/>
      <c r="I542" s="7"/>
      <c r="J542" s="8"/>
      <c r="K542" s="9"/>
    </row>
    <row r="543">
      <c r="A543" s="6"/>
      <c r="B543" s="7"/>
      <c r="C543" s="7"/>
      <c r="D543" s="7"/>
      <c r="E543" s="7"/>
      <c r="F543" s="7"/>
      <c r="G543" s="7"/>
      <c r="H543" s="7"/>
      <c r="I543" s="7"/>
      <c r="J543" s="8"/>
      <c r="K543" s="9"/>
    </row>
    <row r="544">
      <c r="A544" s="6"/>
      <c r="B544" s="7"/>
      <c r="C544" s="7"/>
      <c r="D544" s="7"/>
      <c r="E544" s="7"/>
      <c r="F544" s="7"/>
      <c r="G544" s="7"/>
      <c r="H544" s="7"/>
      <c r="I544" s="7"/>
      <c r="J544" s="8"/>
      <c r="K544" s="9"/>
    </row>
    <row r="545">
      <c r="A545" s="6"/>
      <c r="B545" s="7"/>
      <c r="C545" s="7"/>
      <c r="D545" s="7"/>
      <c r="E545" s="7"/>
      <c r="F545" s="7"/>
      <c r="G545" s="7"/>
      <c r="H545" s="7"/>
      <c r="I545" s="7"/>
      <c r="J545" s="8"/>
      <c r="K545" s="9"/>
    </row>
    <row r="546">
      <c r="A546" s="6"/>
      <c r="B546" s="7"/>
      <c r="C546" s="7"/>
      <c r="D546" s="7"/>
      <c r="E546" s="7"/>
      <c r="F546" s="7"/>
      <c r="G546" s="7"/>
      <c r="H546" s="7"/>
      <c r="I546" s="7"/>
      <c r="J546" s="8"/>
      <c r="K546" s="9"/>
    </row>
    <row r="547">
      <c r="A547" s="6"/>
      <c r="B547" s="7"/>
      <c r="C547" s="7"/>
      <c r="D547" s="7"/>
      <c r="E547" s="7"/>
      <c r="F547" s="7"/>
      <c r="G547" s="7"/>
      <c r="H547" s="7"/>
      <c r="I547" s="7"/>
      <c r="J547" s="8"/>
      <c r="K547" s="9"/>
    </row>
    <row r="548">
      <c r="A548" s="6"/>
      <c r="B548" s="7"/>
      <c r="C548" s="7"/>
      <c r="D548" s="7"/>
      <c r="E548" s="7"/>
      <c r="F548" s="7"/>
      <c r="G548" s="7"/>
      <c r="H548" s="7"/>
      <c r="I548" s="7"/>
      <c r="J548" s="8"/>
      <c r="K548" s="9"/>
    </row>
    <row r="549">
      <c r="A549" s="6"/>
      <c r="B549" s="7"/>
      <c r="C549" s="7"/>
      <c r="D549" s="7"/>
      <c r="E549" s="7"/>
      <c r="F549" s="7"/>
      <c r="G549" s="7"/>
      <c r="H549" s="7"/>
      <c r="I549" s="7"/>
      <c r="J549" s="8"/>
      <c r="K549" s="9"/>
    </row>
    <row r="550">
      <c r="A550" s="6"/>
      <c r="B550" s="7"/>
      <c r="C550" s="7"/>
      <c r="D550" s="7"/>
      <c r="E550" s="7"/>
      <c r="F550" s="7"/>
      <c r="G550" s="7"/>
      <c r="H550" s="7"/>
      <c r="I550" s="7"/>
      <c r="J550" s="8"/>
      <c r="K550" s="9"/>
    </row>
    <row r="551">
      <c r="A551" s="6"/>
      <c r="B551" s="7"/>
      <c r="C551" s="7"/>
      <c r="D551" s="7"/>
      <c r="E551" s="7"/>
      <c r="F551" s="7"/>
      <c r="G551" s="7"/>
      <c r="H551" s="7"/>
      <c r="I551" s="7"/>
      <c r="J551" s="8"/>
      <c r="K551" s="9"/>
    </row>
    <row r="552">
      <c r="A552" s="6"/>
      <c r="B552" s="7"/>
      <c r="C552" s="7"/>
      <c r="D552" s="7"/>
      <c r="E552" s="7"/>
      <c r="F552" s="7"/>
      <c r="G552" s="7"/>
      <c r="H552" s="7"/>
      <c r="I552" s="7"/>
      <c r="J552" s="8"/>
      <c r="K552" s="9"/>
    </row>
    <row r="553">
      <c r="A553" s="6"/>
      <c r="B553" s="7"/>
      <c r="C553" s="7"/>
      <c r="D553" s="7"/>
      <c r="E553" s="7"/>
      <c r="F553" s="7"/>
      <c r="G553" s="7"/>
      <c r="H553" s="7"/>
      <c r="I553" s="7"/>
      <c r="J553" s="8"/>
      <c r="K553" s="9"/>
    </row>
    <row r="554">
      <c r="A554" s="6"/>
      <c r="B554" s="7"/>
      <c r="C554" s="7"/>
      <c r="D554" s="7"/>
      <c r="E554" s="7"/>
      <c r="F554" s="7"/>
      <c r="G554" s="7"/>
      <c r="H554" s="7"/>
      <c r="I554" s="7"/>
      <c r="J554" s="8"/>
      <c r="K554" s="9"/>
    </row>
    <row r="555">
      <c r="A555" s="6"/>
      <c r="B555" s="7"/>
      <c r="C555" s="7"/>
      <c r="D555" s="7"/>
      <c r="E555" s="7"/>
      <c r="F555" s="7"/>
      <c r="G555" s="7"/>
      <c r="H555" s="7"/>
      <c r="I555" s="7"/>
      <c r="J555" s="8"/>
      <c r="K555" s="9"/>
    </row>
    <row r="556">
      <c r="A556" s="6"/>
      <c r="B556" s="7"/>
      <c r="C556" s="7"/>
      <c r="D556" s="7"/>
      <c r="E556" s="7"/>
      <c r="F556" s="7"/>
      <c r="G556" s="7"/>
      <c r="H556" s="7"/>
      <c r="I556" s="7"/>
      <c r="J556" s="8"/>
      <c r="K556" s="9"/>
    </row>
    <row r="557">
      <c r="A557" s="6"/>
      <c r="B557" s="7"/>
      <c r="C557" s="7"/>
      <c r="D557" s="7"/>
      <c r="E557" s="7"/>
      <c r="F557" s="7"/>
      <c r="G557" s="7"/>
      <c r="H557" s="7"/>
      <c r="I557" s="7"/>
      <c r="J557" s="8"/>
      <c r="K557" s="9"/>
    </row>
    <row r="558">
      <c r="A558" s="6"/>
      <c r="B558" s="7"/>
      <c r="C558" s="7"/>
      <c r="D558" s="7"/>
      <c r="E558" s="7"/>
      <c r="F558" s="7"/>
      <c r="G558" s="7"/>
      <c r="H558" s="7"/>
      <c r="I558" s="7"/>
      <c r="J558" s="8"/>
      <c r="K558" s="9"/>
    </row>
    <row r="559">
      <c r="A559" s="6"/>
      <c r="B559" s="7"/>
      <c r="C559" s="7"/>
      <c r="D559" s="7"/>
      <c r="E559" s="7"/>
      <c r="F559" s="7"/>
      <c r="G559" s="7"/>
      <c r="H559" s="7"/>
      <c r="I559" s="7"/>
      <c r="J559" s="8"/>
      <c r="K559" s="9"/>
    </row>
    <row r="560">
      <c r="A560" s="6"/>
      <c r="B560" s="7"/>
      <c r="C560" s="7"/>
      <c r="D560" s="7"/>
      <c r="E560" s="7"/>
      <c r="F560" s="7"/>
      <c r="G560" s="7"/>
      <c r="H560" s="7"/>
      <c r="I560" s="7"/>
      <c r="J560" s="8"/>
      <c r="K560" s="9"/>
    </row>
    <row r="561">
      <c r="A561" s="6"/>
      <c r="B561" s="7"/>
      <c r="C561" s="7"/>
      <c r="D561" s="7"/>
      <c r="E561" s="7"/>
      <c r="F561" s="7"/>
      <c r="G561" s="7"/>
      <c r="H561" s="7"/>
      <c r="I561" s="7"/>
      <c r="J561" s="8"/>
      <c r="K561" s="9"/>
    </row>
    <row r="562">
      <c r="A562" s="6"/>
      <c r="B562" s="7"/>
      <c r="C562" s="7"/>
      <c r="D562" s="7"/>
      <c r="E562" s="7"/>
      <c r="F562" s="7"/>
      <c r="G562" s="7"/>
      <c r="H562" s="7"/>
      <c r="I562" s="7"/>
      <c r="J562" s="8"/>
      <c r="K562" s="9"/>
    </row>
    <row r="563">
      <c r="A563" s="6"/>
      <c r="B563" s="7"/>
      <c r="C563" s="7"/>
      <c r="D563" s="7"/>
      <c r="E563" s="7"/>
      <c r="F563" s="7"/>
      <c r="G563" s="7"/>
      <c r="H563" s="7"/>
      <c r="I563" s="7"/>
      <c r="J563" s="8"/>
      <c r="K563" s="9"/>
    </row>
    <row r="564">
      <c r="A564" s="6"/>
      <c r="B564" s="7"/>
      <c r="C564" s="7"/>
      <c r="D564" s="7"/>
      <c r="E564" s="7"/>
      <c r="F564" s="7"/>
      <c r="G564" s="7"/>
      <c r="H564" s="7"/>
      <c r="I564" s="7"/>
      <c r="J564" s="8"/>
      <c r="K564" s="9"/>
    </row>
    <row r="565">
      <c r="A565" s="6"/>
      <c r="B565" s="7"/>
      <c r="C565" s="7"/>
      <c r="D565" s="7"/>
      <c r="E565" s="7"/>
      <c r="F565" s="7"/>
      <c r="G565" s="7"/>
      <c r="H565" s="7"/>
      <c r="I565" s="7"/>
      <c r="J565" s="8"/>
      <c r="K565" s="9"/>
    </row>
    <row r="566">
      <c r="A566" s="6"/>
      <c r="B566" s="7"/>
      <c r="C566" s="7"/>
      <c r="D566" s="7"/>
      <c r="E566" s="7"/>
      <c r="F566" s="7"/>
      <c r="G566" s="7"/>
      <c r="H566" s="7"/>
      <c r="I566" s="7"/>
      <c r="J566" s="8"/>
      <c r="K566" s="9"/>
    </row>
    <row r="567">
      <c r="A567" s="6"/>
      <c r="B567" s="7"/>
      <c r="C567" s="7"/>
      <c r="D567" s="7"/>
      <c r="E567" s="7"/>
      <c r="F567" s="7"/>
      <c r="G567" s="7"/>
      <c r="H567" s="7"/>
      <c r="I567" s="7"/>
      <c r="J567" s="8"/>
      <c r="K567" s="9"/>
    </row>
    <row r="568">
      <c r="A568" s="6"/>
      <c r="B568" s="7"/>
      <c r="C568" s="7"/>
      <c r="D568" s="7"/>
      <c r="E568" s="7"/>
      <c r="F568" s="7"/>
      <c r="G568" s="7"/>
      <c r="H568" s="7"/>
      <c r="I568" s="7"/>
      <c r="J568" s="8"/>
      <c r="K568" s="9"/>
    </row>
    <row r="569">
      <c r="A569" s="6"/>
      <c r="B569" s="7"/>
      <c r="C569" s="7"/>
      <c r="D569" s="7"/>
      <c r="E569" s="7"/>
      <c r="F569" s="7"/>
      <c r="G569" s="7"/>
      <c r="H569" s="7"/>
      <c r="I569" s="7"/>
      <c r="J569" s="8"/>
      <c r="K569" s="9"/>
    </row>
    <row r="570">
      <c r="A570" s="6"/>
      <c r="B570" s="7"/>
      <c r="C570" s="7"/>
      <c r="D570" s="7"/>
      <c r="E570" s="7"/>
      <c r="F570" s="7"/>
      <c r="G570" s="7"/>
      <c r="H570" s="7"/>
      <c r="I570" s="7"/>
      <c r="J570" s="8"/>
      <c r="K570" s="9"/>
    </row>
    <row r="571">
      <c r="A571" s="6"/>
      <c r="B571" s="7"/>
      <c r="C571" s="7"/>
      <c r="D571" s="7"/>
      <c r="E571" s="7"/>
      <c r="F571" s="7"/>
      <c r="G571" s="7"/>
      <c r="H571" s="7"/>
      <c r="I571" s="7"/>
      <c r="J571" s="8"/>
      <c r="K571" s="9"/>
    </row>
    <row r="572">
      <c r="A572" s="6"/>
      <c r="B572" s="7"/>
      <c r="C572" s="7"/>
      <c r="D572" s="7"/>
      <c r="E572" s="7"/>
      <c r="F572" s="7"/>
      <c r="G572" s="7"/>
      <c r="H572" s="7"/>
      <c r="I572" s="7"/>
      <c r="J572" s="8"/>
      <c r="K572" s="9"/>
    </row>
    <row r="573">
      <c r="A573" s="6"/>
      <c r="B573" s="7"/>
      <c r="C573" s="7"/>
      <c r="D573" s="7"/>
      <c r="E573" s="7"/>
      <c r="F573" s="7"/>
      <c r="G573" s="7"/>
      <c r="H573" s="7"/>
      <c r="I573" s="7"/>
      <c r="J573" s="8"/>
      <c r="K573" s="9"/>
    </row>
    <row r="574">
      <c r="A574" s="6"/>
      <c r="B574" s="7"/>
      <c r="C574" s="7"/>
      <c r="D574" s="7"/>
      <c r="E574" s="7"/>
      <c r="F574" s="7"/>
      <c r="G574" s="7"/>
      <c r="H574" s="7"/>
      <c r="I574" s="7"/>
      <c r="J574" s="8"/>
      <c r="K574" s="9"/>
    </row>
    <row r="575">
      <c r="A575" s="6"/>
      <c r="B575" s="7"/>
      <c r="C575" s="7"/>
      <c r="D575" s="7"/>
      <c r="E575" s="7"/>
      <c r="F575" s="7"/>
      <c r="G575" s="7"/>
      <c r="H575" s="7"/>
      <c r="I575" s="7"/>
      <c r="J575" s="8"/>
      <c r="K575" s="9"/>
    </row>
    <row r="576">
      <c r="A576" s="6"/>
      <c r="B576" s="7"/>
      <c r="C576" s="7"/>
      <c r="D576" s="7"/>
      <c r="E576" s="7"/>
      <c r="F576" s="7"/>
      <c r="G576" s="7"/>
      <c r="H576" s="7"/>
      <c r="I576" s="7"/>
      <c r="J576" s="8"/>
      <c r="K576" s="9"/>
    </row>
    <row r="577">
      <c r="A577" s="6"/>
      <c r="B577" s="7"/>
      <c r="C577" s="7"/>
      <c r="D577" s="7"/>
      <c r="E577" s="7"/>
      <c r="F577" s="7"/>
      <c r="G577" s="7"/>
      <c r="H577" s="7"/>
      <c r="I577" s="7"/>
      <c r="J577" s="8"/>
      <c r="K577" s="9"/>
    </row>
    <row r="578">
      <c r="A578" s="6"/>
      <c r="B578" s="7"/>
      <c r="C578" s="7"/>
      <c r="D578" s="7"/>
      <c r="E578" s="7"/>
      <c r="F578" s="7"/>
      <c r="G578" s="7"/>
      <c r="H578" s="7"/>
      <c r="I578" s="7"/>
      <c r="J578" s="8"/>
      <c r="K578" s="9"/>
    </row>
    <row r="579">
      <c r="A579" s="6"/>
      <c r="B579" s="7"/>
      <c r="C579" s="7"/>
      <c r="D579" s="7"/>
      <c r="E579" s="7"/>
      <c r="F579" s="7"/>
      <c r="G579" s="7"/>
      <c r="H579" s="7"/>
      <c r="I579" s="7"/>
      <c r="J579" s="8"/>
      <c r="K579" s="9"/>
    </row>
    <row r="580">
      <c r="A580" s="6"/>
      <c r="B580" s="7"/>
      <c r="C580" s="7"/>
      <c r="D580" s="7"/>
      <c r="E580" s="7"/>
      <c r="F580" s="7"/>
      <c r="G580" s="7"/>
      <c r="H580" s="7"/>
      <c r="I580" s="7"/>
      <c r="J580" s="8"/>
      <c r="K580" s="9"/>
    </row>
    <row r="581">
      <c r="A581" s="6"/>
      <c r="B581" s="7"/>
      <c r="C581" s="7"/>
      <c r="D581" s="7"/>
      <c r="E581" s="7"/>
      <c r="F581" s="7"/>
      <c r="G581" s="7"/>
      <c r="H581" s="7"/>
      <c r="I581" s="7"/>
      <c r="J581" s="8"/>
      <c r="K581" s="9"/>
    </row>
    <row r="582">
      <c r="A582" s="6"/>
      <c r="B582" s="7"/>
      <c r="C582" s="7"/>
      <c r="D582" s="7"/>
      <c r="E582" s="7"/>
      <c r="F582" s="7"/>
      <c r="G582" s="7"/>
      <c r="H582" s="7"/>
      <c r="I582" s="7"/>
      <c r="J582" s="8"/>
      <c r="K582" s="9"/>
    </row>
    <row r="583">
      <c r="A583" s="6"/>
      <c r="B583" s="7"/>
      <c r="C583" s="7"/>
      <c r="D583" s="7"/>
      <c r="E583" s="7"/>
      <c r="F583" s="7"/>
      <c r="G583" s="7"/>
      <c r="H583" s="7"/>
      <c r="I583" s="7"/>
      <c r="J583" s="8"/>
      <c r="K583" s="9"/>
    </row>
    <row r="584">
      <c r="A584" s="6"/>
      <c r="B584" s="7"/>
      <c r="C584" s="7"/>
      <c r="D584" s="7"/>
      <c r="E584" s="7"/>
      <c r="F584" s="7"/>
      <c r="G584" s="7"/>
      <c r="H584" s="7"/>
      <c r="I584" s="7"/>
      <c r="J584" s="8"/>
      <c r="K584" s="9"/>
    </row>
    <row r="585">
      <c r="A585" s="6"/>
      <c r="B585" s="7"/>
      <c r="C585" s="7"/>
      <c r="D585" s="7"/>
      <c r="E585" s="7"/>
      <c r="F585" s="7"/>
      <c r="G585" s="7"/>
      <c r="H585" s="7"/>
      <c r="I585" s="7"/>
      <c r="J585" s="8"/>
      <c r="K585" s="9"/>
    </row>
    <row r="586">
      <c r="A586" s="6"/>
      <c r="B586" s="7"/>
      <c r="C586" s="7"/>
      <c r="D586" s="7"/>
      <c r="E586" s="7"/>
      <c r="F586" s="7"/>
      <c r="G586" s="7"/>
      <c r="H586" s="7"/>
      <c r="I586" s="7"/>
      <c r="J586" s="8"/>
      <c r="K586" s="9"/>
    </row>
    <row r="587">
      <c r="A587" s="6"/>
      <c r="B587" s="7"/>
      <c r="C587" s="7"/>
      <c r="D587" s="7"/>
      <c r="E587" s="7"/>
      <c r="F587" s="7"/>
      <c r="G587" s="7"/>
      <c r="H587" s="7"/>
      <c r="I587" s="7"/>
      <c r="J587" s="8"/>
      <c r="K587" s="9"/>
    </row>
    <row r="588">
      <c r="A588" s="6"/>
      <c r="B588" s="7"/>
      <c r="C588" s="7"/>
      <c r="D588" s="7"/>
      <c r="E588" s="7"/>
      <c r="F588" s="7"/>
      <c r="G588" s="7"/>
      <c r="H588" s="7"/>
      <c r="I588" s="7"/>
      <c r="J588" s="8"/>
      <c r="K588" s="9"/>
    </row>
    <row r="589">
      <c r="A589" s="6"/>
      <c r="B589" s="7"/>
      <c r="C589" s="7"/>
      <c r="D589" s="7"/>
      <c r="E589" s="7"/>
      <c r="F589" s="7"/>
      <c r="G589" s="7"/>
      <c r="H589" s="7"/>
      <c r="I589" s="7"/>
      <c r="J589" s="8"/>
      <c r="K589" s="9"/>
    </row>
    <row r="590">
      <c r="A590" s="6"/>
      <c r="B590" s="7"/>
      <c r="C590" s="7"/>
      <c r="D590" s="7"/>
      <c r="E590" s="7"/>
      <c r="F590" s="7"/>
      <c r="G590" s="7"/>
      <c r="H590" s="7"/>
      <c r="I590" s="7"/>
      <c r="J590" s="8"/>
      <c r="K590" s="9"/>
    </row>
    <row r="591">
      <c r="A591" s="6"/>
      <c r="B591" s="7"/>
      <c r="C591" s="7"/>
      <c r="D591" s="7"/>
      <c r="E591" s="7"/>
      <c r="F591" s="7"/>
      <c r="G591" s="7"/>
      <c r="H591" s="7"/>
      <c r="I591" s="7"/>
      <c r="J591" s="8"/>
      <c r="K591" s="9"/>
    </row>
    <row r="592">
      <c r="A592" s="6"/>
      <c r="B592" s="7"/>
      <c r="C592" s="7"/>
      <c r="D592" s="7"/>
      <c r="E592" s="7"/>
      <c r="F592" s="7"/>
      <c r="G592" s="7"/>
      <c r="H592" s="7"/>
      <c r="I592" s="7"/>
      <c r="J592" s="8"/>
      <c r="K592" s="9"/>
    </row>
    <row r="593">
      <c r="A593" s="6"/>
      <c r="B593" s="7"/>
      <c r="C593" s="7"/>
      <c r="D593" s="7"/>
      <c r="E593" s="7"/>
      <c r="F593" s="7"/>
      <c r="G593" s="7"/>
      <c r="H593" s="7"/>
      <c r="I593" s="7"/>
      <c r="J593" s="8"/>
      <c r="K593" s="9"/>
    </row>
    <row r="594">
      <c r="A594" s="6"/>
      <c r="B594" s="7"/>
      <c r="C594" s="7"/>
      <c r="D594" s="7"/>
      <c r="E594" s="7"/>
      <c r="F594" s="7"/>
      <c r="G594" s="7"/>
      <c r="H594" s="7"/>
      <c r="I594" s="7"/>
      <c r="J594" s="8"/>
      <c r="K594" s="9"/>
    </row>
    <row r="595">
      <c r="A595" s="6"/>
      <c r="B595" s="7"/>
      <c r="C595" s="7"/>
      <c r="D595" s="7"/>
      <c r="E595" s="7"/>
      <c r="F595" s="7"/>
      <c r="G595" s="7"/>
      <c r="H595" s="7"/>
      <c r="I595" s="7"/>
      <c r="J595" s="8"/>
      <c r="K595" s="9"/>
    </row>
    <row r="596">
      <c r="A596" s="6"/>
      <c r="B596" s="7"/>
      <c r="C596" s="7"/>
      <c r="D596" s="7"/>
      <c r="E596" s="7"/>
      <c r="F596" s="7"/>
      <c r="G596" s="7"/>
      <c r="H596" s="7"/>
      <c r="I596" s="7"/>
      <c r="J596" s="8"/>
      <c r="K596" s="9"/>
    </row>
    <row r="597">
      <c r="A597" s="6"/>
      <c r="B597" s="7"/>
      <c r="C597" s="7"/>
      <c r="D597" s="7"/>
      <c r="E597" s="7"/>
      <c r="F597" s="7"/>
      <c r="G597" s="7"/>
      <c r="H597" s="7"/>
      <c r="I597" s="7"/>
      <c r="J597" s="8"/>
      <c r="K597" s="9"/>
    </row>
    <row r="598">
      <c r="A598" s="6"/>
      <c r="B598" s="7"/>
      <c r="C598" s="7"/>
      <c r="D598" s="7"/>
      <c r="E598" s="7"/>
      <c r="F598" s="7"/>
      <c r="G598" s="7"/>
      <c r="H598" s="7"/>
      <c r="I598" s="7"/>
      <c r="J598" s="8"/>
      <c r="K598" s="9"/>
    </row>
    <row r="599">
      <c r="A599" s="6"/>
      <c r="B599" s="7"/>
      <c r="C599" s="7"/>
      <c r="D599" s="7"/>
      <c r="E599" s="7"/>
      <c r="F599" s="7"/>
      <c r="G599" s="7"/>
      <c r="H599" s="7"/>
      <c r="I599" s="7"/>
      <c r="J599" s="8"/>
      <c r="K599" s="9"/>
    </row>
    <row r="600">
      <c r="A600" s="6"/>
      <c r="B600" s="7"/>
      <c r="C600" s="7"/>
      <c r="D600" s="7"/>
      <c r="E600" s="7"/>
      <c r="F600" s="7"/>
      <c r="G600" s="7"/>
      <c r="H600" s="7"/>
      <c r="I600" s="7"/>
      <c r="J600" s="8"/>
      <c r="K600" s="9"/>
    </row>
    <row r="601">
      <c r="A601" s="6"/>
      <c r="B601" s="7"/>
      <c r="C601" s="7"/>
      <c r="D601" s="7"/>
      <c r="E601" s="7"/>
      <c r="F601" s="7"/>
      <c r="G601" s="7"/>
      <c r="H601" s="7"/>
      <c r="I601" s="7"/>
      <c r="J601" s="8"/>
      <c r="K601" s="9"/>
    </row>
    <row r="602">
      <c r="A602" s="6"/>
      <c r="B602" s="7"/>
      <c r="C602" s="7"/>
      <c r="D602" s="7"/>
      <c r="E602" s="7"/>
      <c r="F602" s="7"/>
      <c r="G602" s="7"/>
      <c r="H602" s="7"/>
      <c r="I602" s="7"/>
      <c r="J602" s="8"/>
      <c r="K602" s="9"/>
    </row>
    <row r="603">
      <c r="A603" s="6"/>
      <c r="B603" s="7"/>
      <c r="C603" s="7"/>
      <c r="D603" s="7"/>
      <c r="E603" s="7"/>
      <c r="F603" s="7"/>
      <c r="G603" s="7"/>
      <c r="H603" s="7"/>
      <c r="I603" s="7"/>
      <c r="J603" s="8"/>
      <c r="K603" s="9"/>
    </row>
    <row r="604">
      <c r="A604" s="6"/>
      <c r="B604" s="7"/>
      <c r="C604" s="7"/>
      <c r="D604" s="7"/>
      <c r="E604" s="7"/>
      <c r="F604" s="7"/>
      <c r="G604" s="7"/>
      <c r="H604" s="7"/>
      <c r="I604" s="7"/>
      <c r="J604" s="8"/>
      <c r="K604" s="9"/>
    </row>
    <row r="605">
      <c r="A605" s="6"/>
      <c r="B605" s="7"/>
      <c r="C605" s="7"/>
      <c r="D605" s="7"/>
      <c r="E605" s="7"/>
      <c r="F605" s="7"/>
      <c r="G605" s="7"/>
      <c r="H605" s="7"/>
      <c r="I605" s="7"/>
      <c r="J605" s="8"/>
      <c r="K605" s="9"/>
    </row>
    <row r="606">
      <c r="A606" s="6"/>
      <c r="B606" s="7"/>
      <c r="C606" s="7"/>
      <c r="D606" s="7"/>
      <c r="E606" s="7"/>
      <c r="F606" s="7"/>
      <c r="G606" s="7"/>
      <c r="H606" s="7"/>
      <c r="I606" s="7"/>
      <c r="J606" s="8"/>
      <c r="K606" s="9"/>
    </row>
    <row r="607">
      <c r="A607" s="6"/>
      <c r="B607" s="7"/>
      <c r="C607" s="7"/>
      <c r="D607" s="7"/>
      <c r="E607" s="7"/>
      <c r="F607" s="7"/>
      <c r="G607" s="7"/>
      <c r="H607" s="7"/>
      <c r="I607" s="7"/>
      <c r="J607" s="8"/>
      <c r="K607" s="9"/>
    </row>
    <row r="608">
      <c r="A608" s="6"/>
      <c r="B608" s="7"/>
      <c r="C608" s="7"/>
      <c r="D608" s="7"/>
      <c r="E608" s="7"/>
      <c r="F608" s="7"/>
      <c r="G608" s="7"/>
      <c r="H608" s="7"/>
      <c r="I608" s="7"/>
      <c r="J608" s="8"/>
      <c r="K608" s="9"/>
    </row>
    <row r="609">
      <c r="A609" s="6"/>
      <c r="B609" s="7"/>
      <c r="C609" s="7"/>
      <c r="D609" s="7"/>
      <c r="E609" s="7"/>
      <c r="F609" s="7"/>
      <c r="G609" s="7"/>
      <c r="H609" s="7"/>
      <c r="I609" s="7"/>
      <c r="J609" s="8"/>
      <c r="K609" s="9"/>
    </row>
    <row r="610">
      <c r="A610" s="6"/>
      <c r="B610" s="7"/>
      <c r="C610" s="7"/>
      <c r="D610" s="7"/>
      <c r="E610" s="7"/>
      <c r="F610" s="7"/>
      <c r="G610" s="7"/>
      <c r="H610" s="7"/>
      <c r="I610" s="7"/>
      <c r="J610" s="8"/>
      <c r="K610" s="9"/>
    </row>
    <row r="611">
      <c r="A611" s="6"/>
      <c r="B611" s="7"/>
      <c r="C611" s="7"/>
      <c r="D611" s="7"/>
      <c r="E611" s="7"/>
      <c r="F611" s="7"/>
      <c r="G611" s="7"/>
      <c r="H611" s="7"/>
      <c r="I611" s="7"/>
      <c r="J611" s="8"/>
      <c r="K611" s="9"/>
    </row>
    <row r="612">
      <c r="A612" s="6"/>
      <c r="B612" s="7"/>
      <c r="C612" s="7"/>
      <c r="D612" s="7"/>
      <c r="E612" s="7"/>
      <c r="F612" s="7"/>
      <c r="G612" s="7"/>
      <c r="H612" s="7"/>
      <c r="I612" s="7"/>
      <c r="J612" s="8"/>
      <c r="K612" s="9"/>
    </row>
    <row r="613">
      <c r="A613" s="6"/>
      <c r="B613" s="7"/>
      <c r="C613" s="7"/>
      <c r="D613" s="7"/>
      <c r="E613" s="7"/>
      <c r="F613" s="7"/>
      <c r="G613" s="7"/>
      <c r="H613" s="7"/>
      <c r="I613" s="7"/>
      <c r="J613" s="8"/>
      <c r="K613" s="9"/>
    </row>
    <row r="614">
      <c r="A614" s="6"/>
      <c r="B614" s="7"/>
      <c r="C614" s="7"/>
      <c r="D614" s="7"/>
      <c r="E614" s="7"/>
      <c r="F614" s="7"/>
      <c r="G614" s="7"/>
      <c r="H614" s="7"/>
      <c r="I614" s="7"/>
      <c r="J614" s="8"/>
      <c r="K614" s="9"/>
    </row>
    <row r="615">
      <c r="A615" s="6"/>
      <c r="B615" s="7"/>
      <c r="C615" s="7"/>
      <c r="D615" s="7"/>
      <c r="E615" s="7"/>
      <c r="F615" s="7"/>
      <c r="G615" s="7"/>
      <c r="H615" s="7"/>
      <c r="I615" s="7"/>
      <c r="J615" s="8"/>
      <c r="K615" s="9"/>
    </row>
    <row r="616">
      <c r="A616" s="6"/>
      <c r="B616" s="7"/>
      <c r="C616" s="7"/>
      <c r="D616" s="7"/>
      <c r="E616" s="7"/>
      <c r="F616" s="7"/>
      <c r="G616" s="7"/>
      <c r="H616" s="7"/>
      <c r="I616" s="7"/>
      <c r="J616" s="8"/>
      <c r="K616" s="9"/>
    </row>
    <row r="617">
      <c r="A617" s="6"/>
      <c r="B617" s="7"/>
      <c r="C617" s="7"/>
      <c r="D617" s="7"/>
      <c r="E617" s="7"/>
      <c r="F617" s="7"/>
      <c r="G617" s="7"/>
      <c r="H617" s="7"/>
      <c r="I617" s="7"/>
      <c r="J617" s="8"/>
      <c r="K617" s="9"/>
    </row>
    <row r="618">
      <c r="A618" s="6"/>
      <c r="B618" s="7"/>
      <c r="C618" s="7"/>
      <c r="D618" s="7"/>
      <c r="E618" s="7"/>
      <c r="F618" s="7"/>
      <c r="G618" s="7"/>
      <c r="H618" s="7"/>
      <c r="I618" s="7"/>
      <c r="J618" s="8"/>
      <c r="K618" s="9"/>
    </row>
    <row r="619">
      <c r="A619" s="6"/>
      <c r="B619" s="7"/>
      <c r="C619" s="7"/>
      <c r="D619" s="7"/>
      <c r="E619" s="7"/>
      <c r="F619" s="7"/>
      <c r="G619" s="7"/>
      <c r="H619" s="7"/>
      <c r="I619" s="7"/>
      <c r="J619" s="8"/>
      <c r="K619" s="9"/>
    </row>
    <row r="620">
      <c r="A620" s="6"/>
      <c r="B620" s="7"/>
      <c r="C620" s="7"/>
      <c r="D620" s="7"/>
      <c r="E620" s="7"/>
      <c r="F620" s="7"/>
      <c r="G620" s="7"/>
      <c r="H620" s="7"/>
      <c r="I620" s="7"/>
      <c r="J620" s="8"/>
      <c r="K620" s="9"/>
    </row>
    <row r="621">
      <c r="A621" s="6"/>
      <c r="B621" s="7"/>
      <c r="C621" s="7"/>
      <c r="D621" s="7"/>
      <c r="E621" s="7"/>
      <c r="F621" s="7"/>
      <c r="G621" s="7"/>
      <c r="H621" s="7"/>
      <c r="I621" s="7"/>
      <c r="J621" s="8"/>
      <c r="K621" s="9"/>
    </row>
    <row r="622">
      <c r="A622" s="6"/>
      <c r="B622" s="7"/>
      <c r="C622" s="7"/>
      <c r="D622" s="7"/>
      <c r="E622" s="7"/>
      <c r="F622" s="7"/>
      <c r="G622" s="7"/>
      <c r="H622" s="7"/>
      <c r="I622" s="7"/>
      <c r="J622" s="8"/>
      <c r="K622" s="9"/>
    </row>
    <row r="623">
      <c r="A623" s="6"/>
      <c r="B623" s="7"/>
      <c r="C623" s="7"/>
      <c r="D623" s="7"/>
      <c r="E623" s="7"/>
      <c r="F623" s="7"/>
      <c r="G623" s="7"/>
      <c r="H623" s="7"/>
      <c r="I623" s="7"/>
      <c r="J623" s="8"/>
      <c r="K623" s="9"/>
    </row>
    <row r="624">
      <c r="A624" s="6"/>
      <c r="B624" s="7"/>
      <c r="C624" s="7"/>
      <c r="D624" s="7"/>
      <c r="E624" s="7"/>
      <c r="F624" s="7"/>
      <c r="G624" s="7"/>
      <c r="H624" s="7"/>
      <c r="I624" s="7"/>
      <c r="J624" s="8"/>
      <c r="K624" s="9"/>
    </row>
    <row r="625">
      <c r="A625" s="6"/>
      <c r="B625" s="7"/>
      <c r="C625" s="7"/>
      <c r="D625" s="7"/>
      <c r="E625" s="7"/>
      <c r="F625" s="7"/>
      <c r="G625" s="7"/>
      <c r="H625" s="7"/>
      <c r="I625" s="7"/>
      <c r="J625" s="8"/>
      <c r="K625" s="9"/>
    </row>
    <row r="626">
      <c r="A626" s="6"/>
      <c r="B626" s="7"/>
      <c r="C626" s="7"/>
      <c r="D626" s="7"/>
      <c r="E626" s="7"/>
      <c r="F626" s="7"/>
      <c r="G626" s="7"/>
      <c r="H626" s="7"/>
      <c r="I626" s="7"/>
      <c r="J626" s="8"/>
      <c r="K626" s="9"/>
    </row>
    <row r="627">
      <c r="A627" s="6"/>
      <c r="B627" s="7"/>
      <c r="C627" s="7"/>
      <c r="D627" s="7"/>
      <c r="E627" s="7"/>
      <c r="F627" s="7"/>
      <c r="G627" s="7"/>
      <c r="H627" s="7"/>
      <c r="I627" s="7"/>
      <c r="J627" s="8"/>
      <c r="K627" s="9"/>
    </row>
    <row r="628">
      <c r="A628" s="6"/>
      <c r="B628" s="7"/>
      <c r="C628" s="7"/>
      <c r="D628" s="7"/>
      <c r="E628" s="7"/>
      <c r="F628" s="7"/>
      <c r="G628" s="7"/>
      <c r="H628" s="7"/>
      <c r="I628" s="7"/>
      <c r="J628" s="8"/>
      <c r="K628" s="9"/>
    </row>
    <row r="629">
      <c r="A629" s="6"/>
      <c r="B629" s="7"/>
      <c r="C629" s="7"/>
      <c r="D629" s="7"/>
      <c r="E629" s="7"/>
      <c r="F629" s="7"/>
      <c r="G629" s="7"/>
      <c r="H629" s="7"/>
      <c r="I629" s="7"/>
      <c r="J629" s="8"/>
      <c r="K629" s="9"/>
    </row>
    <row r="630">
      <c r="A630" s="6"/>
      <c r="B630" s="7"/>
      <c r="C630" s="7"/>
      <c r="D630" s="7"/>
      <c r="E630" s="7"/>
      <c r="F630" s="7"/>
      <c r="G630" s="7"/>
      <c r="H630" s="7"/>
      <c r="I630" s="7"/>
      <c r="J630" s="8"/>
      <c r="K630" s="9"/>
    </row>
    <row r="631">
      <c r="A631" s="6"/>
      <c r="B631" s="7"/>
      <c r="C631" s="7"/>
      <c r="D631" s="7"/>
      <c r="E631" s="7"/>
      <c r="F631" s="7"/>
      <c r="G631" s="7"/>
      <c r="H631" s="7"/>
      <c r="I631" s="7"/>
      <c r="J631" s="8"/>
      <c r="K631" s="9"/>
    </row>
    <row r="632">
      <c r="A632" s="6"/>
      <c r="B632" s="7"/>
      <c r="C632" s="7"/>
      <c r="D632" s="7"/>
      <c r="E632" s="7"/>
      <c r="F632" s="7"/>
      <c r="G632" s="7"/>
      <c r="H632" s="7"/>
      <c r="I632" s="7"/>
      <c r="J632" s="8"/>
      <c r="K632" s="9"/>
    </row>
    <row r="633">
      <c r="A633" s="6"/>
      <c r="B633" s="7"/>
      <c r="C633" s="7"/>
      <c r="D633" s="7"/>
      <c r="E633" s="7"/>
      <c r="F633" s="7"/>
      <c r="G633" s="7"/>
      <c r="H633" s="7"/>
      <c r="I633" s="7"/>
      <c r="J633" s="8"/>
      <c r="K633" s="9"/>
    </row>
    <row r="634">
      <c r="A634" s="6"/>
      <c r="B634" s="7"/>
      <c r="C634" s="7"/>
      <c r="D634" s="7"/>
      <c r="E634" s="7"/>
      <c r="F634" s="7"/>
      <c r="G634" s="7"/>
      <c r="H634" s="7"/>
      <c r="I634" s="7"/>
      <c r="J634" s="8"/>
      <c r="K634" s="9"/>
    </row>
    <row r="635">
      <c r="A635" s="6"/>
      <c r="B635" s="7"/>
      <c r="C635" s="7"/>
      <c r="D635" s="7"/>
      <c r="E635" s="7"/>
      <c r="F635" s="7"/>
      <c r="G635" s="7"/>
      <c r="H635" s="7"/>
      <c r="I635" s="7"/>
      <c r="J635" s="8"/>
      <c r="K635" s="9"/>
    </row>
    <row r="636">
      <c r="A636" s="6"/>
      <c r="B636" s="7"/>
      <c r="C636" s="7"/>
      <c r="D636" s="7"/>
      <c r="E636" s="7"/>
      <c r="F636" s="7"/>
      <c r="G636" s="7"/>
      <c r="H636" s="7"/>
      <c r="I636" s="7"/>
      <c r="J636" s="8"/>
      <c r="K636" s="9"/>
    </row>
    <row r="637">
      <c r="A637" s="6"/>
      <c r="B637" s="7"/>
      <c r="C637" s="7"/>
      <c r="D637" s="7"/>
      <c r="E637" s="7"/>
      <c r="F637" s="7"/>
      <c r="G637" s="7"/>
      <c r="H637" s="7"/>
      <c r="I637" s="7"/>
      <c r="J637" s="8"/>
      <c r="K637" s="9"/>
    </row>
    <row r="638">
      <c r="A638" s="6"/>
      <c r="B638" s="7"/>
      <c r="C638" s="7"/>
      <c r="D638" s="7"/>
      <c r="E638" s="7"/>
      <c r="F638" s="7"/>
      <c r="G638" s="7"/>
      <c r="H638" s="7"/>
      <c r="I638" s="7"/>
      <c r="J638" s="8"/>
      <c r="K638" s="9"/>
    </row>
    <row r="639">
      <c r="A639" s="6"/>
      <c r="B639" s="7"/>
      <c r="C639" s="7"/>
      <c r="D639" s="7"/>
      <c r="E639" s="7"/>
      <c r="F639" s="7"/>
      <c r="G639" s="7"/>
      <c r="H639" s="7"/>
      <c r="I639" s="7"/>
      <c r="J639" s="8"/>
      <c r="K639" s="9"/>
    </row>
    <row r="640">
      <c r="A640" s="6"/>
      <c r="B640" s="7"/>
      <c r="C640" s="7"/>
      <c r="D640" s="7"/>
      <c r="E640" s="7"/>
      <c r="F640" s="7"/>
      <c r="G640" s="7"/>
      <c r="H640" s="7"/>
      <c r="I640" s="7"/>
      <c r="J640" s="8"/>
      <c r="K640" s="9"/>
    </row>
    <row r="641">
      <c r="A641" s="6"/>
      <c r="B641" s="7"/>
      <c r="C641" s="7"/>
      <c r="D641" s="7"/>
      <c r="E641" s="7"/>
      <c r="F641" s="7"/>
      <c r="G641" s="7"/>
      <c r="H641" s="7"/>
      <c r="I641" s="7"/>
      <c r="J641" s="8"/>
      <c r="K641" s="9"/>
    </row>
    <row r="642">
      <c r="A642" s="6"/>
      <c r="B642" s="7"/>
      <c r="C642" s="7"/>
      <c r="D642" s="7"/>
      <c r="E642" s="7"/>
      <c r="F642" s="7"/>
      <c r="G642" s="7"/>
      <c r="H642" s="7"/>
      <c r="I642" s="7"/>
      <c r="J642" s="8"/>
      <c r="K642" s="9"/>
    </row>
    <row r="643">
      <c r="A643" s="6"/>
      <c r="B643" s="7"/>
      <c r="C643" s="7"/>
      <c r="D643" s="7"/>
      <c r="E643" s="7"/>
      <c r="F643" s="7"/>
      <c r="G643" s="7"/>
      <c r="H643" s="7"/>
      <c r="I643" s="7"/>
      <c r="J643" s="8"/>
      <c r="K643" s="9"/>
    </row>
    <row r="644">
      <c r="A644" s="6"/>
      <c r="B644" s="7"/>
      <c r="C644" s="7"/>
      <c r="D644" s="7"/>
      <c r="E644" s="7"/>
      <c r="F644" s="7"/>
      <c r="G644" s="7"/>
      <c r="H644" s="7"/>
      <c r="I644" s="7"/>
      <c r="J644" s="8"/>
      <c r="K644" s="9"/>
    </row>
    <row r="645">
      <c r="A645" s="6"/>
      <c r="B645" s="7"/>
      <c r="C645" s="7"/>
      <c r="D645" s="7"/>
      <c r="E645" s="7"/>
      <c r="F645" s="7"/>
      <c r="G645" s="7"/>
      <c r="H645" s="7"/>
      <c r="I645" s="7"/>
      <c r="J645" s="8"/>
      <c r="K645" s="9"/>
    </row>
    <row r="646">
      <c r="A646" s="6"/>
      <c r="B646" s="7"/>
      <c r="C646" s="7"/>
      <c r="D646" s="7"/>
      <c r="E646" s="7"/>
      <c r="F646" s="7"/>
      <c r="G646" s="7"/>
      <c r="H646" s="7"/>
      <c r="I646" s="7"/>
      <c r="J646" s="8"/>
      <c r="K646" s="9"/>
    </row>
    <row r="647">
      <c r="A647" s="6"/>
      <c r="B647" s="7"/>
      <c r="C647" s="7"/>
      <c r="D647" s="7"/>
      <c r="E647" s="7"/>
      <c r="F647" s="7"/>
      <c r="G647" s="7"/>
      <c r="H647" s="7"/>
      <c r="I647" s="7"/>
      <c r="J647" s="8"/>
      <c r="K647" s="9"/>
    </row>
    <row r="648">
      <c r="A648" s="6"/>
      <c r="B648" s="7"/>
      <c r="C648" s="7"/>
      <c r="D648" s="7"/>
      <c r="E648" s="7"/>
      <c r="F648" s="7"/>
      <c r="G648" s="7"/>
      <c r="H648" s="7"/>
      <c r="I648" s="7"/>
      <c r="J648" s="8"/>
      <c r="K648" s="9"/>
    </row>
    <row r="649">
      <c r="A649" s="6"/>
      <c r="B649" s="7"/>
      <c r="C649" s="7"/>
      <c r="D649" s="7"/>
      <c r="E649" s="7"/>
      <c r="F649" s="7"/>
      <c r="G649" s="7"/>
      <c r="H649" s="7"/>
      <c r="I649" s="7"/>
      <c r="J649" s="8"/>
      <c r="K649" s="9"/>
    </row>
    <row r="650">
      <c r="A650" s="6"/>
      <c r="B650" s="7"/>
      <c r="C650" s="7"/>
      <c r="D650" s="7"/>
      <c r="E650" s="7"/>
      <c r="F650" s="7"/>
      <c r="G650" s="7"/>
      <c r="H650" s="7"/>
      <c r="I650" s="7"/>
      <c r="J650" s="8"/>
      <c r="K650" s="9"/>
    </row>
    <row r="651">
      <c r="A651" s="6"/>
      <c r="B651" s="7"/>
      <c r="C651" s="7"/>
      <c r="D651" s="7"/>
      <c r="E651" s="7"/>
      <c r="F651" s="7"/>
      <c r="G651" s="7"/>
      <c r="H651" s="7"/>
      <c r="I651" s="7"/>
      <c r="J651" s="8"/>
      <c r="K651" s="9"/>
    </row>
    <row r="652">
      <c r="A652" s="6"/>
      <c r="B652" s="7"/>
      <c r="C652" s="7"/>
      <c r="D652" s="7"/>
      <c r="E652" s="7"/>
      <c r="F652" s="7"/>
      <c r="G652" s="7"/>
      <c r="H652" s="7"/>
      <c r="I652" s="7"/>
      <c r="J652" s="8"/>
      <c r="K652" s="9"/>
    </row>
    <row r="653">
      <c r="A653" s="6"/>
      <c r="B653" s="7"/>
      <c r="C653" s="7"/>
      <c r="D653" s="7"/>
      <c r="E653" s="7"/>
      <c r="F653" s="7"/>
      <c r="G653" s="7"/>
      <c r="H653" s="7"/>
      <c r="I653" s="7"/>
      <c r="J653" s="8"/>
      <c r="K653" s="9"/>
    </row>
    <row r="654">
      <c r="A654" s="6"/>
      <c r="B654" s="7"/>
      <c r="C654" s="7"/>
      <c r="D654" s="7"/>
      <c r="E654" s="7"/>
      <c r="F654" s="7"/>
      <c r="G654" s="7"/>
      <c r="H654" s="7"/>
      <c r="I654" s="7"/>
      <c r="J654" s="8"/>
      <c r="K654" s="9"/>
    </row>
    <row r="655">
      <c r="A655" s="6"/>
      <c r="B655" s="7"/>
      <c r="C655" s="7"/>
      <c r="D655" s="7"/>
      <c r="E655" s="7"/>
      <c r="F655" s="7"/>
      <c r="G655" s="7"/>
      <c r="H655" s="7"/>
      <c r="I655" s="7"/>
      <c r="J655" s="8"/>
      <c r="K655" s="9"/>
    </row>
    <row r="656">
      <c r="A656" s="6"/>
      <c r="B656" s="7"/>
      <c r="C656" s="7"/>
      <c r="D656" s="7"/>
      <c r="E656" s="7"/>
      <c r="F656" s="7"/>
      <c r="G656" s="7"/>
      <c r="H656" s="7"/>
      <c r="I656" s="7"/>
      <c r="J656" s="8"/>
      <c r="K656" s="9"/>
    </row>
    <row r="657">
      <c r="A657" s="6"/>
      <c r="B657" s="7"/>
      <c r="C657" s="7"/>
      <c r="D657" s="7"/>
      <c r="E657" s="7"/>
      <c r="F657" s="7"/>
      <c r="G657" s="7"/>
      <c r="H657" s="7"/>
      <c r="I657" s="7"/>
      <c r="J657" s="8"/>
      <c r="K657" s="9"/>
    </row>
    <row r="658">
      <c r="A658" s="6"/>
      <c r="B658" s="7"/>
      <c r="C658" s="7"/>
      <c r="D658" s="7"/>
      <c r="E658" s="7"/>
      <c r="F658" s="7"/>
      <c r="G658" s="7"/>
      <c r="H658" s="7"/>
      <c r="I658" s="7"/>
      <c r="J658" s="8"/>
      <c r="K658" s="9"/>
    </row>
    <row r="659">
      <c r="A659" s="6"/>
      <c r="B659" s="7"/>
      <c r="C659" s="7"/>
      <c r="D659" s="7"/>
      <c r="E659" s="7"/>
      <c r="F659" s="7"/>
      <c r="G659" s="7"/>
      <c r="H659" s="7"/>
      <c r="I659" s="7"/>
      <c r="J659" s="8"/>
      <c r="K659" s="9"/>
    </row>
    <row r="660">
      <c r="A660" s="6"/>
      <c r="B660" s="7"/>
      <c r="C660" s="7"/>
      <c r="D660" s="7"/>
      <c r="E660" s="7"/>
      <c r="F660" s="7"/>
      <c r="G660" s="7"/>
      <c r="H660" s="7"/>
      <c r="I660" s="7"/>
      <c r="J660" s="8"/>
      <c r="K660" s="9"/>
    </row>
    <row r="661">
      <c r="A661" s="6"/>
      <c r="B661" s="7"/>
      <c r="C661" s="7"/>
      <c r="D661" s="7"/>
      <c r="E661" s="7"/>
      <c r="F661" s="7"/>
      <c r="G661" s="7"/>
      <c r="H661" s="7"/>
      <c r="I661" s="7"/>
      <c r="J661" s="8"/>
      <c r="K661" s="9"/>
    </row>
    <row r="662">
      <c r="A662" s="6"/>
      <c r="B662" s="7"/>
      <c r="C662" s="7"/>
      <c r="D662" s="7"/>
      <c r="E662" s="7"/>
      <c r="F662" s="7"/>
      <c r="G662" s="7"/>
      <c r="H662" s="7"/>
      <c r="I662" s="7"/>
      <c r="J662" s="8"/>
      <c r="K662" s="9"/>
    </row>
    <row r="663">
      <c r="A663" s="6"/>
      <c r="B663" s="7"/>
      <c r="C663" s="7"/>
      <c r="D663" s="7"/>
      <c r="E663" s="7"/>
      <c r="F663" s="7"/>
      <c r="G663" s="7"/>
      <c r="H663" s="7"/>
      <c r="I663" s="7"/>
      <c r="J663" s="8"/>
      <c r="K663" s="9"/>
    </row>
    <row r="664">
      <c r="A664" s="6"/>
      <c r="B664" s="7"/>
      <c r="C664" s="7"/>
      <c r="D664" s="7"/>
      <c r="E664" s="7"/>
      <c r="F664" s="7"/>
      <c r="G664" s="7"/>
      <c r="H664" s="7"/>
      <c r="I664" s="7"/>
      <c r="J664" s="8"/>
      <c r="K664" s="9"/>
    </row>
    <row r="665">
      <c r="A665" s="6"/>
      <c r="B665" s="7"/>
      <c r="C665" s="7"/>
      <c r="D665" s="7"/>
      <c r="E665" s="7"/>
      <c r="F665" s="7"/>
      <c r="G665" s="7"/>
      <c r="H665" s="7"/>
      <c r="I665" s="7"/>
      <c r="J665" s="8"/>
      <c r="K665" s="9"/>
    </row>
    <row r="666">
      <c r="A666" s="6"/>
      <c r="B666" s="7"/>
      <c r="C666" s="7"/>
      <c r="D666" s="7"/>
      <c r="E666" s="7"/>
      <c r="F666" s="7"/>
      <c r="G666" s="7"/>
      <c r="H666" s="7"/>
      <c r="I666" s="7"/>
      <c r="J666" s="8"/>
      <c r="K666" s="9"/>
    </row>
    <row r="667">
      <c r="A667" s="6"/>
      <c r="B667" s="7"/>
      <c r="C667" s="7"/>
      <c r="D667" s="7"/>
      <c r="E667" s="7"/>
      <c r="F667" s="7"/>
      <c r="G667" s="7"/>
      <c r="H667" s="7"/>
      <c r="I667" s="7"/>
      <c r="J667" s="8"/>
      <c r="K667" s="9"/>
    </row>
    <row r="668">
      <c r="A668" s="6"/>
      <c r="B668" s="7"/>
      <c r="C668" s="7"/>
      <c r="D668" s="7"/>
      <c r="E668" s="7"/>
      <c r="F668" s="7"/>
      <c r="G668" s="7"/>
      <c r="H668" s="7"/>
      <c r="I668" s="7"/>
      <c r="J668" s="8"/>
      <c r="K668" s="9"/>
    </row>
    <row r="669">
      <c r="A669" s="6"/>
      <c r="B669" s="7"/>
      <c r="C669" s="7"/>
      <c r="D669" s="7"/>
      <c r="E669" s="7"/>
      <c r="F669" s="7"/>
      <c r="G669" s="7"/>
      <c r="H669" s="7"/>
      <c r="I669" s="7"/>
      <c r="J669" s="8"/>
      <c r="K669" s="9"/>
    </row>
    <row r="670">
      <c r="A670" s="6"/>
      <c r="B670" s="7"/>
      <c r="C670" s="7"/>
      <c r="D670" s="7"/>
      <c r="E670" s="7"/>
      <c r="F670" s="7"/>
      <c r="G670" s="7"/>
      <c r="H670" s="7"/>
      <c r="I670" s="7"/>
      <c r="J670" s="8"/>
      <c r="K670" s="9"/>
    </row>
    <row r="671">
      <c r="A671" s="6"/>
      <c r="B671" s="7"/>
      <c r="C671" s="7"/>
      <c r="D671" s="7"/>
      <c r="E671" s="7"/>
      <c r="F671" s="7"/>
      <c r="G671" s="7"/>
      <c r="H671" s="7"/>
      <c r="I671" s="7"/>
      <c r="J671" s="8"/>
      <c r="K671" s="9"/>
    </row>
    <row r="672">
      <c r="A672" s="6"/>
      <c r="B672" s="7"/>
      <c r="C672" s="7"/>
      <c r="D672" s="7"/>
      <c r="E672" s="7"/>
      <c r="F672" s="7"/>
      <c r="G672" s="7"/>
      <c r="H672" s="7"/>
      <c r="I672" s="7"/>
      <c r="J672" s="8"/>
      <c r="K672" s="9"/>
    </row>
    <row r="673">
      <c r="A673" s="6"/>
      <c r="B673" s="7"/>
      <c r="C673" s="7"/>
      <c r="D673" s="7"/>
      <c r="E673" s="7"/>
      <c r="F673" s="7"/>
      <c r="G673" s="7"/>
      <c r="H673" s="7"/>
      <c r="I673" s="7"/>
      <c r="J673" s="8"/>
      <c r="K673" s="9"/>
    </row>
    <row r="674">
      <c r="A674" s="6"/>
      <c r="B674" s="7"/>
      <c r="C674" s="7"/>
      <c r="D674" s="7"/>
      <c r="E674" s="7"/>
      <c r="F674" s="7"/>
      <c r="G674" s="7"/>
      <c r="H674" s="7"/>
      <c r="I674" s="7"/>
      <c r="J674" s="8"/>
      <c r="K674" s="9"/>
    </row>
    <row r="675">
      <c r="A675" s="6"/>
      <c r="B675" s="7"/>
      <c r="C675" s="7"/>
      <c r="D675" s="7"/>
      <c r="E675" s="7"/>
      <c r="F675" s="7"/>
      <c r="G675" s="7"/>
      <c r="H675" s="7"/>
      <c r="I675" s="7"/>
      <c r="J675" s="8"/>
      <c r="K675" s="9"/>
    </row>
    <row r="676">
      <c r="A676" s="6"/>
      <c r="B676" s="7"/>
      <c r="C676" s="7"/>
      <c r="D676" s="7"/>
      <c r="E676" s="7"/>
      <c r="F676" s="7"/>
      <c r="G676" s="7"/>
      <c r="H676" s="7"/>
      <c r="I676" s="7"/>
      <c r="J676" s="8"/>
      <c r="K676" s="9"/>
    </row>
    <row r="677">
      <c r="A677" s="6"/>
      <c r="B677" s="7"/>
      <c r="C677" s="7"/>
      <c r="D677" s="7"/>
      <c r="E677" s="7"/>
      <c r="F677" s="7"/>
      <c r="G677" s="7"/>
      <c r="H677" s="7"/>
      <c r="I677" s="7"/>
      <c r="J677" s="8"/>
      <c r="K677" s="9"/>
    </row>
    <row r="678">
      <c r="A678" s="6"/>
      <c r="B678" s="7"/>
      <c r="C678" s="7"/>
      <c r="D678" s="7"/>
      <c r="E678" s="7"/>
      <c r="F678" s="7"/>
      <c r="G678" s="7"/>
      <c r="H678" s="7"/>
      <c r="I678" s="7"/>
      <c r="J678" s="8"/>
      <c r="K678" s="9"/>
    </row>
    <row r="679">
      <c r="A679" s="6"/>
      <c r="B679" s="7"/>
      <c r="C679" s="7"/>
      <c r="D679" s="7"/>
      <c r="E679" s="7"/>
      <c r="F679" s="7"/>
      <c r="G679" s="7"/>
      <c r="H679" s="7"/>
      <c r="I679" s="7"/>
      <c r="J679" s="8"/>
      <c r="K679" s="9"/>
    </row>
    <row r="680">
      <c r="A680" s="6"/>
      <c r="B680" s="7"/>
      <c r="C680" s="7"/>
      <c r="D680" s="7"/>
      <c r="E680" s="7"/>
      <c r="F680" s="7"/>
      <c r="G680" s="7"/>
      <c r="H680" s="7"/>
      <c r="I680" s="7"/>
      <c r="J680" s="8"/>
      <c r="K680" s="9"/>
    </row>
    <row r="681">
      <c r="A681" s="6"/>
      <c r="B681" s="7"/>
      <c r="C681" s="7"/>
      <c r="D681" s="7"/>
      <c r="E681" s="7"/>
      <c r="F681" s="7"/>
      <c r="G681" s="7"/>
      <c r="H681" s="7"/>
      <c r="I681" s="7"/>
      <c r="J681" s="8"/>
      <c r="K681" s="9"/>
    </row>
    <row r="682">
      <c r="A682" s="6"/>
      <c r="B682" s="7"/>
      <c r="C682" s="7"/>
      <c r="D682" s="7"/>
      <c r="E682" s="7"/>
      <c r="F682" s="7"/>
      <c r="G682" s="7"/>
      <c r="H682" s="7"/>
      <c r="I682" s="7"/>
      <c r="J682" s="8"/>
      <c r="K682" s="9"/>
    </row>
    <row r="683">
      <c r="A683" s="6"/>
      <c r="B683" s="7"/>
      <c r="C683" s="7"/>
      <c r="D683" s="7"/>
      <c r="E683" s="7"/>
      <c r="F683" s="7"/>
      <c r="G683" s="7"/>
      <c r="H683" s="7"/>
      <c r="I683" s="7"/>
      <c r="J683" s="8"/>
      <c r="K683" s="9"/>
    </row>
    <row r="684">
      <c r="A684" s="6"/>
      <c r="B684" s="7"/>
      <c r="C684" s="7"/>
      <c r="D684" s="7"/>
      <c r="E684" s="7"/>
      <c r="F684" s="7"/>
      <c r="G684" s="7"/>
      <c r="H684" s="7"/>
      <c r="I684" s="7"/>
      <c r="J684" s="8"/>
      <c r="K684" s="9"/>
    </row>
    <row r="685">
      <c r="A685" s="6"/>
      <c r="B685" s="7"/>
      <c r="C685" s="7"/>
      <c r="D685" s="7"/>
      <c r="E685" s="7"/>
      <c r="F685" s="7"/>
      <c r="G685" s="7"/>
      <c r="H685" s="7"/>
      <c r="I685" s="7"/>
      <c r="J685" s="8"/>
      <c r="K685" s="9"/>
    </row>
    <row r="686">
      <c r="A686" s="6"/>
      <c r="B686" s="7"/>
      <c r="C686" s="7"/>
      <c r="D686" s="7"/>
      <c r="E686" s="7"/>
      <c r="F686" s="7"/>
      <c r="G686" s="7"/>
      <c r="H686" s="7"/>
      <c r="I686" s="7"/>
      <c r="J686" s="8"/>
      <c r="K686" s="9"/>
    </row>
    <row r="687">
      <c r="A687" s="6"/>
      <c r="B687" s="7"/>
      <c r="C687" s="7"/>
      <c r="D687" s="7"/>
      <c r="E687" s="7"/>
      <c r="F687" s="7"/>
      <c r="G687" s="7"/>
      <c r="H687" s="7"/>
      <c r="I687" s="7"/>
      <c r="J687" s="8"/>
      <c r="K687" s="9"/>
    </row>
    <row r="688">
      <c r="A688" s="6"/>
      <c r="B688" s="7"/>
      <c r="C688" s="7"/>
      <c r="D688" s="7"/>
      <c r="E688" s="7"/>
      <c r="F688" s="7"/>
      <c r="G688" s="7"/>
      <c r="H688" s="7"/>
      <c r="I688" s="7"/>
      <c r="J688" s="8"/>
      <c r="K688" s="9"/>
    </row>
    <row r="689">
      <c r="A689" s="6"/>
      <c r="B689" s="7"/>
      <c r="C689" s="7"/>
      <c r="D689" s="7"/>
      <c r="E689" s="7"/>
      <c r="F689" s="7"/>
      <c r="G689" s="7"/>
      <c r="H689" s="7"/>
      <c r="I689" s="7"/>
      <c r="J689" s="8"/>
      <c r="K689" s="9"/>
    </row>
    <row r="690">
      <c r="A690" s="6"/>
      <c r="B690" s="7"/>
      <c r="C690" s="7"/>
      <c r="D690" s="7"/>
      <c r="E690" s="7"/>
      <c r="F690" s="7"/>
      <c r="G690" s="7"/>
      <c r="H690" s="7"/>
      <c r="I690" s="7"/>
      <c r="J690" s="8"/>
      <c r="K690" s="9"/>
    </row>
    <row r="691">
      <c r="A691" s="6"/>
      <c r="B691" s="7"/>
      <c r="C691" s="7"/>
      <c r="D691" s="7"/>
      <c r="E691" s="7"/>
      <c r="F691" s="7"/>
      <c r="G691" s="7"/>
      <c r="H691" s="7"/>
      <c r="I691" s="7"/>
      <c r="J691" s="8"/>
      <c r="K691" s="9"/>
    </row>
    <row r="692">
      <c r="A692" s="6"/>
      <c r="B692" s="7"/>
      <c r="C692" s="7"/>
      <c r="D692" s="7"/>
      <c r="E692" s="7"/>
      <c r="F692" s="7"/>
      <c r="G692" s="7"/>
      <c r="H692" s="7"/>
      <c r="I692" s="7"/>
      <c r="J692" s="8"/>
      <c r="K692" s="9"/>
    </row>
    <row r="693">
      <c r="A693" s="6"/>
      <c r="B693" s="7"/>
      <c r="C693" s="7"/>
      <c r="D693" s="7"/>
      <c r="E693" s="7"/>
      <c r="F693" s="7"/>
      <c r="G693" s="7"/>
      <c r="H693" s="7"/>
      <c r="I693" s="7"/>
      <c r="J693" s="8"/>
      <c r="K693" s="9"/>
    </row>
    <row r="694">
      <c r="A694" s="6"/>
      <c r="B694" s="7"/>
      <c r="C694" s="7"/>
      <c r="D694" s="7"/>
      <c r="E694" s="7"/>
      <c r="F694" s="7"/>
      <c r="G694" s="7"/>
      <c r="H694" s="7"/>
      <c r="I694" s="7"/>
      <c r="J694" s="8"/>
      <c r="K694" s="9"/>
    </row>
    <row r="695">
      <c r="A695" s="6"/>
      <c r="B695" s="7"/>
      <c r="C695" s="7"/>
      <c r="D695" s="7"/>
      <c r="E695" s="7"/>
      <c r="F695" s="7"/>
      <c r="G695" s="7"/>
      <c r="H695" s="7"/>
      <c r="I695" s="7"/>
      <c r="J695" s="8"/>
      <c r="K695" s="9"/>
    </row>
    <row r="696">
      <c r="A696" s="6"/>
      <c r="B696" s="7"/>
      <c r="C696" s="7"/>
      <c r="D696" s="7"/>
      <c r="E696" s="7"/>
      <c r="F696" s="7"/>
      <c r="G696" s="7"/>
      <c r="H696" s="7"/>
      <c r="I696" s="7"/>
      <c r="J696" s="8"/>
      <c r="K696" s="9"/>
    </row>
    <row r="697">
      <c r="A697" s="6"/>
      <c r="B697" s="7"/>
      <c r="C697" s="7"/>
      <c r="D697" s="7"/>
      <c r="E697" s="7"/>
      <c r="F697" s="7"/>
      <c r="G697" s="7"/>
      <c r="H697" s="7"/>
      <c r="I697" s="7"/>
      <c r="J697" s="8"/>
      <c r="K697" s="9"/>
    </row>
    <row r="698">
      <c r="A698" s="6"/>
      <c r="B698" s="7"/>
      <c r="C698" s="7"/>
      <c r="D698" s="7"/>
      <c r="E698" s="7"/>
      <c r="F698" s="7"/>
      <c r="G698" s="7"/>
      <c r="H698" s="7"/>
      <c r="I698" s="7"/>
      <c r="J698" s="8"/>
      <c r="K698" s="9"/>
    </row>
    <row r="699">
      <c r="A699" s="6"/>
      <c r="B699" s="7"/>
      <c r="C699" s="7"/>
      <c r="D699" s="7"/>
      <c r="E699" s="7"/>
      <c r="F699" s="7"/>
      <c r="G699" s="7"/>
      <c r="H699" s="7"/>
      <c r="I699" s="7"/>
      <c r="J699" s="8"/>
      <c r="K699" s="9"/>
    </row>
    <row r="700">
      <c r="A700" s="6"/>
      <c r="B700" s="7"/>
      <c r="C700" s="7"/>
      <c r="D700" s="7"/>
      <c r="E700" s="7"/>
      <c r="F700" s="7"/>
      <c r="G700" s="7"/>
      <c r="H700" s="7"/>
      <c r="I700" s="7"/>
      <c r="J700" s="8"/>
      <c r="K700" s="9"/>
    </row>
    <row r="701">
      <c r="A701" s="6"/>
      <c r="B701" s="7"/>
      <c r="C701" s="7"/>
      <c r="D701" s="7"/>
      <c r="E701" s="7"/>
      <c r="F701" s="7"/>
      <c r="G701" s="7"/>
      <c r="H701" s="7"/>
      <c r="I701" s="7"/>
      <c r="J701" s="8"/>
      <c r="K701" s="9"/>
    </row>
    <row r="702">
      <c r="A702" s="6"/>
      <c r="B702" s="7"/>
      <c r="C702" s="7"/>
      <c r="D702" s="7"/>
      <c r="E702" s="7"/>
      <c r="F702" s="7"/>
      <c r="G702" s="7"/>
      <c r="H702" s="7"/>
      <c r="I702" s="7"/>
      <c r="J702" s="8"/>
      <c r="K702" s="9"/>
    </row>
    <row r="703">
      <c r="A703" s="6"/>
      <c r="B703" s="7"/>
      <c r="C703" s="7"/>
      <c r="D703" s="7"/>
      <c r="E703" s="7"/>
      <c r="F703" s="7"/>
      <c r="G703" s="7"/>
      <c r="H703" s="7"/>
      <c r="I703" s="7"/>
      <c r="J703" s="8"/>
      <c r="K703" s="9"/>
    </row>
    <row r="704">
      <c r="A704" s="6"/>
      <c r="B704" s="7"/>
      <c r="C704" s="7"/>
      <c r="D704" s="7"/>
      <c r="E704" s="7"/>
      <c r="F704" s="7"/>
      <c r="G704" s="7"/>
      <c r="H704" s="7"/>
      <c r="I704" s="7"/>
      <c r="J704" s="8"/>
      <c r="K704" s="9"/>
    </row>
    <row r="705">
      <c r="A705" s="6"/>
      <c r="B705" s="7"/>
      <c r="C705" s="7"/>
      <c r="D705" s="7"/>
      <c r="E705" s="7"/>
      <c r="F705" s="7"/>
      <c r="G705" s="7"/>
      <c r="H705" s="7"/>
      <c r="I705" s="7"/>
      <c r="J705" s="8"/>
      <c r="K705" s="9"/>
    </row>
    <row r="706">
      <c r="A706" s="6"/>
      <c r="B706" s="7"/>
      <c r="C706" s="7"/>
      <c r="D706" s="7"/>
      <c r="E706" s="7"/>
      <c r="F706" s="7"/>
      <c r="G706" s="7"/>
      <c r="H706" s="7"/>
      <c r="I706" s="7"/>
      <c r="J706" s="8"/>
      <c r="K706" s="9"/>
    </row>
    <row r="707">
      <c r="A707" s="6"/>
      <c r="B707" s="7"/>
      <c r="C707" s="7"/>
      <c r="D707" s="7"/>
      <c r="E707" s="7"/>
      <c r="F707" s="7"/>
      <c r="G707" s="7"/>
      <c r="H707" s="7"/>
      <c r="I707" s="7"/>
      <c r="J707" s="8"/>
      <c r="K707" s="9"/>
    </row>
    <row r="708">
      <c r="A708" s="6"/>
      <c r="B708" s="7"/>
      <c r="C708" s="7"/>
      <c r="D708" s="7"/>
      <c r="E708" s="7"/>
      <c r="F708" s="7"/>
      <c r="G708" s="7"/>
      <c r="H708" s="7"/>
      <c r="I708" s="7"/>
      <c r="J708" s="8"/>
      <c r="K708" s="9"/>
    </row>
    <row r="709">
      <c r="A709" s="6"/>
      <c r="B709" s="7"/>
      <c r="C709" s="7"/>
      <c r="D709" s="7"/>
      <c r="E709" s="7"/>
      <c r="F709" s="7"/>
      <c r="G709" s="7"/>
      <c r="H709" s="7"/>
      <c r="I709" s="7"/>
      <c r="J709" s="8"/>
      <c r="K709" s="9"/>
    </row>
    <row r="710">
      <c r="A710" s="6"/>
      <c r="B710" s="7"/>
      <c r="C710" s="7"/>
      <c r="D710" s="7"/>
      <c r="E710" s="7"/>
      <c r="F710" s="7"/>
      <c r="G710" s="7"/>
      <c r="H710" s="7"/>
      <c r="I710" s="7"/>
      <c r="J710" s="8"/>
      <c r="K710" s="9"/>
    </row>
    <row r="711">
      <c r="A711" s="6"/>
      <c r="B711" s="7"/>
      <c r="C711" s="7"/>
      <c r="D711" s="7"/>
      <c r="E711" s="7"/>
      <c r="F711" s="7"/>
      <c r="G711" s="7"/>
      <c r="H711" s="7"/>
      <c r="I711" s="7"/>
      <c r="J711" s="8"/>
      <c r="K711" s="9"/>
    </row>
    <row r="712">
      <c r="A712" s="6"/>
      <c r="B712" s="7"/>
      <c r="C712" s="7"/>
      <c r="D712" s="7"/>
      <c r="E712" s="7"/>
      <c r="F712" s="7"/>
      <c r="G712" s="7"/>
      <c r="H712" s="7"/>
      <c r="I712" s="7"/>
      <c r="J712" s="8"/>
      <c r="K712" s="9"/>
    </row>
    <row r="713">
      <c r="A713" s="6"/>
      <c r="B713" s="7"/>
      <c r="C713" s="7"/>
      <c r="D713" s="7"/>
      <c r="E713" s="7"/>
      <c r="F713" s="7"/>
      <c r="G713" s="7"/>
      <c r="H713" s="7"/>
      <c r="I713" s="7"/>
      <c r="J713" s="8"/>
      <c r="K713" s="9"/>
    </row>
    <row r="714">
      <c r="A714" s="6"/>
      <c r="B714" s="7"/>
      <c r="C714" s="7"/>
      <c r="D714" s="7"/>
      <c r="E714" s="7"/>
      <c r="F714" s="7"/>
      <c r="G714" s="7"/>
      <c r="H714" s="7"/>
      <c r="I714" s="7"/>
      <c r="J714" s="8"/>
      <c r="K714" s="9"/>
    </row>
    <row r="715">
      <c r="A715" s="6"/>
      <c r="B715" s="7"/>
      <c r="C715" s="7"/>
      <c r="D715" s="7"/>
      <c r="E715" s="7"/>
      <c r="F715" s="7"/>
      <c r="G715" s="7"/>
      <c r="H715" s="7"/>
      <c r="I715" s="7"/>
      <c r="J715" s="8"/>
      <c r="K715" s="9"/>
    </row>
    <row r="716">
      <c r="A716" s="6"/>
      <c r="B716" s="7"/>
      <c r="C716" s="7"/>
      <c r="D716" s="7"/>
      <c r="E716" s="7"/>
      <c r="F716" s="7"/>
      <c r="G716" s="7"/>
      <c r="H716" s="7"/>
      <c r="I716" s="7"/>
      <c r="J716" s="8"/>
      <c r="K716" s="9"/>
    </row>
    <row r="717">
      <c r="A717" s="6"/>
      <c r="B717" s="7"/>
      <c r="C717" s="7"/>
      <c r="D717" s="7"/>
      <c r="E717" s="7"/>
      <c r="F717" s="7"/>
      <c r="G717" s="7"/>
      <c r="H717" s="7"/>
      <c r="I717" s="7"/>
      <c r="J717" s="8"/>
      <c r="K717" s="9"/>
    </row>
    <row r="718">
      <c r="A718" s="6"/>
      <c r="B718" s="7"/>
      <c r="C718" s="7"/>
      <c r="D718" s="7"/>
      <c r="E718" s="7"/>
      <c r="F718" s="7"/>
      <c r="G718" s="7"/>
      <c r="H718" s="7"/>
      <c r="I718" s="7"/>
      <c r="J718" s="8"/>
      <c r="K718" s="9"/>
    </row>
    <row r="719">
      <c r="A719" s="6"/>
      <c r="B719" s="7"/>
      <c r="C719" s="7"/>
      <c r="D719" s="7"/>
      <c r="E719" s="7"/>
      <c r="F719" s="7"/>
      <c r="G719" s="7"/>
      <c r="H719" s="7"/>
      <c r="I719" s="7"/>
      <c r="J719" s="8"/>
      <c r="K719" s="9"/>
    </row>
    <row r="720">
      <c r="A720" s="6"/>
      <c r="B720" s="7"/>
      <c r="C720" s="7"/>
      <c r="D720" s="7"/>
      <c r="E720" s="7"/>
      <c r="F720" s="7"/>
      <c r="G720" s="7"/>
      <c r="H720" s="7"/>
      <c r="I720" s="7"/>
      <c r="J720" s="8"/>
      <c r="K720" s="9"/>
    </row>
    <row r="721">
      <c r="A721" s="6"/>
      <c r="B721" s="7"/>
      <c r="C721" s="7"/>
      <c r="D721" s="7"/>
      <c r="E721" s="7"/>
      <c r="F721" s="7"/>
      <c r="G721" s="7"/>
      <c r="H721" s="7"/>
      <c r="I721" s="7"/>
      <c r="J721" s="8"/>
      <c r="K721" s="9"/>
    </row>
    <row r="722">
      <c r="A722" s="6"/>
      <c r="B722" s="7"/>
      <c r="C722" s="7"/>
      <c r="D722" s="7"/>
      <c r="E722" s="7"/>
      <c r="F722" s="7"/>
      <c r="G722" s="7"/>
      <c r="H722" s="7"/>
      <c r="I722" s="7"/>
      <c r="J722" s="8"/>
      <c r="K722" s="9"/>
    </row>
    <row r="723">
      <c r="A723" s="6"/>
      <c r="B723" s="7"/>
      <c r="C723" s="7"/>
      <c r="D723" s="7"/>
      <c r="E723" s="7"/>
      <c r="F723" s="7"/>
      <c r="G723" s="7"/>
      <c r="H723" s="7"/>
      <c r="I723" s="7"/>
      <c r="J723" s="8"/>
      <c r="K723" s="9"/>
    </row>
    <row r="724">
      <c r="A724" s="6"/>
      <c r="B724" s="7"/>
      <c r="C724" s="7"/>
      <c r="D724" s="7"/>
      <c r="E724" s="7"/>
      <c r="F724" s="7"/>
      <c r="G724" s="7"/>
      <c r="H724" s="7"/>
      <c r="I724" s="7"/>
      <c r="J724" s="8"/>
      <c r="K724" s="9"/>
    </row>
    <row r="725">
      <c r="A725" s="6"/>
      <c r="B725" s="7"/>
      <c r="C725" s="7"/>
      <c r="D725" s="7"/>
      <c r="E725" s="7"/>
      <c r="F725" s="7"/>
      <c r="G725" s="7"/>
      <c r="H725" s="7"/>
      <c r="I725" s="7"/>
      <c r="J725" s="8"/>
      <c r="K725" s="9"/>
    </row>
    <row r="726">
      <c r="A726" s="6"/>
      <c r="B726" s="7"/>
      <c r="C726" s="7"/>
      <c r="D726" s="7"/>
      <c r="E726" s="7"/>
      <c r="F726" s="7"/>
      <c r="G726" s="7"/>
      <c r="H726" s="7"/>
      <c r="I726" s="7"/>
      <c r="J726" s="8"/>
      <c r="K726" s="9"/>
    </row>
    <row r="727">
      <c r="A727" s="6"/>
      <c r="B727" s="7"/>
      <c r="C727" s="7"/>
      <c r="D727" s="7"/>
      <c r="E727" s="7"/>
      <c r="F727" s="7"/>
      <c r="G727" s="7"/>
      <c r="H727" s="7"/>
      <c r="I727" s="7"/>
      <c r="J727" s="8"/>
      <c r="K727" s="9"/>
    </row>
    <row r="728">
      <c r="A728" s="6"/>
      <c r="B728" s="7"/>
      <c r="C728" s="7"/>
      <c r="D728" s="7"/>
      <c r="E728" s="7"/>
      <c r="F728" s="7"/>
      <c r="G728" s="7"/>
      <c r="H728" s="7"/>
      <c r="I728" s="7"/>
      <c r="J728" s="8"/>
      <c r="K728" s="9"/>
    </row>
    <row r="729">
      <c r="A729" s="6"/>
      <c r="B729" s="7"/>
      <c r="C729" s="7"/>
      <c r="D729" s="7"/>
      <c r="E729" s="7"/>
      <c r="F729" s="7"/>
      <c r="G729" s="7"/>
      <c r="H729" s="7"/>
      <c r="I729" s="7"/>
      <c r="J729" s="8"/>
      <c r="K729" s="9"/>
    </row>
    <row r="730">
      <c r="A730" s="6"/>
      <c r="B730" s="7"/>
      <c r="C730" s="7"/>
      <c r="D730" s="7"/>
      <c r="E730" s="7"/>
      <c r="F730" s="7"/>
      <c r="G730" s="7"/>
      <c r="H730" s="7"/>
      <c r="I730" s="7"/>
      <c r="J730" s="8"/>
      <c r="K730" s="9"/>
    </row>
    <row r="731">
      <c r="A731" s="6"/>
      <c r="B731" s="7"/>
      <c r="C731" s="7"/>
      <c r="D731" s="7"/>
      <c r="E731" s="7"/>
      <c r="F731" s="7"/>
      <c r="G731" s="7"/>
      <c r="H731" s="7"/>
      <c r="I731" s="7"/>
      <c r="J731" s="8"/>
      <c r="K731" s="9"/>
    </row>
    <row r="732">
      <c r="A732" s="6"/>
      <c r="B732" s="7"/>
      <c r="C732" s="7"/>
      <c r="D732" s="7"/>
      <c r="E732" s="7"/>
      <c r="F732" s="7"/>
      <c r="G732" s="7"/>
      <c r="H732" s="7"/>
      <c r="I732" s="7"/>
      <c r="J732" s="8"/>
      <c r="K732" s="9"/>
    </row>
    <row r="733">
      <c r="A733" s="6"/>
      <c r="B733" s="7"/>
      <c r="C733" s="7"/>
      <c r="D733" s="7"/>
      <c r="E733" s="7"/>
      <c r="F733" s="7"/>
      <c r="G733" s="7"/>
      <c r="H733" s="7"/>
      <c r="I733" s="7"/>
      <c r="J733" s="8"/>
      <c r="K733" s="9"/>
    </row>
    <row r="734">
      <c r="A734" s="6"/>
      <c r="B734" s="7"/>
      <c r="C734" s="7"/>
      <c r="D734" s="7"/>
      <c r="E734" s="7"/>
      <c r="F734" s="7"/>
      <c r="G734" s="7"/>
      <c r="H734" s="7"/>
      <c r="I734" s="7"/>
      <c r="J734" s="8"/>
      <c r="K734" s="9"/>
    </row>
    <row r="735">
      <c r="A735" s="6"/>
      <c r="B735" s="7"/>
      <c r="C735" s="7"/>
      <c r="D735" s="7"/>
      <c r="E735" s="7"/>
      <c r="F735" s="7"/>
      <c r="G735" s="7"/>
      <c r="H735" s="7"/>
      <c r="I735" s="7"/>
      <c r="J735" s="8"/>
      <c r="K735" s="9"/>
    </row>
    <row r="736">
      <c r="A736" s="6"/>
      <c r="B736" s="7"/>
      <c r="C736" s="7"/>
      <c r="D736" s="7"/>
      <c r="E736" s="7"/>
      <c r="F736" s="7"/>
      <c r="G736" s="7"/>
      <c r="H736" s="7"/>
      <c r="I736" s="7"/>
      <c r="J736" s="8"/>
      <c r="K736" s="9"/>
    </row>
    <row r="737">
      <c r="A737" s="6"/>
      <c r="B737" s="7"/>
      <c r="C737" s="7"/>
      <c r="D737" s="7"/>
      <c r="E737" s="7"/>
      <c r="F737" s="7"/>
      <c r="G737" s="7"/>
      <c r="H737" s="7"/>
      <c r="I737" s="7"/>
      <c r="J737" s="8"/>
      <c r="K737" s="9"/>
    </row>
    <row r="738">
      <c r="A738" s="6"/>
      <c r="B738" s="7"/>
      <c r="C738" s="7"/>
      <c r="D738" s="7"/>
      <c r="E738" s="7"/>
      <c r="F738" s="7"/>
      <c r="G738" s="7"/>
      <c r="H738" s="7"/>
      <c r="I738" s="7"/>
      <c r="J738" s="8"/>
      <c r="K738" s="9"/>
    </row>
    <row r="739">
      <c r="A739" s="6"/>
      <c r="B739" s="7"/>
      <c r="C739" s="7"/>
      <c r="D739" s="7"/>
      <c r="E739" s="7"/>
      <c r="F739" s="7"/>
      <c r="G739" s="7"/>
      <c r="H739" s="7"/>
      <c r="I739" s="7"/>
      <c r="J739" s="8"/>
      <c r="K739" s="9"/>
    </row>
    <row r="740">
      <c r="A740" s="6"/>
      <c r="B740" s="7"/>
      <c r="C740" s="7"/>
      <c r="D740" s="7"/>
      <c r="E740" s="7"/>
      <c r="F740" s="7"/>
      <c r="G740" s="7"/>
      <c r="H740" s="7"/>
      <c r="I740" s="7"/>
      <c r="J740" s="8"/>
      <c r="K740" s="9"/>
    </row>
    <row r="741">
      <c r="A741" s="6"/>
      <c r="B741" s="7"/>
      <c r="C741" s="7"/>
      <c r="D741" s="7"/>
      <c r="E741" s="7"/>
      <c r="F741" s="7"/>
      <c r="G741" s="7"/>
      <c r="H741" s="7"/>
      <c r="I741" s="7"/>
      <c r="J741" s="8"/>
      <c r="K741" s="9"/>
    </row>
    <row r="742">
      <c r="A742" s="6"/>
      <c r="B742" s="7"/>
      <c r="C742" s="7"/>
      <c r="D742" s="7"/>
      <c r="E742" s="7"/>
      <c r="F742" s="7"/>
      <c r="G742" s="7"/>
      <c r="H742" s="7"/>
      <c r="I742" s="7"/>
      <c r="J742" s="8"/>
      <c r="K742" s="9"/>
    </row>
    <row r="743">
      <c r="A743" s="6"/>
      <c r="B743" s="7"/>
      <c r="C743" s="7"/>
      <c r="D743" s="7"/>
      <c r="E743" s="7"/>
      <c r="F743" s="7"/>
      <c r="G743" s="7"/>
      <c r="H743" s="7"/>
      <c r="I743" s="7"/>
      <c r="J743" s="8"/>
      <c r="K743" s="9"/>
    </row>
    <row r="744">
      <c r="A744" s="6"/>
      <c r="B744" s="7"/>
      <c r="C744" s="7"/>
      <c r="D744" s="7"/>
      <c r="E744" s="7"/>
      <c r="F744" s="7"/>
      <c r="G744" s="7"/>
      <c r="H744" s="7"/>
      <c r="I744" s="7"/>
      <c r="J744" s="8"/>
      <c r="K744" s="9"/>
    </row>
    <row r="745">
      <c r="A745" s="6"/>
      <c r="B745" s="7"/>
      <c r="C745" s="7"/>
      <c r="D745" s="7"/>
      <c r="E745" s="7"/>
      <c r="F745" s="7"/>
      <c r="G745" s="7"/>
      <c r="H745" s="7"/>
      <c r="I745" s="7"/>
      <c r="J745" s="8"/>
      <c r="K745" s="9"/>
    </row>
    <row r="746">
      <c r="A746" s="6"/>
      <c r="B746" s="7"/>
      <c r="C746" s="7"/>
      <c r="D746" s="7"/>
      <c r="E746" s="7"/>
      <c r="F746" s="7"/>
      <c r="G746" s="7"/>
      <c r="H746" s="7"/>
      <c r="I746" s="7"/>
      <c r="J746" s="8"/>
      <c r="K746" s="9"/>
    </row>
    <row r="747">
      <c r="A747" s="6"/>
      <c r="B747" s="7"/>
      <c r="C747" s="7"/>
      <c r="D747" s="7"/>
      <c r="E747" s="7"/>
      <c r="F747" s="7"/>
      <c r="G747" s="7"/>
      <c r="H747" s="7"/>
      <c r="I747" s="7"/>
      <c r="J747" s="8"/>
      <c r="K747" s="9"/>
    </row>
    <row r="748">
      <c r="A748" s="6"/>
      <c r="B748" s="7"/>
      <c r="C748" s="7"/>
      <c r="D748" s="7"/>
      <c r="E748" s="7"/>
      <c r="F748" s="7"/>
      <c r="G748" s="7"/>
      <c r="H748" s="7"/>
      <c r="I748" s="7"/>
      <c r="J748" s="8"/>
      <c r="K748" s="9"/>
    </row>
    <row r="749">
      <c r="A749" s="6"/>
      <c r="B749" s="7"/>
      <c r="C749" s="7"/>
      <c r="D749" s="7"/>
      <c r="E749" s="7"/>
      <c r="F749" s="7"/>
      <c r="G749" s="7"/>
      <c r="H749" s="7"/>
      <c r="I749" s="7"/>
      <c r="J749" s="8"/>
      <c r="K749" s="9"/>
    </row>
    <row r="750">
      <c r="A750" s="6"/>
      <c r="B750" s="7"/>
      <c r="C750" s="7"/>
      <c r="D750" s="7"/>
      <c r="E750" s="7"/>
      <c r="F750" s="7"/>
      <c r="G750" s="7"/>
      <c r="H750" s="7"/>
      <c r="I750" s="7"/>
      <c r="J750" s="8"/>
      <c r="K750" s="9"/>
    </row>
    <row r="751">
      <c r="A751" s="6"/>
      <c r="B751" s="7"/>
      <c r="C751" s="7"/>
      <c r="D751" s="7"/>
      <c r="E751" s="7"/>
      <c r="F751" s="7"/>
      <c r="G751" s="7"/>
      <c r="H751" s="7"/>
      <c r="I751" s="7"/>
      <c r="J751" s="8"/>
      <c r="K751" s="9"/>
    </row>
    <row r="752">
      <c r="A752" s="6"/>
      <c r="B752" s="7"/>
      <c r="C752" s="7"/>
      <c r="D752" s="7"/>
      <c r="E752" s="7"/>
      <c r="F752" s="7"/>
      <c r="G752" s="7"/>
      <c r="H752" s="7"/>
      <c r="I752" s="7"/>
      <c r="J752" s="8"/>
      <c r="K752" s="9"/>
    </row>
    <row r="753">
      <c r="A753" s="6"/>
      <c r="B753" s="7"/>
      <c r="C753" s="7"/>
      <c r="D753" s="7"/>
      <c r="E753" s="7"/>
      <c r="F753" s="7"/>
      <c r="G753" s="7"/>
      <c r="H753" s="7"/>
      <c r="I753" s="7"/>
      <c r="J753" s="8"/>
      <c r="K753" s="9"/>
    </row>
    <row r="754">
      <c r="A754" s="6"/>
      <c r="B754" s="7"/>
      <c r="C754" s="7"/>
      <c r="D754" s="7"/>
      <c r="E754" s="7"/>
      <c r="F754" s="7"/>
      <c r="G754" s="7"/>
      <c r="H754" s="7"/>
      <c r="I754" s="7"/>
      <c r="J754" s="8"/>
      <c r="K754" s="9"/>
    </row>
    <row r="755">
      <c r="A755" s="6"/>
      <c r="B755" s="7"/>
      <c r="C755" s="7"/>
      <c r="D755" s="7"/>
      <c r="E755" s="7"/>
      <c r="F755" s="7"/>
      <c r="G755" s="7"/>
      <c r="H755" s="7"/>
      <c r="I755" s="7"/>
      <c r="J755" s="8"/>
      <c r="K755" s="9"/>
    </row>
    <row r="756">
      <c r="A756" s="6"/>
      <c r="B756" s="7"/>
      <c r="C756" s="7"/>
      <c r="D756" s="7"/>
      <c r="E756" s="7"/>
      <c r="F756" s="7"/>
      <c r="G756" s="7"/>
      <c r="H756" s="7"/>
      <c r="I756" s="7"/>
      <c r="J756" s="8"/>
      <c r="K756" s="9"/>
    </row>
    <row r="757">
      <c r="A757" s="6"/>
      <c r="B757" s="7"/>
      <c r="C757" s="7"/>
      <c r="D757" s="7"/>
      <c r="E757" s="7"/>
      <c r="F757" s="7"/>
      <c r="G757" s="7"/>
      <c r="H757" s="7"/>
      <c r="I757" s="7"/>
      <c r="J757" s="8"/>
      <c r="K757" s="9"/>
    </row>
    <row r="758">
      <c r="A758" s="6"/>
      <c r="B758" s="7"/>
      <c r="C758" s="7"/>
      <c r="D758" s="7"/>
      <c r="E758" s="7"/>
      <c r="F758" s="7"/>
      <c r="G758" s="7"/>
      <c r="H758" s="7"/>
      <c r="I758" s="7"/>
      <c r="J758" s="8"/>
      <c r="K758" s="9"/>
    </row>
    <row r="759">
      <c r="A759" s="6"/>
      <c r="B759" s="7"/>
      <c r="C759" s="7"/>
      <c r="D759" s="7"/>
      <c r="E759" s="7"/>
      <c r="F759" s="7"/>
      <c r="G759" s="7"/>
      <c r="H759" s="7"/>
      <c r="I759" s="7"/>
      <c r="J759" s="8"/>
      <c r="K759" s="9"/>
    </row>
    <row r="760">
      <c r="A760" s="6"/>
      <c r="B760" s="7"/>
      <c r="C760" s="7"/>
      <c r="D760" s="7"/>
      <c r="E760" s="7"/>
      <c r="F760" s="7"/>
      <c r="G760" s="7"/>
      <c r="H760" s="7"/>
      <c r="I760" s="7"/>
      <c r="J760" s="8"/>
      <c r="K760" s="9"/>
    </row>
    <row r="761">
      <c r="A761" s="6"/>
      <c r="B761" s="7"/>
      <c r="C761" s="7"/>
      <c r="D761" s="7"/>
      <c r="E761" s="7"/>
      <c r="F761" s="7"/>
      <c r="G761" s="7"/>
      <c r="H761" s="7"/>
      <c r="I761" s="7"/>
      <c r="J761" s="8"/>
      <c r="K761" s="9"/>
    </row>
    <row r="762">
      <c r="A762" s="6"/>
      <c r="B762" s="7"/>
      <c r="C762" s="7"/>
      <c r="D762" s="7"/>
      <c r="E762" s="7"/>
      <c r="F762" s="7"/>
      <c r="G762" s="7"/>
      <c r="H762" s="7"/>
      <c r="I762" s="7"/>
      <c r="J762" s="8"/>
      <c r="K762" s="9"/>
    </row>
    <row r="763">
      <c r="A763" s="6"/>
      <c r="B763" s="7"/>
      <c r="C763" s="7"/>
      <c r="D763" s="7"/>
      <c r="E763" s="7"/>
      <c r="F763" s="7"/>
      <c r="G763" s="7"/>
      <c r="H763" s="7"/>
      <c r="I763" s="7"/>
      <c r="J763" s="8"/>
      <c r="K763" s="9"/>
    </row>
    <row r="764">
      <c r="A764" s="6"/>
      <c r="B764" s="7"/>
      <c r="C764" s="7"/>
      <c r="D764" s="7"/>
      <c r="E764" s="7"/>
      <c r="F764" s="7"/>
      <c r="G764" s="7"/>
      <c r="H764" s="7"/>
      <c r="I764" s="7"/>
      <c r="J764" s="8"/>
      <c r="K764" s="9"/>
    </row>
    <row r="765">
      <c r="A765" s="6"/>
      <c r="B765" s="7"/>
      <c r="C765" s="7"/>
      <c r="D765" s="7"/>
      <c r="E765" s="7"/>
      <c r="F765" s="7"/>
      <c r="G765" s="7"/>
      <c r="H765" s="7"/>
      <c r="I765" s="7"/>
      <c r="J765" s="8"/>
      <c r="K765" s="9"/>
    </row>
    <row r="766">
      <c r="A766" s="6"/>
      <c r="B766" s="7"/>
      <c r="C766" s="7"/>
      <c r="D766" s="7"/>
      <c r="E766" s="7"/>
      <c r="F766" s="7"/>
      <c r="G766" s="7"/>
      <c r="H766" s="7"/>
      <c r="I766" s="7"/>
      <c r="J766" s="8"/>
      <c r="K766" s="9"/>
    </row>
    <row r="767">
      <c r="A767" s="6"/>
      <c r="B767" s="7"/>
      <c r="C767" s="7"/>
      <c r="D767" s="7"/>
      <c r="E767" s="7"/>
      <c r="F767" s="7"/>
      <c r="G767" s="7"/>
      <c r="H767" s="7"/>
      <c r="I767" s="7"/>
      <c r="J767" s="8"/>
      <c r="K767" s="9"/>
    </row>
    <row r="768">
      <c r="A768" s="6"/>
      <c r="B768" s="7"/>
      <c r="C768" s="7"/>
      <c r="D768" s="7"/>
      <c r="E768" s="7"/>
      <c r="F768" s="7"/>
      <c r="G768" s="7"/>
      <c r="H768" s="7"/>
      <c r="I768" s="7"/>
      <c r="J768" s="8"/>
      <c r="K768" s="9"/>
    </row>
    <row r="769">
      <c r="A769" s="6"/>
      <c r="B769" s="7"/>
      <c r="C769" s="7"/>
      <c r="D769" s="7"/>
      <c r="E769" s="7"/>
      <c r="F769" s="7"/>
      <c r="G769" s="7"/>
      <c r="H769" s="7"/>
      <c r="I769" s="7"/>
      <c r="J769" s="8"/>
      <c r="K769" s="9"/>
    </row>
    <row r="770">
      <c r="A770" s="6"/>
      <c r="B770" s="7"/>
      <c r="C770" s="7"/>
      <c r="D770" s="7"/>
      <c r="E770" s="7"/>
      <c r="F770" s="7"/>
      <c r="G770" s="7"/>
      <c r="H770" s="7"/>
      <c r="I770" s="7"/>
      <c r="J770" s="8"/>
      <c r="K770" s="9"/>
    </row>
    <row r="771">
      <c r="A771" s="6"/>
      <c r="B771" s="7"/>
      <c r="C771" s="7"/>
      <c r="D771" s="7"/>
      <c r="E771" s="7"/>
      <c r="F771" s="7"/>
      <c r="G771" s="7"/>
      <c r="H771" s="7"/>
      <c r="I771" s="7"/>
      <c r="J771" s="8"/>
      <c r="K771" s="9"/>
    </row>
    <row r="772">
      <c r="A772" s="6"/>
      <c r="B772" s="7"/>
      <c r="C772" s="7"/>
      <c r="D772" s="7"/>
      <c r="E772" s="7"/>
      <c r="F772" s="7"/>
      <c r="G772" s="7"/>
      <c r="H772" s="7"/>
      <c r="I772" s="7"/>
      <c r="J772" s="8"/>
      <c r="K772" s="9"/>
    </row>
    <row r="773">
      <c r="A773" s="6"/>
      <c r="B773" s="7"/>
      <c r="C773" s="7"/>
      <c r="D773" s="7"/>
      <c r="E773" s="7"/>
      <c r="F773" s="7"/>
      <c r="G773" s="7"/>
      <c r="H773" s="7"/>
      <c r="I773" s="7"/>
      <c r="J773" s="8"/>
      <c r="K773" s="9"/>
    </row>
    <row r="774">
      <c r="A774" s="6"/>
      <c r="B774" s="7"/>
      <c r="C774" s="7"/>
      <c r="D774" s="7"/>
      <c r="E774" s="7"/>
      <c r="F774" s="7"/>
      <c r="G774" s="7"/>
      <c r="H774" s="7"/>
      <c r="I774" s="7"/>
      <c r="J774" s="8"/>
      <c r="K774" s="9"/>
    </row>
    <row r="775">
      <c r="A775" s="6"/>
      <c r="B775" s="7"/>
      <c r="C775" s="7"/>
      <c r="D775" s="7"/>
      <c r="E775" s="7"/>
      <c r="F775" s="7"/>
      <c r="G775" s="7"/>
      <c r="H775" s="7"/>
      <c r="I775" s="7"/>
      <c r="J775" s="8"/>
      <c r="K775" s="9"/>
    </row>
    <row r="776">
      <c r="A776" s="6"/>
      <c r="B776" s="7"/>
      <c r="C776" s="7"/>
      <c r="D776" s="7"/>
      <c r="E776" s="7"/>
      <c r="F776" s="7"/>
      <c r="G776" s="7"/>
      <c r="H776" s="7"/>
      <c r="I776" s="7"/>
      <c r="J776" s="8"/>
      <c r="K776" s="9"/>
    </row>
    <row r="777">
      <c r="A777" s="6"/>
      <c r="B777" s="7"/>
      <c r="C777" s="7"/>
      <c r="D777" s="7"/>
      <c r="E777" s="7"/>
      <c r="F777" s="7"/>
      <c r="G777" s="7"/>
      <c r="H777" s="7"/>
      <c r="I777" s="7"/>
      <c r="J777" s="8"/>
      <c r="K777" s="9"/>
    </row>
    <row r="778">
      <c r="A778" s="6"/>
      <c r="B778" s="7"/>
      <c r="C778" s="7"/>
      <c r="D778" s="7"/>
      <c r="E778" s="7"/>
      <c r="F778" s="7"/>
      <c r="G778" s="7"/>
      <c r="H778" s="7"/>
      <c r="I778" s="7"/>
      <c r="J778" s="8"/>
      <c r="K778" s="9"/>
    </row>
    <row r="779">
      <c r="A779" s="6"/>
      <c r="B779" s="7"/>
      <c r="C779" s="7"/>
      <c r="D779" s="7"/>
      <c r="E779" s="7"/>
      <c r="F779" s="7"/>
      <c r="G779" s="7"/>
      <c r="H779" s="7"/>
      <c r="I779" s="7"/>
      <c r="J779" s="8"/>
      <c r="K779" s="9"/>
    </row>
    <row r="780">
      <c r="A780" s="6"/>
      <c r="B780" s="7"/>
      <c r="C780" s="7"/>
      <c r="D780" s="7"/>
      <c r="E780" s="7"/>
      <c r="F780" s="7"/>
      <c r="G780" s="7"/>
      <c r="H780" s="7"/>
      <c r="I780" s="7"/>
      <c r="J780" s="8"/>
      <c r="K780" s="9"/>
    </row>
    <row r="781">
      <c r="A781" s="6"/>
      <c r="B781" s="7"/>
      <c r="C781" s="7"/>
      <c r="D781" s="7"/>
      <c r="E781" s="7"/>
      <c r="F781" s="7"/>
      <c r="G781" s="7"/>
      <c r="H781" s="7"/>
      <c r="I781" s="7"/>
      <c r="J781" s="8"/>
      <c r="K781" s="9"/>
    </row>
    <row r="782">
      <c r="A782" s="6"/>
      <c r="B782" s="7"/>
      <c r="C782" s="7"/>
      <c r="D782" s="7"/>
      <c r="E782" s="7"/>
      <c r="F782" s="7"/>
      <c r="G782" s="7"/>
      <c r="H782" s="7"/>
      <c r="I782" s="7"/>
      <c r="J782" s="8"/>
      <c r="K782" s="9"/>
    </row>
    <row r="783">
      <c r="A783" s="6"/>
      <c r="B783" s="7"/>
      <c r="C783" s="7"/>
      <c r="D783" s="7"/>
      <c r="E783" s="7"/>
      <c r="F783" s="7"/>
      <c r="G783" s="7"/>
      <c r="H783" s="7"/>
      <c r="I783" s="7"/>
      <c r="J783" s="8"/>
      <c r="K783" s="9"/>
    </row>
    <row r="784">
      <c r="A784" s="6"/>
      <c r="B784" s="7"/>
      <c r="C784" s="7"/>
      <c r="D784" s="7"/>
      <c r="E784" s="7"/>
      <c r="F784" s="7"/>
      <c r="G784" s="7"/>
      <c r="H784" s="7"/>
      <c r="I784" s="7"/>
      <c r="J784" s="8"/>
      <c r="K784" s="9"/>
    </row>
    <row r="785">
      <c r="A785" s="6"/>
      <c r="B785" s="7"/>
      <c r="C785" s="7"/>
      <c r="D785" s="7"/>
      <c r="E785" s="7"/>
      <c r="F785" s="7"/>
      <c r="G785" s="7"/>
      <c r="H785" s="7"/>
      <c r="I785" s="7"/>
      <c r="J785" s="8"/>
      <c r="K785" s="9"/>
    </row>
    <row r="786">
      <c r="A786" s="6"/>
      <c r="B786" s="7"/>
      <c r="C786" s="7"/>
      <c r="D786" s="7"/>
      <c r="E786" s="7"/>
      <c r="F786" s="7"/>
      <c r="G786" s="7"/>
      <c r="H786" s="7"/>
      <c r="I786" s="7"/>
      <c r="J786" s="8"/>
      <c r="K786" s="9"/>
    </row>
    <row r="787">
      <c r="A787" s="6"/>
      <c r="B787" s="7"/>
      <c r="C787" s="7"/>
      <c r="D787" s="7"/>
      <c r="E787" s="7"/>
      <c r="F787" s="7"/>
      <c r="G787" s="7"/>
      <c r="H787" s="7"/>
      <c r="I787" s="7"/>
      <c r="J787" s="8"/>
      <c r="K787" s="9"/>
    </row>
    <row r="788">
      <c r="A788" s="6"/>
      <c r="B788" s="7"/>
      <c r="C788" s="7"/>
      <c r="D788" s="7"/>
      <c r="E788" s="7"/>
      <c r="F788" s="7"/>
      <c r="G788" s="7"/>
      <c r="H788" s="7"/>
      <c r="I788" s="7"/>
      <c r="J788" s="8"/>
      <c r="K788" s="9"/>
    </row>
    <row r="789">
      <c r="A789" s="6"/>
      <c r="B789" s="7"/>
      <c r="C789" s="7"/>
      <c r="D789" s="7"/>
      <c r="E789" s="7"/>
      <c r="F789" s="7"/>
      <c r="G789" s="7"/>
      <c r="H789" s="7"/>
      <c r="I789" s="7"/>
      <c r="J789" s="8"/>
      <c r="K789" s="9"/>
    </row>
    <row r="790">
      <c r="A790" s="6"/>
      <c r="B790" s="7"/>
      <c r="C790" s="7"/>
      <c r="D790" s="7"/>
      <c r="E790" s="7"/>
      <c r="F790" s="7"/>
      <c r="G790" s="7"/>
      <c r="H790" s="7"/>
      <c r="I790" s="7"/>
      <c r="J790" s="8"/>
      <c r="K790" s="9"/>
    </row>
    <row r="791">
      <c r="A791" s="6"/>
      <c r="B791" s="7"/>
      <c r="C791" s="7"/>
      <c r="D791" s="7"/>
      <c r="E791" s="7"/>
      <c r="F791" s="7"/>
      <c r="G791" s="7"/>
      <c r="H791" s="7"/>
      <c r="I791" s="7"/>
      <c r="J791" s="8"/>
      <c r="K791" s="9"/>
    </row>
    <row r="792">
      <c r="A792" s="6"/>
      <c r="B792" s="7"/>
      <c r="C792" s="7"/>
      <c r="D792" s="7"/>
      <c r="E792" s="7"/>
      <c r="F792" s="7"/>
      <c r="G792" s="7"/>
      <c r="H792" s="7"/>
      <c r="I792" s="7"/>
      <c r="J792" s="8"/>
      <c r="K792" s="9"/>
    </row>
    <row r="793">
      <c r="A793" s="6"/>
      <c r="B793" s="7"/>
      <c r="C793" s="7"/>
      <c r="D793" s="7"/>
      <c r="E793" s="7"/>
      <c r="F793" s="7"/>
      <c r="G793" s="7"/>
      <c r="H793" s="7"/>
      <c r="I793" s="7"/>
      <c r="J793" s="8"/>
      <c r="K793" s="9"/>
    </row>
    <row r="794">
      <c r="A794" s="6"/>
      <c r="B794" s="7"/>
      <c r="C794" s="7"/>
      <c r="D794" s="7"/>
      <c r="E794" s="7"/>
      <c r="F794" s="7"/>
      <c r="G794" s="7"/>
      <c r="H794" s="7"/>
      <c r="I794" s="7"/>
      <c r="J794" s="8"/>
      <c r="K794" s="9"/>
    </row>
    <row r="795">
      <c r="A795" s="6"/>
      <c r="B795" s="7"/>
      <c r="C795" s="7"/>
      <c r="D795" s="7"/>
      <c r="E795" s="7"/>
      <c r="F795" s="7"/>
      <c r="G795" s="7"/>
      <c r="H795" s="7"/>
      <c r="I795" s="7"/>
      <c r="J795" s="8"/>
      <c r="K795" s="9"/>
    </row>
    <row r="796">
      <c r="A796" s="6"/>
      <c r="B796" s="7"/>
      <c r="C796" s="7"/>
      <c r="D796" s="7"/>
      <c r="E796" s="7"/>
      <c r="F796" s="7"/>
      <c r="G796" s="7"/>
      <c r="H796" s="7"/>
      <c r="I796" s="7"/>
      <c r="J796" s="8"/>
      <c r="K796" s="9"/>
    </row>
    <row r="797">
      <c r="A797" s="6"/>
      <c r="B797" s="7"/>
      <c r="C797" s="7"/>
      <c r="D797" s="7"/>
      <c r="E797" s="7"/>
      <c r="F797" s="7"/>
      <c r="G797" s="7"/>
      <c r="H797" s="7"/>
      <c r="I797" s="7"/>
      <c r="J797" s="8"/>
      <c r="K797" s="9"/>
    </row>
    <row r="798">
      <c r="A798" s="6"/>
      <c r="B798" s="7"/>
      <c r="C798" s="7"/>
      <c r="D798" s="7"/>
      <c r="E798" s="7"/>
      <c r="F798" s="7"/>
      <c r="G798" s="7"/>
      <c r="H798" s="7"/>
      <c r="I798" s="7"/>
      <c r="J798" s="8"/>
      <c r="K798" s="9"/>
    </row>
    <row r="799">
      <c r="A799" s="6"/>
      <c r="B799" s="7"/>
      <c r="C799" s="7"/>
      <c r="D799" s="7"/>
      <c r="E799" s="7"/>
      <c r="F799" s="7"/>
      <c r="G799" s="7"/>
      <c r="H799" s="7"/>
      <c r="I799" s="7"/>
      <c r="J799" s="8"/>
      <c r="K799" s="9"/>
    </row>
    <row r="800">
      <c r="A800" s="6"/>
      <c r="B800" s="7"/>
      <c r="C800" s="7"/>
      <c r="D800" s="7"/>
      <c r="E800" s="7"/>
      <c r="F800" s="7"/>
      <c r="G800" s="7"/>
      <c r="H800" s="7"/>
      <c r="I800" s="7"/>
      <c r="J800" s="8"/>
      <c r="K800" s="9"/>
    </row>
    <row r="801">
      <c r="A801" s="6"/>
      <c r="B801" s="7"/>
      <c r="C801" s="7"/>
      <c r="D801" s="7"/>
      <c r="E801" s="7"/>
      <c r="F801" s="7"/>
      <c r="G801" s="7"/>
      <c r="H801" s="7"/>
      <c r="I801" s="7"/>
      <c r="J801" s="8"/>
      <c r="K801" s="9"/>
    </row>
    <row r="802">
      <c r="A802" s="6"/>
      <c r="B802" s="7"/>
      <c r="C802" s="7"/>
      <c r="D802" s="7"/>
      <c r="E802" s="7"/>
      <c r="F802" s="7"/>
      <c r="G802" s="7"/>
      <c r="H802" s="7"/>
      <c r="I802" s="7"/>
      <c r="J802" s="8"/>
      <c r="K802" s="9"/>
    </row>
    <row r="803">
      <c r="A803" s="6"/>
      <c r="B803" s="7"/>
      <c r="C803" s="7"/>
      <c r="D803" s="7"/>
      <c r="E803" s="7"/>
      <c r="F803" s="7"/>
      <c r="G803" s="7"/>
      <c r="H803" s="7"/>
      <c r="I803" s="7"/>
      <c r="J803" s="8"/>
      <c r="K803" s="9"/>
    </row>
    <row r="804">
      <c r="A804" s="6"/>
      <c r="B804" s="7"/>
      <c r="C804" s="7"/>
      <c r="D804" s="7"/>
      <c r="E804" s="7"/>
      <c r="F804" s="7"/>
      <c r="G804" s="7"/>
      <c r="H804" s="7"/>
      <c r="I804" s="7"/>
      <c r="J804" s="8"/>
      <c r="K804" s="9"/>
    </row>
  </sheetData>
  <autoFilter ref="$A$1:$Z$4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1" max="1" width="7.25"/>
    <col customWidth="1" min="2" max="2" width="12.25"/>
    <col customWidth="1" min="3" max="3" width="12.38"/>
    <col customWidth="1" min="4" max="4" width="29.75"/>
    <col customWidth="1" min="5" max="5" width="17.63"/>
    <col customWidth="1" min="6" max="6" width="14.25"/>
    <col customWidth="1" min="7" max="7" width="31.5"/>
    <col customWidth="1" min="8" max="8" width="11.0"/>
    <col customWidth="1" min="9" max="9" width="20.75"/>
    <col customWidth="1" min="10" max="11" width="27.88"/>
    <col customWidth="1" min="12" max="12" width="24.5"/>
    <col customWidth="1" min="13" max="13" width="27.88"/>
    <col customWidth="1" min="14" max="15" width="15.63"/>
    <col customWidth="1" min="17" max="17" width="14.75"/>
  </cols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6</v>
      </c>
      <c r="G1" s="11" t="s">
        <v>7</v>
      </c>
      <c r="H1" s="11" t="s">
        <v>8</v>
      </c>
      <c r="I1" s="10" t="s">
        <v>515</v>
      </c>
      <c r="J1" s="10" t="s">
        <v>516</v>
      </c>
      <c r="K1" s="11" t="s">
        <v>9</v>
      </c>
      <c r="L1" s="11" t="s">
        <v>10</v>
      </c>
      <c r="M1" s="11" t="s">
        <v>517</v>
      </c>
      <c r="N1" s="11" t="s">
        <v>518</v>
      </c>
      <c r="O1" s="47" t="s">
        <v>519</v>
      </c>
      <c r="P1" s="48" t="s">
        <v>520</v>
      </c>
      <c r="Q1" s="48" t="s">
        <v>521</v>
      </c>
      <c r="R1" s="49" t="s">
        <v>522</v>
      </c>
      <c r="S1" s="49" t="s">
        <v>523</v>
      </c>
      <c r="T1" s="32"/>
      <c r="U1" s="32"/>
      <c r="V1" s="32"/>
      <c r="W1" s="32"/>
      <c r="X1" s="32"/>
      <c r="Y1" s="32"/>
      <c r="Z1" s="32"/>
      <c r="AA1" s="32"/>
      <c r="AB1" s="32"/>
      <c r="AC1" s="32"/>
    </row>
    <row r="2">
      <c r="A2" s="50"/>
      <c r="B2" s="51"/>
      <c r="C2" s="52"/>
      <c r="D2" s="51"/>
      <c r="E2" s="51"/>
      <c r="F2" s="51"/>
      <c r="G2" s="51"/>
      <c r="H2" s="51"/>
      <c r="I2" s="51"/>
      <c r="J2" s="51"/>
      <c r="K2" s="51"/>
      <c r="L2" s="51"/>
      <c r="M2" s="51"/>
      <c r="N2" s="53">
        <f>SUM(N3:N178)</f>
        <v>441</v>
      </c>
      <c r="O2" s="54"/>
      <c r="P2" s="54"/>
      <c r="Q2" s="54"/>
      <c r="R2" s="55"/>
      <c r="S2" s="55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>
      <c r="A3" s="56">
        <v>1.0</v>
      </c>
      <c r="B3" s="57"/>
      <c r="C3" s="16" t="str">
        <f>IFERROR(__xludf.DUMMYFUNCTION("SORT(LET(
 data, VSTACK(MainBoard_MU!C2:I1000, MainBoard_SM!C2:I999, Display_MU!C2:I997, Display_SM!C2:I998, AudioBoard4!C2:I999, AudioBoard2!C2:I999, PowerSupply_MU!C2:I998, PowerSupply_SM!C2:I997, Btn_Panel!C2:I997, POE_Board!C2:I995),   filtered, FILTE"&amp;"R(data, INDEX(data,,1)&lt;&gt;""""),clean, MAP(data, LAMBDA(x, TRIM(x))),
 keys, CHOOSECOLS(filtered,1,2,3,5,6),
 uniqueKeys, UNIQUE(keys),
qty, MAP(
    INDEX(uniqueKeys,,1),
    INDEX(uniqueKeys,,2),
    INDEX(uniqueKeys,,3),
    INDEX(uniqueKeys,,4),
    IND"&amp;"EX(uniqueKeys,,5),
    LAMBDA(a,b,c,d,e,
        SUMPRODUCT(
            (INDEX(filtered,,1)=a)*
            (INDEX(filtered,,2)=b)*
            (INDEX(filtered,,3)=c)*
            (INDEX(filtered,,5)=d)*(INDEX(filtered,,6)=e)*
            VALUE(INDEX(fil"&amp;"tered,,7))
        )
    )
),
 HSTACK(uniqueKeys, qty)
))"),"Capacitor")</f>
        <v>Capacitor</v>
      </c>
      <c r="D3" s="13" t="str">
        <f>IFERROR(__xludf.DUMMYFUNCTION("""COMPUTED_VALUE"""),"0.1uF/100nF")</f>
        <v>0.1uF/100nF</v>
      </c>
      <c r="E3" s="16"/>
      <c r="F3" s="16" t="str">
        <f>IFERROR(__xludf.DUMMYFUNCTION("""COMPUTED_VALUE"""),"SMD")</f>
        <v>SMD</v>
      </c>
      <c r="G3" s="16" t="str">
        <f>IFERROR(__xludf.DUMMYFUNCTION("""COMPUTED_VALUE"""),"C0603")</f>
        <v>C0603</v>
      </c>
      <c r="H3" s="16">
        <f>IFERROR(__xludf.DUMMYFUNCTION("""COMPUTED_VALUE"""),112.0)</f>
        <v>112</v>
      </c>
      <c r="I3" s="16"/>
      <c r="J3" s="16"/>
      <c r="K3" s="16"/>
      <c r="L3" s="16"/>
      <c r="M3" s="13">
        <v>3.0</v>
      </c>
      <c r="N3" s="16">
        <f t="shared" ref="N3:N93" si="1">M3*H3</f>
        <v>336</v>
      </c>
      <c r="O3" s="58">
        <v>8000.0</v>
      </c>
      <c r="P3" s="48">
        <v>28000.0</v>
      </c>
      <c r="Q3" s="54">
        <f t="shared" ref="Q3:Q135" si="2">O3+P3</f>
        <v>36000</v>
      </c>
      <c r="R3" s="55">
        <f t="shared" ref="R3:R135" si="3">H3*250</f>
        <v>28000</v>
      </c>
      <c r="S3" s="55">
        <f t="shared" ref="S3:S135" si="4">Q3-R3</f>
        <v>8000</v>
      </c>
      <c r="T3" s="32"/>
      <c r="U3" s="32"/>
      <c r="V3" s="32"/>
      <c r="W3" s="32"/>
      <c r="X3" s="32"/>
      <c r="Y3" s="32"/>
      <c r="Z3" s="32"/>
      <c r="AA3" s="32"/>
      <c r="AB3" s="32"/>
      <c r="AC3" s="32"/>
    </row>
    <row r="4">
      <c r="A4" s="56">
        <v>2.0</v>
      </c>
      <c r="B4" s="57"/>
      <c r="C4" s="16" t="str">
        <f>IFERROR(__xludf.DUMMYFUNCTION("""COMPUTED_VALUE"""),"Capacitor")</f>
        <v>Capacitor</v>
      </c>
      <c r="D4" s="16" t="str">
        <f>IFERROR(__xludf.DUMMYFUNCTION("""COMPUTED_VALUE"""),"0.22uF/250V")</f>
        <v>0.22uF/250V</v>
      </c>
      <c r="E4" s="16"/>
      <c r="F4" s="16" t="str">
        <f>IFERROR(__xludf.DUMMYFUNCTION("""COMPUTED_VALUE"""),"DIP")</f>
        <v>DIP</v>
      </c>
      <c r="G4" s="16" t="str">
        <f>IFERROR(__xludf.DUMMYFUNCTION("""COMPUTED_VALUE"""),"DIP")</f>
        <v>DIP</v>
      </c>
      <c r="H4" s="16">
        <f>IFERROR(__xludf.DUMMYFUNCTION("""COMPUTED_VALUE"""),6.0)</f>
        <v>6</v>
      </c>
      <c r="I4" s="16"/>
      <c r="J4" s="16"/>
      <c r="K4" s="16"/>
      <c r="L4" s="16"/>
      <c r="M4" s="13">
        <v>3.0</v>
      </c>
      <c r="N4" s="16">
        <f t="shared" si="1"/>
        <v>18</v>
      </c>
      <c r="O4" s="58">
        <v>540.0</v>
      </c>
      <c r="P4" s="48">
        <v>1000.0</v>
      </c>
      <c r="Q4" s="54">
        <f t="shared" si="2"/>
        <v>1540</v>
      </c>
      <c r="R4" s="55">
        <f t="shared" si="3"/>
        <v>1500</v>
      </c>
      <c r="S4" s="55">
        <f t="shared" si="4"/>
        <v>40</v>
      </c>
      <c r="T4" s="32"/>
      <c r="U4" s="32"/>
      <c r="V4" s="32"/>
      <c r="W4" s="32"/>
      <c r="X4" s="32"/>
      <c r="Y4" s="32"/>
      <c r="Z4" s="32"/>
      <c r="AA4" s="32"/>
      <c r="AB4" s="32"/>
      <c r="AC4" s="32"/>
    </row>
    <row r="5">
      <c r="A5" s="56">
        <v>3.0</v>
      </c>
      <c r="B5" s="57"/>
      <c r="C5" s="16" t="str">
        <f>IFERROR(__xludf.DUMMYFUNCTION("""COMPUTED_VALUE"""),"Capacitor")</f>
        <v>Capacitor</v>
      </c>
      <c r="D5" s="16" t="str">
        <f>IFERROR(__xludf.DUMMYFUNCTION("""COMPUTED_VALUE"""),"1000pF/1nf")</f>
        <v>1000pF/1nf</v>
      </c>
      <c r="E5" s="16"/>
      <c r="F5" s="16" t="str">
        <f>IFERROR(__xludf.DUMMYFUNCTION("""COMPUTED_VALUE"""),"SMD")</f>
        <v>SMD</v>
      </c>
      <c r="G5" s="16" t="str">
        <f>IFERROR(__xludf.DUMMYFUNCTION("""COMPUTED_VALUE"""),"C0603")</f>
        <v>C0603</v>
      </c>
      <c r="H5" s="16">
        <f>IFERROR(__xludf.DUMMYFUNCTION("""COMPUTED_VALUE"""),27.0)</f>
        <v>27</v>
      </c>
      <c r="I5" s="16"/>
      <c r="J5" s="16"/>
      <c r="K5" s="16"/>
      <c r="L5" s="16"/>
      <c r="M5" s="13">
        <v>3.0</v>
      </c>
      <c r="N5" s="16">
        <f t="shared" si="1"/>
        <v>81</v>
      </c>
      <c r="O5" s="58">
        <v>1000.0</v>
      </c>
      <c r="P5" s="48">
        <v>8000.0</v>
      </c>
      <c r="Q5" s="54">
        <f t="shared" si="2"/>
        <v>9000</v>
      </c>
      <c r="R5" s="55">
        <f t="shared" si="3"/>
        <v>6750</v>
      </c>
      <c r="S5" s="55">
        <f t="shared" si="4"/>
        <v>2250</v>
      </c>
      <c r="T5" s="32"/>
      <c r="U5" s="32"/>
      <c r="V5" s="32"/>
      <c r="W5" s="32"/>
      <c r="X5" s="32"/>
      <c r="Y5" s="32"/>
      <c r="Z5" s="32"/>
      <c r="AA5" s="32"/>
      <c r="AB5" s="32"/>
      <c r="AC5" s="32"/>
    </row>
    <row r="6">
      <c r="A6" s="56">
        <v>4.0</v>
      </c>
      <c r="B6" s="57"/>
      <c r="C6" s="16" t="str">
        <f>IFERROR(__xludf.DUMMYFUNCTION("""COMPUTED_VALUE"""),"Capacitor")</f>
        <v>Capacitor</v>
      </c>
      <c r="D6" s="16" t="str">
        <f>IFERROR(__xludf.DUMMYFUNCTION("""COMPUTED_VALUE"""),"100pF")</f>
        <v>100pF</v>
      </c>
      <c r="E6" s="16"/>
      <c r="F6" s="16" t="str">
        <f>IFERROR(__xludf.DUMMYFUNCTION("""COMPUTED_VALUE"""),"SMD")</f>
        <v>SMD</v>
      </c>
      <c r="G6" s="16" t="str">
        <f>IFERROR(__xludf.DUMMYFUNCTION("""COMPUTED_VALUE"""),"C0603")</f>
        <v>C0603</v>
      </c>
      <c r="H6" s="16">
        <f>IFERROR(__xludf.DUMMYFUNCTION("""COMPUTED_VALUE"""),2.0)</f>
        <v>2</v>
      </c>
      <c r="I6" s="16"/>
      <c r="J6" s="16"/>
      <c r="K6" s="16"/>
      <c r="L6" s="16"/>
      <c r="M6" s="13">
        <v>3.0</v>
      </c>
      <c r="N6" s="16">
        <f t="shared" si="1"/>
        <v>6</v>
      </c>
      <c r="O6" s="58">
        <v>3500.0</v>
      </c>
      <c r="P6" s="54"/>
      <c r="Q6" s="54">
        <f t="shared" si="2"/>
        <v>3500</v>
      </c>
      <c r="R6" s="55">
        <f t="shared" si="3"/>
        <v>500</v>
      </c>
      <c r="S6" s="55">
        <f t="shared" si="4"/>
        <v>3000</v>
      </c>
      <c r="T6" s="32"/>
      <c r="U6" s="32"/>
      <c r="V6" s="32"/>
      <c r="W6" s="32"/>
      <c r="X6" s="32"/>
      <c r="Y6" s="32"/>
      <c r="Z6" s="32"/>
      <c r="AA6" s="32"/>
      <c r="AB6" s="32"/>
      <c r="AC6" s="32"/>
    </row>
    <row r="7">
      <c r="A7" s="56">
        <v>5.0</v>
      </c>
      <c r="B7" s="57"/>
      <c r="C7" s="16" t="str">
        <f>IFERROR(__xludf.DUMMYFUNCTION("""COMPUTED_VALUE"""),"Capacitor")</f>
        <v>Capacitor</v>
      </c>
      <c r="D7" s="51" t="str">
        <f>IFERROR(__xludf.DUMMYFUNCTION("""COMPUTED_VALUE"""),"100uF/25V")</f>
        <v>100uF/25V</v>
      </c>
      <c r="E7" s="16"/>
      <c r="F7" s="16" t="str">
        <f>IFERROR(__xludf.DUMMYFUNCTION("""COMPUTED_VALUE"""),"DIP")</f>
        <v>DIP</v>
      </c>
      <c r="G7" s="16" t="str">
        <f>IFERROR(__xludf.DUMMYFUNCTION("""COMPUTED_VALUE"""),"DIP 2.50P")</f>
        <v>DIP 2.50P</v>
      </c>
      <c r="H7" s="16">
        <f>IFERROR(__xludf.DUMMYFUNCTION("""COMPUTED_VALUE"""),9.0)</f>
        <v>9</v>
      </c>
      <c r="I7" s="16"/>
      <c r="J7" s="16"/>
      <c r="K7" s="16"/>
      <c r="L7" s="16"/>
      <c r="M7" s="16"/>
      <c r="N7" s="16">
        <f t="shared" si="1"/>
        <v>0</v>
      </c>
      <c r="O7" s="58">
        <v>1250.0</v>
      </c>
      <c r="P7" s="54"/>
      <c r="Q7" s="54">
        <f t="shared" si="2"/>
        <v>1250</v>
      </c>
      <c r="R7" s="55">
        <f t="shared" si="3"/>
        <v>2250</v>
      </c>
      <c r="S7" s="55">
        <f t="shared" si="4"/>
        <v>-1000</v>
      </c>
      <c r="T7" s="32"/>
      <c r="U7" s="32"/>
      <c r="V7" s="32"/>
      <c r="W7" s="32"/>
      <c r="X7" s="32"/>
      <c r="Y7" s="32"/>
      <c r="Z7" s="32"/>
      <c r="AA7" s="32"/>
      <c r="AB7" s="32"/>
      <c r="AC7" s="32"/>
    </row>
    <row r="8">
      <c r="A8" s="56">
        <v>6.0</v>
      </c>
      <c r="B8" s="57"/>
      <c r="C8" s="16" t="str">
        <f>IFERROR(__xludf.DUMMYFUNCTION("""COMPUTED_VALUE"""),"Capacitor")</f>
        <v>Capacitor</v>
      </c>
      <c r="D8" s="16" t="str">
        <f>IFERROR(__xludf.DUMMYFUNCTION("""COMPUTED_VALUE"""),"100uF/25V")</f>
        <v>100uF/25V</v>
      </c>
      <c r="E8" s="16"/>
      <c r="F8" s="16" t="str">
        <f>IFERROR(__xludf.DUMMYFUNCTION("""COMPUTED_VALUE"""),"DIP")</f>
        <v>DIP</v>
      </c>
      <c r="G8" s="16" t="str">
        <f>IFERROR(__xludf.DUMMYFUNCTION("""COMPUTED_VALUE"""),"DIP 2P")</f>
        <v>DIP 2P</v>
      </c>
      <c r="H8" s="16">
        <f>IFERROR(__xludf.DUMMYFUNCTION("""COMPUTED_VALUE"""),5.0)</f>
        <v>5</v>
      </c>
      <c r="I8" s="16"/>
      <c r="J8" s="16"/>
      <c r="K8" s="16"/>
      <c r="L8" s="16"/>
      <c r="M8" s="16"/>
      <c r="N8" s="16">
        <f t="shared" si="1"/>
        <v>0</v>
      </c>
      <c r="O8" s="58">
        <v>1580.0</v>
      </c>
      <c r="P8" s="48"/>
      <c r="Q8" s="54">
        <f t="shared" si="2"/>
        <v>1580</v>
      </c>
      <c r="R8" s="55">
        <f t="shared" si="3"/>
        <v>1250</v>
      </c>
      <c r="S8" s="55">
        <f t="shared" si="4"/>
        <v>330</v>
      </c>
      <c r="T8" s="32"/>
      <c r="U8" s="32"/>
      <c r="V8" s="32"/>
      <c r="W8" s="32"/>
      <c r="X8" s="32"/>
      <c r="Y8" s="32"/>
      <c r="Z8" s="32"/>
      <c r="AA8" s="32"/>
      <c r="AB8" s="32"/>
      <c r="AC8" s="32"/>
    </row>
    <row r="9">
      <c r="A9" s="56">
        <v>7.0</v>
      </c>
      <c r="B9" s="57"/>
      <c r="C9" s="16" t="str">
        <f>IFERROR(__xludf.DUMMYFUNCTION("""COMPUTED_VALUE"""),"Capacitor")</f>
        <v>Capacitor</v>
      </c>
      <c r="D9" s="16" t="str">
        <f>IFERROR(__xludf.DUMMYFUNCTION("""COMPUTED_VALUE"""),"10nF")</f>
        <v>10nF</v>
      </c>
      <c r="E9" s="16"/>
      <c r="F9" s="16" t="str">
        <f>IFERROR(__xludf.DUMMYFUNCTION("""COMPUTED_VALUE"""),"SMD")</f>
        <v>SMD</v>
      </c>
      <c r="G9" s="16" t="str">
        <f>IFERROR(__xludf.DUMMYFUNCTION("""COMPUTED_VALUE"""),"C0603")</f>
        <v>C0603</v>
      </c>
      <c r="H9" s="16">
        <f>IFERROR(__xludf.DUMMYFUNCTION("""COMPUTED_VALUE"""),2.0)</f>
        <v>2</v>
      </c>
      <c r="I9" s="16"/>
      <c r="J9" s="16"/>
      <c r="K9" s="16"/>
      <c r="L9" s="16"/>
      <c r="M9" s="16"/>
      <c r="N9" s="16">
        <f t="shared" si="1"/>
        <v>0</v>
      </c>
      <c r="O9" s="58">
        <v>2000.0</v>
      </c>
      <c r="P9" s="54"/>
      <c r="Q9" s="54">
        <f t="shared" si="2"/>
        <v>2000</v>
      </c>
      <c r="R9" s="55">
        <f t="shared" si="3"/>
        <v>500</v>
      </c>
      <c r="S9" s="55">
        <f t="shared" si="4"/>
        <v>1500</v>
      </c>
      <c r="T9" s="32"/>
      <c r="U9" s="32"/>
      <c r="V9" s="32"/>
      <c r="W9" s="32"/>
      <c r="X9" s="32"/>
      <c r="Y9" s="32"/>
      <c r="Z9" s="32"/>
      <c r="AA9" s="32"/>
      <c r="AB9" s="32"/>
      <c r="AC9" s="32"/>
    </row>
    <row r="10">
      <c r="A10" s="56">
        <v>8.0</v>
      </c>
      <c r="B10" s="57"/>
      <c r="C10" s="16" t="str">
        <f>IFERROR(__xludf.DUMMYFUNCTION("""COMPUTED_VALUE"""),"Capacitor")</f>
        <v>Capacitor</v>
      </c>
      <c r="D10" s="16" t="str">
        <f>IFERROR(__xludf.DUMMYFUNCTION("""COMPUTED_VALUE"""),"10nF/50V")</f>
        <v>10nF/50V</v>
      </c>
      <c r="E10" s="16"/>
      <c r="F10" s="16" t="str">
        <f>IFERROR(__xludf.DUMMYFUNCTION("""COMPUTED_VALUE"""),"SMD")</f>
        <v>SMD</v>
      </c>
      <c r="G10" s="16" t="str">
        <f>IFERROR(__xludf.DUMMYFUNCTION("""COMPUTED_VALUE"""),"C0603")</f>
        <v>C0603</v>
      </c>
      <c r="H10" s="16">
        <f>IFERROR(__xludf.DUMMYFUNCTION("""COMPUTED_VALUE"""),2.0)</f>
        <v>2</v>
      </c>
      <c r="I10" s="16"/>
      <c r="J10" s="16"/>
      <c r="K10" s="16"/>
      <c r="L10" s="16"/>
      <c r="M10" s="16"/>
      <c r="N10" s="16">
        <f t="shared" si="1"/>
        <v>0</v>
      </c>
      <c r="O10" s="58">
        <v>2000.0</v>
      </c>
      <c r="P10" s="54"/>
      <c r="Q10" s="54">
        <f t="shared" si="2"/>
        <v>2000</v>
      </c>
      <c r="R10" s="55">
        <f t="shared" si="3"/>
        <v>500</v>
      </c>
      <c r="S10" s="55">
        <f t="shared" si="4"/>
        <v>1500</v>
      </c>
      <c r="T10" s="32"/>
      <c r="U10" s="32"/>
      <c r="V10" s="32"/>
      <c r="W10" s="32"/>
      <c r="X10" s="32"/>
      <c r="Y10" s="32"/>
      <c r="Z10" s="32"/>
      <c r="AA10" s="32"/>
      <c r="AB10" s="32"/>
      <c r="AC10" s="32"/>
    </row>
    <row r="11">
      <c r="A11" s="56">
        <v>9.0</v>
      </c>
      <c r="B11" s="57"/>
      <c r="C11" s="16" t="str">
        <f>IFERROR(__xludf.DUMMYFUNCTION("""COMPUTED_VALUE"""),"Capacitor")</f>
        <v>Capacitor</v>
      </c>
      <c r="D11" s="16" t="str">
        <f>IFERROR(__xludf.DUMMYFUNCTION("""COMPUTED_VALUE"""),"10pF")</f>
        <v>10pF</v>
      </c>
      <c r="E11" s="16"/>
      <c r="F11" s="16" t="str">
        <f>IFERROR(__xludf.DUMMYFUNCTION("""COMPUTED_VALUE"""),"SMD")</f>
        <v>SMD</v>
      </c>
      <c r="G11" s="16" t="str">
        <f>IFERROR(__xludf.DUMMYFUNCTION("""COMPUTED_VALUE"""),"C0603")</f>
        <v>C0603</v>
      </c>
      <c r="H11" s="16">
        <f>IFERROR(__xludf.DUMMYFUNCTION("""COMPUTED_VALUE"""),12.0)</f>
        <v>12</v>
      </c>
      <c r="I11" s="16"/>
      <c r="J11" s="16"/>
      <c r="K11" s="16"/>
      <c r="L11" s="16"/>
      <c r="M11" s="16"/>
      <c r="N11" s="16">
        <f t="shared" si="1"/>
        <v>0</v>
      </c>
      <c r="O11" s="58">
        <v>2000.0</v>
      </c>
      <c r="P11" s="48">
        <v>1200.0</v>
      </c>
      <c r="Q11" s="54">
        <f t="shared" si="2"/>
        <v>3200</v>
      </c>
      <c r="R11" s="55">
        <f t="shared" si="3"/>
        <v>3000</v>
      </c>
      <c r="S11" s="55">
        <f t="shared" si="4"/>
        <v>200</v>
      </c>
      <c r="T11" s="32"/>
      <c r="U11" s="32"/>
      <c r="V11" s="32"/>
      <c r="W11" s="32"/>
      <c r="X11" s="32"/>
      <c r="Y11" s="32"/>
      <c r="Z11" s="32"/>
      <c r="AA11" s="32"/>
      <c r="AB11" s="32"/>
      <c r="AC11" s="32"/>
    </row>
    <row r="12">
      <c r="A12" s="56">
        <v>10.0</v>
      </c>
      <c r="B12" s="57"/>
      <c r="C12" s="16" t="str">
        <f>IFERROR(__xludf.DUMMYFUNCTION("""COMPUTED_VALUE"""),"Capacitor")</f>
        <v>Capacitor</v>
      </c>
      <c r="D12" s="16" t="str">
        <f>IFERROR(__xludf.DUMMYFUNCTION("""COMPUTED_VALUE"""),"10uF")</f>
        <v>10uF</v>
      </c>
      <c r="E12" s="16" t="str">
        <f>IFERROR(__xludf.DUMMYFUNCTION("""COMPUTED_VALUE"""),"Tantalum")</f>
        <v>Tantalum</v>
      </c>
      <c r="F12" s="16" t="str">
        <f>IFERROR(__xludf.DUMMYFUNCTION("""COMPUTED_VALUE"""),"SMD")</f>
        <v>SMD</v>
      </c>
      <c r="G12" s="16" t="str">
        <f>IFERROR(__xludf.DUMMYFUNCTION("""COMPUTED_VALUE"""),"C1206")</f>
        <v>C1206</v>
      </c>
      <c r="H12" s="16">
        <f>IFERROR(__xludf.DUMMYFUNCTION("""COMPUTED_VALUE"""),2.0)</f>
        <v>2</v>
      </c>
      <c r="I12" s="16"/>
      <c r="J12" s="16"/>
      <c r="K12" s="16"/>
      <c r="L12" s="16"/>
      <c r="M12" s="16"/>
      <c r="N12" s="16">
        <f t="shared" si="1"/>
        <v>0</v>
      </c>
      <c r="O12" s="58">
        <v>1900.0</v>
      </c>
      <c r="P12" s="48">
        <v>600.0</v>
      </c>
      <c r="Q12" s="54">
        <f t="shared" si="2"/>
        <v>2500</v>
      </c>
      <c r="R12" s="55">
        <f t="shared" si="3"/>
        <v>500</v>
      </c>
      <c r="S12" s="55">
        <f t="shared" si="4"/>
        <v>2000</v>
      </c>
      <c r="T12" s="32"/>
      <c r="U12" s="32"/>
      <c r="V12" s="32"/>
      <c r="W12" s="32"/>
      <c r="X12" s="32"/>
      <c r="Y12" s="32"/>
      <c r="Z12" s="32"/>
      <c r="AA12" s="32"/>
      <c r="AB12" s="32"/>
      <c r="AC12" s="32"/>
    </row>
    <row r="13">
      <c r="A13" s="56">
        <v>11.0</v>
      </c>
      <c r="B13" s="57"/>
      <c r="C13" s="16" t="str">
        <f>IFERROR(__xludf.DUMMYFUNCTION("""COMPUTED_VALUE"""),"Capacitor")</f>
        <v>Capacitor</v>
      </c>
      <c r="D13" s="16" t="str">
        <f>IFERROR(__xludf.DUMMYFUNCTION("""COMPUTED_VALUE"""),"10uF/50V")</f>
        <v>10uF/50V</v>
      </c>
      <c r="E13" s="16"/>
      <c r="F13" s="16" t="str">
        <f>IFERROR(__xludf.DUMMYFUNCTION("""COMPUTED_VALUE"""),"SMD")</f>
        <v>SMD</v>
      </c>
      <c r="G13" s="16" t="str">
        <f>IFERROR(__xludf.DUMMYFUNCTION("""COMPUTED_VALUE"""),"C1206")</f>
        <v>C1206</v>
      </c>
      <c r="H13" s="16">
        <f>IFERROR(__xludf.DUMMYFUNCTION("""COMPUTED_VALUE"""),8.0)</f>
        <v>8</v>
      </c>
      <c r="I13" s="16"/>
      <c r="J13" s="16"/>
      <c r="K13" s="16"/>
      <c r="L13" s="16"/>
      <c r="M13" s="16"/>
      <c r="N13" s="16">
        <f t="shared" si="1"/>
        <v>0</v>
      </c>
      <c r="O13" s="58">
        <v>1100.0</v>
      </c>
      <c r="P13" s="54"/>
      <c r="Q13" s="54">
        <f t="shared" si="2"/>
        <v>1100</v>
      </c>
      <c r="R13" s="55">
        <f t="shared" si="3"/>
        <v>2000</v>
      </c>
      <c r="S13" s="55">
        <f t="shared" si="4"/>
        <v>-900</v>
      </c>
      <c r="T13" s="32"/>
      <c r="U13" s="32"/>
      <c r="V13" s="32"/>
      <c r="W13" s="32"/>
      <c r="X13" s="32"/>
      <c r="Y13" s="32"/>
      <c r="Z13" s="32"/>
      <c r="AA13" s="32"/>
      <c r="AB13" s="32"/>
      <c r="AC13" s="32"/>
    </row>
    <row r="14">
      <c r="A14" s="56">
        <v>12.0</v>
      </c>
      <c r="B14" s="57"/>
      <c r="C14" s="16" t="str">
        <f>IFERROR(__xludf.DUMMYFUNCTION("""COMPUTED_VALUE"""),"Capacitor")</f>
        <v>Capacitor</v>
      </c>
      <c r="D14" s="16" t="str">
        <f>IFERROR(__xludf.DUMMYFUNCTION("""COMPUTED_VALUE"""),"1uF")</f>
        <v>1uF</v>
      </c>
      <c r="E14" s="16"/>
      <c r="F14" s="16" t="str">
        <f>IFERROR(__xludf.DUMMYFUNCTION("""COMPUTED_VALUE"""),"DIP")</f>
        <v>DIP</v>
      </c>
      <c r="G14" s="16" t="str">
        <f>IFERROR(__xludf.DUMMYFUNCTION("""COMPUTED_VALUE"""),"2P_1.5mm pitch")</f>
        <v>2P_1.5mm pitch</v>
      </c>
      <c r="H14" s="16">
        <f>IFERROR(__xludf.DUMMYFUNCTION("""COMPUTED_VALUE"""),1.0)</f>
        <v>1</v>
      </c>
      <c r="I14" s="16"/>
      <c r="J14" s="16"/>
      <c r="K14" s="16"/>
      <c r="L14" s="16"/>
      <c r="M14" s="16"/>
      <c r="N14" s="16">
        <f t="shared" si="1"/>
        <v>0</v>
      </c>
      <c r="O14" s="58">
        <v>4000.0</v>
      </c>
      <c r="P14" s="48">
        <v>8000.0</v>
      </c>
      <c r="Q14" s="54">
        <f t="shared" si="2"/>
        <v>12000</v>
      </c>
      <c r="R14" s="55">
        <f t="shared" si="3"/>
        <v>250</v>
      </c>
      <c r="S14" s="55">
        <f t="shared" si="4"/>
        <v>11750</v>
      </c>
      <c r="T14" s="32"/>
      <c r="U14" s="32"/>
      <c r="V14" s="32"/>
      <c r="W14" s="32"/>
      <c r="X14" s="32"/>
      <c r="Y14" s="32"/>
      <c r="Z14" s="32"/>
      <c r="AA14" s="32"/>
      <c r="AB14" s="32"/>
      <c r="AC14" s="32"/>
    </row>
    <row r="15">
      <c r="A15" s="56">
        <v>13.0</v>
      </c>
      <c r="B15" s="57"/>
      <c r="C15" s="16" t="str">
        <f>IFERROR(__xludf.DUMMYFUNCTION("""COMPUTED_VALUE"""),"Capacitor")</f>
        <v>Capacitor</v>
      </c>
      <c r="D15" s="16" t="str">
        <f>IFERROR(__xludf.DUMMYFUNCTION("""COMPUTED_VALUE"""),"1uF")</f>
        <v>1uF</v>
      </c>
      <c r="E15" s="16"/>
      <c r="F15" s="16" t="str">
        <f>IFERROR(__xludf.DUMMYFUNCTION("""COMPUTED_VALUE"""),"SMD")</f>
        <v>SMD</v>
      </c>
      <c r="G15" s="16" t="str">
        <f>IFERROR(__xludf.DUMMYFUNCTION("""COMPUTED_VALUE"""),"C0603")</f>
        <v>C0603</v>
      </c>
      <c r="H15" s="16">
        <f>IFERROR(__xludf.DUMMYFUNCTION("""COMPUTED_VALUE"""),26.0)</f>
        <v>26</v>
      </c>
      <c r="I15" s="16"/>
      <c r="J15" s="16"/>
      <c r="K15" s="16"/>
      <c r="L15" s="16"/>
      <c r="M15" s="16"/>
      <c r="N15" s="16">
        <f t="shared" si="1"/>
        <v>0</v>
      </c>
      <c r="O15" s="58">
        <v>3500.0</v>
      </c>
      <c r="P15" s="54"/>
      <c r="Q15" s="54">
        <f t="shared" si="2"/>
        <v>3500</v>
      </c>
      <c r="R15" s="55">
        <f t="shared" si="3"/>
        <v>6500</v>
      </c>
      <c r="S15" s="55">
        <f t="shared" si="4"/>
        <v>-3000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</row>
    <row r="16">
      <c r="A16" s="56">
        <v>14.0</v>
      </c>
      <c r="B16" s="57"/>
      <c r="C16" s="16" t="str">
        <f>IFERROR(__xludf.DUMMYFUNCTION("""COMPUTED_VALUE"""),"Capacitor")</f>
        <v>Capacitor</v>
      </c>
      <c r="D16" s="16" t="str">
        <f>IFERROR(__xludf.DUMMYFUNCTION("""COMPUTED_VALUE"""),"2.2uF/50V")</f>
        <v>2.2uF/50V</v>
      </c>
      <c r="E16" s="16"/>
      <c r="F16" s="16" t="str">
        <f>IFERROR(__xludf.DUMMYFUNCTION("""COMPUTED_VALUE"""),"SMD")</f>
        <v>SMD</v>
      </c>
      <c r="G16" s="16" t="str">
        <f>IFERROR(__xludf.DUMMYFUNCTION("""COMPUTED_VALUE"""),"C0805")</f>
        <v>C0805</v>
      </c>
      <c r="H16" s="16">
        <f>IFERROR(__xludf.DUMMYFUNCTION("""COMPUTED_VALUE"""),2.0)</f>
        <v>2</v>
      </c>
      <c r="I16" s="16"/>
      <c r="J16" s="16"/>
      <c r="K16" s="16"/>
      <c r="L16" s="16"/>
      <c r="M16" s="16"/>
      <c r="N16" s="16">
        <f t="shared" si="1"/>
        <v>0</v>
      </c>
      <c r="O16" s="58">
        <v>0.0</v>
      </c>
      <c r="P16" s="48">
        <v>1200.0</v>
      </c>
      <c r="Q16" s="54">
        <f t="shared" si="2"/>
        <v>1200</v>
      </c>
      <c r="R16" s="55">
        <f t="shared" si="3"/>
        <v>500</v>
      </c>
      <c r="S16" s="55">
        <f t="shared" si="4"/>
        <v>700</v>
      </c>
      <c r="T16" s="32"/>
      <c r="U16" s="32"/>
      <c r="V16" s="32"/>
      <c r="W16" s="32"/>
      <c r="X16" s="32"/>
      <c r="Y16" s="32"/>
      <c r="Z16" s="32"/>
      <c r="AA16" s="32"/>
      <c r="AB16" s="32"/>
      <c r="AC16" s="32"/>
    </row>
    <row r="17">
      <c r="A17" s="56">
        <v>15.0</v>
      </c>
      <c r="B17" s="57"/>
      <c r="C17" s="16" t="str">
        <f>IFERROR(__xludf.DUMMYFUNCTION("""COMPUTED_VALUE"""),"Capacitor")</f>
        <v>Capacitor</v>
      </c>
      <c r="D17" s="16" t="str">
        <f>IFERROR(__xludf.DUMMYFUNCTION("""COMPUTED_VALUE"""),"22uF/16V")</f>
        <v>22uF/16V</v>
      </c>
      <c r="E17" s="16"/>
      <c r="F17" s="16" t="str">
        <f>IFERROR(__xludf.DUMMYFUNCTION("""COMPUTED_VALUE"""),"DIP")</f>
        <v>DIP</v>
      </c>
      <c r="G17" s="16" t="str">
        <f>IFERROR(__xludf.DUMMYFUNCTION("""COMPUTED_VALUE"""),"100UFX16V CAPACITOR D5.0XF11.0")</f>
        <v>100UFX16V CAPACITOR D5.0XF11.0</v>
      </c>
      <c r="H17" s="16">
        <f>IFERROR(__xludf.DUMMYFUNCTION("""COMPUTED_VALUE"""),2.0)</f>
        <v>2</v>
      </c>
      <c r="I17" s="16"/>
      <c r="J17" s="16"/>
      <c r="K17" s="16"/>
      <c r="L17" s="16"/>
      <c r="M17" s="16"/>
      <c r="N17" s="16">
        <f t="shared" si="1"/>
        <v>0</v>
      </c>
      <c r="O17" s="58">
        <v>950.0</v>
      </c>
      <c r="P17" s="48">
        <v>1000.0</v>
      </c>
      <c r="Q17" s="54">
        <f t="shared" si="2"/>
        <v>1950</v>
      </c>
      <c r="R17" s="55">
        <f t="shared" si="3"/>
        <v>500</v>
      </c>
      <c r="S17" s="55">
        <f t="shared" si="4"/>
        <v>1450</v>
      </c>
      <c r="T17" s="32"/>
      <c r="U17" s="32"/>
      <c r="V17" s="32"/>
      <c r="W17" s="32"/>
      <c r="X17" s="32"/>
      <c r="Y17" s="32"/>
      <c r="Z17" s="32"/>
      <c r="AA17" s="32"/>
      <c r="AB17" s="32"/>
      <c r="AC17" s="32"/>
    </row>
    <row r="18">
      <c r="A18" s="56">
        <v>16.0</v>
      </c>
      <c r="B18" s="57"/>
      <c r="C18" s="16" t="str">
        <f>IFERROR(__xludf.DUMMYFUNCTION("""COMPUTED_VALUE"""),"Capacitor")</f>
        <v>Capacitor</v>
      </c>
      <c r="D18" s="16" t="str">
        <f>IFERROR(__xludf.DUMMYFUNCTION("""COMPUTED_VALUE"""),"22Uf/25V")</f>
        <v>22Uf/25V</v>
      </c>
      <c r="E18" s="16"/>
      <c r="F18" s="16" t="str">
        <f>IFERROR(__xludf.DUMMYFUNCTION("""COMPUTED_VALUE"""),"SMD")</f>
        <v>SMD</v>
      </c>
      <c r="G18" s="16" t="str">
        <f>IFERROR(__xludf.DUMMYFUNCTION("""COMPUTED_VALUE"""),"C1210")</f>
        <v>C1210</v>
      </c>
      <c r="H18" s="16">
        <f>IFERROR(__xludf.DUMMYFUNCTION("""COMPUTED_VALUE"""),4.0)</f>
        <v>4</v>
      </c>
      <c r="I18" s="16"/>
      <c r="J18" s="16"/>
      <c r="K18" s="16"/>
      <c r="L18" s="16"/>
      <c r="M18" s="16"/>
      <c r="N18" s="16">
        <f t="shared" si="1"/>
        <v>0</v>
      </c>
      <c r="O18" s="58">
        <v>250.0</v>
      </c>
      <c r="P18" s="48">
        <v>1000.0</v>
      </c>
      <c r="Q18" s="54">
        <f t="shared" si="2"/>
        <v>1250</v>
      </c>
      <c r="R18" s="55">
        <f t="shared" si="3"/>
        <v>1000</v>
      </c>
      <c r="S18" s="55">
        <f t="shared" si="4"/>
        <v>250</v>
      </c>
      <c r="T18" s="32"/>
      <c r="U18" s="32"/>
      <c r="V18" s="32"/>
      <c r="W18" s="32"/>
      <c r="X18" s="32"/>
      <c r="Y18" s="32"/>
      <c r="Z18" s="32"/>
      <c r="AA18" s="32"/>
      <c r="AB18" s="32"/>
      <c r="AC18" s="32"/>
    </row>
    <row r="19">
      <c r="A19" s="56">
        <v>17.0</v>
      </c>
      <c r="B19" s="57"/>
      <c r="C19" s="16" t="str">
        <f>IFERROR(__xludf.DUMMYFUNCTION("""COMPUTED_VALUE"""),"Capacitor")</f>
        <v>Capacitor</v>
      </c>
      <c r="D19" s="16" t="str">
        <f>IFERROR(__xludf.DUMMYFUNCTION("""COMPUTED_VALUE"""),"27pF")</f>
        <v>27pF</v>
      </c>
      <c r="E19" s="16"/>
      <c r="F19" s="16" t="str">
        <f>IFERROR(__xludf.DUMMYFUNCTION("""COMPUTED_VALUE"""),"SMD")</f>
        <v>SMD</v>
      </c>
      <c r="G19" s="16" t="str">
        <f>IFERROR(__xludf.DUMMYFUNCTION("""COMPUTED_VALUE"""),"C0603")</f>
        <v>C0603</v>
      </c>
      <c r="H19" s="16">
        <f>IFERROR(__xludf.DUMMYFUNCTION("""COMPUTED_VALUE"""),7.0)</f>
        <v>7</v>
      </c>
      <c r="I19" s="16"/>
      <c r="J19" s="16"/>
      <c r="K19" s="16"/>
      <c r="L19" s="16"/>
      <c r="M19" s="16"/>
      <c r="N19" s="16">
        <f t="shared" si="1"/>
        <v>0</v>
      </c>
      <c r="O19" s="58">
        <v>3500.0</v>
      </c>
      <c r="P19" s="54"/>
      <c r="Q19" s="54">
        <f t="shared" si="2"/>
        <v>3500</v>
      </c>
      <c r="R19" s="55">
        <f t="shared" si="3"/>
        <v>1750</v>
      </c>
      <c r="S19" s="55">
        <f t="shared" si="4"/>
        <v>1750</v>
      </c>
      <c r="T19" s="32"/>
      <c r="U19" s="32"/>
      <c r="V19" s="32"/>
      <c r="W19" s="32"/>
      <c r="X19" s="32"/>
      <c r="Y19" s="32"/>
      <c r="Z19" s="32"/>
      <c r="AA19" s="32"/>
      <c r="AB19" s="32"/>
      <c r="AC19" s="32"/>
    </row>
    <row r="20">
      <c r="A20" s="56">
        <v>18.0</v>
      </c>
      <c r="B20" s="57"/>
      <c r="C20" s="16" t="str">
        <f>IFERROR(__xludf.DUMMYFUNCTION("""COMPUTED_VALUE"""),"Capacitor")</f>
        <v>Capacitor</v>
      </c>
      <c r="D20" s="16" t="str">
        <f>IFERROR(__xludf.DUMMYFUNCTION("""COMPUTED_VALUE"""),"39pF/50V")</f>
        <v>39pF/50V</v>
      </c>
      <c r="E20" s="16"/>
      <c r="F20" s="16" t="str">
        <f>IFERROR(__xludf.DUMMYFUNCTION("""COMPUTED_VALUE"""),"SMD")</f>
        <v>SMD</v>
      </c>
      <c r="G20" s="16" t="str">
        <f>IFERROR(__xludf.DUMMYFUNCTION("""COMPUTED_VALUE"""),"C0603")</f>
        <v>C0603</v>
      </c>
      <c r="H20" s="16">
        <f>IFERROR(__xludf.DUMMYFUNCTION("""COMPUTED_VALUE"""),4.0)</f>
        <v>4</v>
      </c>
      <c r="I20" s="16"/>
      <c r="J20" s="16"/>
      <c r="K20" s="16"/>
      <c r="L20" s="16"/>
      <c r="M20" s="16"/>
      <c r="N20" s="16">
        <f t="shared" si="1"/>
        <v>0</v>
      </c>
      <c r="O20" s="58">
        <v>3300.0</v>
      </c>
      <c r="P20" s="54"/>
      <c r="Q20" s="54">
        <f t="shared" si="2"/>
        <v>3300</v>
      </c>
      <c r="R20" s="55">
        <f t="shared" si="3"/>
        <v>1000</v>
      </c>
      <c r="S20" s="55">
        <f t="shared" si="4"/>
        <v>2300</v>
      </c>
      <c r="T20" s="32"/>
      <c r="U20" s="32"/>
      <c r="V20" s="32"/>
      <c r="W20" s="32"/>
      <c r="X20" s="32"/>
      <c r="Y20" s="32"/>
      <c r="Z20" s="32"/>
      <c r="AA20" s="32"/>
      <c r="AB20" s="32"/>
      <c r="AC20" s="32"/>
    </row>
    <row r="21">
      <c r="A21" s="56">
        <v>19.0</v>
      </c>
      <c r="B21" s="57"/>
      <c r="C21" s="16" t="str">
        <f>IFERROR(__xludf.DUMMYFUNCTION("""COMPUTED_VALUE"""),"Capacitor")</f>
        <v>Capacitor</v>
      </c>
      <c r="D21" s="16" t="str">
        <f>IFERROR(__xludf.DUMMYFUNCTION("""COMPUTED_VALUE"""),"470nF")</f>
        <v>470nF</v>
      </c>
      <c r="E21" s="16"/>
      <c r="F21" s="16" t="str">
        <f>IFERROR(__xludf.DUMMYFUNCTION("""COMPUTED_VALUE"""),"SMD")</f>
        <v>SMD</v>
      </c>
      <c r="G21" s="16" t="str">
        <f>IFERROR(__xludf.DUMMYFUNCTION("""COMPUTED_VALUE"""),"C0603")</f>
        <v>C0603</v>
      </c>
      <c r="H21" s="16">
        <f>IFERROR(__xludf.DUMMYFUNCTION("""COMPUTED_VALUE"""),6.0)</f>
        <v>6</v>
      </c>
      <c r="I21" s="16"/>
      <c r="J21" s="16"/>
      <c r="K21" s="16"/>
      <c r="L21" s="16"/>
      <c r="M21" s="16"/>
      <c r="N21" s="16">
        <f t="shared" si="1"/>
        <v>0</v>
      </c>
      <c r="O21" s="58">
        <v>3000.0</v>
      </c>
      <c r="P21" s="54"/>
      <c r="Q21" s="54">
        <f t="shared" si="2"/>
        <v>3000</v>
      </c>
      <c r="R21" s="55">
        <f t="shared" si="3"/>
        <v>1500</v>
      </c>
      <c r="S21" s="55">
        <f t="shared" si="4"/>
        <v>1500</v>
      </c>
      <c r="T21" s="32"/>
      <c r="U21" s="32"/>
      <c r="V21" s="32"/>
      <c r="W21" s="32"/>
      <c r="X21" s="32"/>
      <c r="Y21" s="32"/>
      <c r="Z21" s="32"/>
      <c r="AA21" s="32"/>
      <c r="AB21" s="32"/>
      <c r="AC21" s="32"/>
    </row>
    <row r="22">
      <c r="A22" s="56">
        <v>20.0</v>
      </c>
      <c r="B22" s="57"/>
      <c r="C22" s="16" t="str">
        <f>IFERROR(__xludf.DUMMYFUNCTION("""COMPUTED_VALUE"""),"Capacitor")</f>
        <v>Capacitor</v>
      </c>
      <c r="D22" s="16" t="str">
        <f>IFERROR(__xludf.DUMMYFUNCTION("""COMPUTED_VALUE"""),"470uF/16V")</f>
        <v>470uF/16V</v>
      </c>
      <c r="E22" s="16"/>
      <c r="F22" s="16" t="str">
        <f>IFERROR(__xludf.DUMMYFUNCTION("""COMPUTED_VALUE"""),"DIP")</f>
        <v>DIP</v>
      </c>
      <c r="G22" s="16" t="str">
        <f>IFERROR(__xludf.DUMMYFUNCTION("""COMPUTED_VALUE"""),"CAP-TH_BD10.0-P5.00-D1.0-FD")</f>
        <v>CAP-TH_BD10.0-P5.00-D1.0-FD</v>
      </c>
      <c r="H22" s="16">
        <f>IFERROR(__xludf.DUMMYFUNCTION("""COMPUTED_VALUE"""),6.0)</f>
        <v>6</v>
      </c>
      <c r="I22" s="16"/>
      <c r="J22" s="16"/>
      <c r="K22" s="16"/>
      <c r="L22" s="16"/>
      <c r="M22" s="16"/>
      <c r="N22" s="16">
        <f t="shared" si="1"/>
        <v>0</v>
      </c>
      <c r="O22" s="58">
        <v>500.0</v>
      </c>
      <c r="P22" s="48">
        <v>2500.0</v>
      </c>
      <c r="Q22" s="54">
        <f t="shared" si="2"/>
        <v>3000</v>
      </c>
      <c r="R22" s="55">
        <f t="shared" si="3"/>
        <v>1500</v>
      </c>
      <c r="S22" s="55">
        <f t="shared" si="4"/>
        <v>1500</v>
      </c>
      <c r="T22" s="32"/>
      <c r="U22" s="32"/>
      <c r="V22" s="32"/>
      <c r="W22" s="32"/>
      <c r="X22" s="32"/>
      <c r="Y22" s="32"/>
      <c r="Z22" s="32"/>
      <c r="AA22" s="32"/>
      <c r="AB22" s="32"/>
      <c r="AC22" s="32"/>
    </row>
    <row r="23">
      <c r="A23" s="56">
        <v>21.0</v>
      </c>
      <c r="B23" s="57"/>
      <c r="C23" s="16" t="str">
        <f>IFERROR(__xludf.DUMMYFUNCTION("""COMPUTED_VALUE"""),"Capacitor")</f>
        <v>Capacitor</v>
      </c>
      <c r="D23" s="16" t="str">
        <f>IFERROR(__xludf.DUMMYFUNCTION("""COMPUTED_VALUE"""),"47uF/63V")</f>
        <v>47uF/63V</v>
      </c>
      <c r="E23" s="16"/>
      <c r="F23" s="16" t="str">
        <f>IFERROR(__xludf.DUMMYFUNCTION("""COMPUTED_VALUE"""),"DIP")</f>
        <v>DIP</v>
      </c>
      <c r="G23" s="16" t="str">
        <f>IFERROR(__xludf.DUMMYFUNCTION("""COMPUTED_VALUE"""),"CAP-TH_BD6.3-P2.50-D0.5-FD")</f>
        <v>CAP-TH_BD6.3-P2.50-D0.5-FD</v>
      </c>
      <c r="H23" s="16">
        <f>IFERROR(__xludf.DUMMYFUNCTION("""COMPUTED_VALUE"""),2.0)</f>
        <v>2</v>
      </c>
      <c r="I23" s="16"/>
      <c r="J23" s="16"/>
      <c r="K23" s="16"/>
      <c r="L23" s="16"/>
      <c r="M23" s="16"/>
      <c r="N23" s="16">
        <f t="shared" si="1"/>
        <v>0</v>
      </c>
      <c r="O23" s="58">
        <v>1200.0</v>
      </c>
      <c r="P23" s="54"/>
      <c r="Q23" s="54">
        <f t="shared" si="2"/>
        <v>1200</v>
      </c>
      <c r="R23" s="55">
        <f t="shared" si="3"/>
        <v>500</v>
      </c>
      <c r="S23" s="55">
        <f t="shared" si="4"/>
        <v>700</v>
      </c>
      <c r="T23" s="32"/>
      <c r="U23" s="32"/>
      <c r="V23" s="32"/>
      <c r="W23" s="32"/>
      <c r="X23" s="32"/>
      <c r="Y23" s="32"/>
      <c r="Z23" s="32"/>
      <c r="AA23" s="32"/>
      <c r="AB23" s="32"/>
      <c r="AC23" s="32"/>
    </row>
    <row r="24">
      <c r="A24" s="56">
        <v>22.0</v>
      </c>
      <c r="B24" s="57"/>
      <c r="C24" s="16" t="str">
        <f>IFERROR(__xludf.DUMMYFUNCTION("""COMPUTED_VALUE"""),"Choke Coil")</f>
        <v>Choke Coil</v>
      </c>
      <c r="D24" s="16" t="str">
        <f>IFERROR(__xludf.DUMMYFUNCTION("""COMPUTED_VALUE"""),"13uH 6A 14mOhm")</f>
        <v>13uH 6A 14mOhm</v>
      </c>
      <c r="E24" s="16">
        <f>IFERROR(__xludf.DUMMYFUNCTION("""COMPUTED_VALUE"""),7.44237102E8)</f>
        <v>744237102</v>
      </c>
      <c r="F24" s="16" t="str">
        <f>IFERROR(__xludf.DUMMYFUNCTION("""COMPUTED_VALUE"""),"SMD")</f>
        <v>SMD</v>
      </c>
      <c r="G24" s="16">
        <f>IFERROR(__xludf.DUMMYFUNCTION("""COMPUTED_VALUE"""),7.44237102E8)</f>
        <v>744237102</v>
      </c>
      <c r="H24" s="16">
        <f>IFERROR(__xludf.DUMMYFUNCTION("""COMPUTED_VALUE"""),2.0)</f>
        <v>2</v>
      </c>
      <c r="I24" s="16"/>
      <c r="J24" s="16"/>
      <c r="K24" s="16"/>
      <c r="L24" s="16"/>
      <c r="M24" s="16"/>
      <c r="N24" s="16">
        <f t="shared" si="1"/>
        <v>0</v>
      </c>
      <c r="O24" s="58">
        <v>3000.0</v>
      </c>
      <c r="P24" s="48">
        <v>600.0</v>
      </c>
      <c r="Q24" s="54">
        <f t="shared" si="2"/>
        <v>3600</v>
      </c>
      <c r="R24" s="55">
        <f t="shared" si="3"/>
        <v>500</v>
      </c>
      <c r="S24" s="55">
        <f t="shared" si="4"/>
        <v>3100</v>
      </c>
      <c r="T24" s="32"/>
      <c r="U24" s="32"/>
      <c r="V24" s="32"/>
      <c r="W24" s="32"/>
      <c r="X24" s="32"/>
      <c r="Y24" s="32"/>
      <c r="Z24" s="32"/>
      <c r="AA24" s="32"/>
      <c r="AB24" s="32"/>
      <c r="AC24" s="32"/>
    </row>
    <row r="25">
      <c r="A25" s="56">
        <v>23.0</v>
      </c>
      <c r="B25" s="13"/>
      <c r="C25" s="16" t="str">
        <f>IFERROR(__xludf.DUMMYFUNCTION("""COMPUTED_VALUE"""),"Component")</f>
        <v>Component</v>
      </c>
      <c r="D25" s="16" t="str">
        <f>IFERROR(__xludf.DUMMYFUNCTION("""COMPUTED_VALUE"""),"Buzzer")</f>
        <v>Buzzer</v>
      </c>
      <c r="E25" s="16" t="str">
        <f>IFERROR(__xludf.DUMMYFUNCTION("""COMPUTED_VALUE"""),"CMI1295IC0585T")</f>
        <v>CMI1295IC0585T</v>
      </c>
      <c r="F25" s="16" t="str">
        <f>IFERROR(__xludf.DUMMYFUNCTION("""COMPUTED_VALUE"""),"DIP")</f>
        <v>DIP</v>
      </c>
      <c r="G25" s="16" t="str">
        <f>IFERROR(__xludf.DUMMYFUNCTION("""COMPUTED_VALUE"""),"DIP 7.60P 12.00Dia")</f>
        <v>DIP 7.60P 12.00Dia</v>
      </c>
      <c r="H25" s="16">
        <f>IFERROR(__xludf.DUMMYFUNCTION("""COMPUTED_VALUE"""),2.0)</f>
        <v>2</v>
      </c>
      <c r="I25" s="16"/>
      <c r="J25" s="16"/>
      <c r="K25" s="13" t="s">
        <v>464</v>
      </c>
      <c r="L25" s="13" t="s">
        <v>464</v>
      </c>
      <c r="M25" s="16"/>
      <c r="N25" s="16">
        <f t="shared" si="1"/>
        <v>0</v>
      </c>
      <c r="O25" s="47">
        <v>14.0</v>
      </c>
      <c r="P25" s="48">
        <v>500.0</v>
      </c>
      <c r="Q25" s="54">
        <f t="shared" si="2"/>
        <v>514</v>
      </c>
      <c r="R25" s="55">
        <f t="shared" si="3"/>
        <v>500</v>
      </c>
      <c r="S25" s="55">
        <f t="shared" si="4"/>
        <v>14</v>
      </c>
      <c r="T25" s="32"/>
      <c r="U25" s="32"/>
      <c r="V25" s="32"/>
      <c r="W25" s="32"/>
      <c r="X25" s="32"/>
      <c r="Y25" s="32"/>
      <c r="Z25" s="32"/>
      <c r="AA25" s="32"/>
      <c r="AB25" s="32"/>
      <c r="AC25" s="32"/>
    </row>
    <row r="26">
      <c r="A26" s="59">
        <v>24.0</v>
      </c>
      <c r="B26" s="60"/>
      <c r="C26" s="61" t="str">
        <f>IFERROR(__xludf.DUMMYFUNCTION("""COMPUTED_VALUE"""),"Connector")</f>
        <v>Connector</v>
      </c>
      <c r="D26" s="61" t="str">
        <f>IFERROR(__xludf.DUMMYFUNCTION("""COMPUTED_VALUE"""),"2 Position Wire to Board Terminal Block Horizontal with Board 0.200"" (5.08mm) Through Hole")</f>
        <v>2 Position Wire to Board Terminal Block Horizontal with Board 0.200" (5.08mm) Through Hole</v>
      </c>
      <c r="E26" s="61">
        <f>IFERROR(__xludf.DUMMYFUNCTION("""COMPUTED_VALUE"""),6.91213510002E11)</f>
        <v>691213510002</v>
      </c>
      <c r="F26" s="61" t="str">
        <f>IFERROR(__xludf.DUMMYFUNCTION("""COMPUTED_VALUE"""),"DIP")</f>
        <v>DIP</v>
      </c>
      <c r="G26" s="61" t="str">
        <f>IFERROR(__xludf.DUMMYFUNCTION("""COMPUTED_VALUE"""),"Green Header 2-pin 4.5mm pitch")</f>
        <v>Green Header 2-pin 4.5mm pitch</v>
      </c>
      <c r="H26" s="61">
        <f>IFERROR(__xludf.DUMMYFUNCTION("""COMPUTED_VALUE"""),3.0)</f>
        <v>3</v>
      </c>
      <c r="I26" s="61"/>
      <c r="J26" s="61"/>
      <c r="K26" s="61"/>
      <c r="L26" s="61"/>
      <c r="M26" s="61"/>
      <c r="N26" s="61">
        <f t="shared" si="1"/>
        <v>0</v>
      </c>
      <c r="O26" s="62">
        <v>24.0</v>
      </c>
      <c r="P26" s="63">
        <v>494.0</v>
      </c>
      <c r="Q26" s="64">
        <f t="shared" si="2"/>
        <v>518</v>
      </c>
      <c r="R26" s="65">
        <f t="shared" si="3"/>
        <v>750</v>
      </c>
      <c r="S26" s="65">
        <f t="shared" si="4"/>
        <v>-232</v>
      </c>
      <c r="T26" s="65"/>
      <c r="U26" s="65"/>
      <c r="V26" s="65"/>
      <c r="W26" s="65"/>
      <c r="X26" s="65"/>
      <c r="Y26" s="65"/>
      <c r="Z26" s="65"/>
      <c r="AA26" s="65"/>
      <c r="AB26" s="65"/>
      <c r="AC26" s="65"/>
    </row>
    <row r="27">
      <c r="A27" s="59">
        <v>25.0</v>
      </c>
      <c r="B27" s="60"/>
      <c r="C27" s="61" t="str">
        <f>IFERROR(__xludf.DUMMYFUNCTION("""COMPUTED_VALUE"""),"Connector")</f>
        <v>Connector</v>
      </c>
      <c r="D27" s="61" t="str">
        <f>IFERROR(__xludf.DUMMYFUNCTION("""COMPUTED_VALUE"""),"Audio Jack")</f>
        <v>Audio Jack</v>
      </c>
      <c r="E27" s="61" t="str">
        <f>IFERROR(__xludf.DUMMYFUNCTION("""COMPUTED_VALUE"""),"SJ3-35083B-TR")</f>
        <v>SJ3-35083B-TR</v>
      </c>
      <c r="F27" s="61" t="str">
        <f>IFERROR(__xludf.DUMMYFUNCTION("""COMPUTED_VALUE"""),"DIP")</f>
        <v>DIP</v>
      </c>
      <c r="G27" s="61" t="str">
        <f>IFERROR(__xludf.DUMMYFUNCTION("""COMPUTED_VALUE"""),"AUDIO-TH_SJ3-35083B-TR")</f>
        <v>AUDIO-TH_SJ3-35083B-TR</v>
      </c>
      <c r="H27" s="61">
        <f>IFERROR(__xludf.DUMMYFUNCTION("""COMPUTED_VALUE"""),4.0)</f>
        <v>4</v>
      </c>
      <c r="I27" s="60"/>
      <c r="J27" s="60"/>
      <c r="K27" s="60" t="s">
        <v>464</v>
      </c>
      <c r="L27" s="60" t="s">
        <v>464</v>
      </c>
      <c r="M27" s="61"/>
      <c r="N27" s="61">
        <f t="shared" si="1"/>
        <v>0</v>
      </c>
      <c r="O27" s="62">
        <v>30.0</v>
      </c>
      <c r="P27" s="63">
        <v>700.0</v>
      </c>
      <c r="Q27" s="64">
        <f t="shared" si="2"/>
        <v>730</v>
      </c>
      <c r="R27" s="65">
        <f t="shared" si="3"/>
        <v>1000</v>
      </c>
      <c r="S27" s="65">
        <f t="shared" si="4"/>
        <v>-270</v>
      </c>
      <c r="T27" s="65"/>
      <c r="U27" s="65"/>
      <c r="V27" s="65"/>
      <c r="W27" s="65"/>
      <c r="X27" s="65"/>
      <c r="Y27" s="65"/>
      <c r="Z27" s="65"/>
      <c r="AA27" s="65"/>
      <c r="AB27" s="65"/>
      <c r="AC27" s="65"/>
    </row>
    <row r="28">
      <c r="A28" s="66">
        <v>26.0</v>
      </c>
      <c r="B28" s="67"/>
      <c r="C28" s="68" t="str">
        <f>IFERROR(__xludf.DUMMYFUNCTION("""COMPUTED_VALUE"""),"Connector")</f>
        <v>Connector</v>
      </c>
      <c r="D28" s="68" t="str">
        <f>IFERROR(__xludf.DUMMYFUNCTION("""COMPUTED_VALUE"""),"CON2-1.25*2P-SMD")</f>
        <v>CON2-1.25*2P-SMD</v>
      </c>
      <c r="E28" s="68">
        <f>IFERROR(__xludf.DUMMYFUNCTION("""COMPUTED_VALUE"""),6.53102124022E11)</f>
        <v>653102124022</v>
      </c>
      <c r="F28" s="68" t="str">
        <f>IFERROR(__xludf.DUMMYFUNCTION("""COMPUTED_VALUE"""),"SMD")</f>
        <v>SMD</v>
      </c>
      <c r="G28" s="68">
        <f>IFERROR(__xludf.DUMMYFUNCTION("""COMPUTED_VALUE"""),6.53102124022E11)</f>
        <v>653102124022</v>
      </c>
      <c r="H28" s="68">
        <f>IFERROR(__xludf.DUMMYFUNCTION("""COMPUTED_VALUE"""),1.0)</f>
        <v>1</v>
      </c>
      <c r="I28" s="67"/>
      <c r="J28" s="67"/>
      <c r="K28" s="67"/>
      <c r="L28" s="68"/>
      <c r="M28" s="68"/>
      <c r="N28" s="68">
        <f t="shared" si="1"/>
        <v>0</v>
      </c>
      <c r="O28" s="69">
        <v>80.0</v>
      </c>
      <c r="P28" s="70">
        <v>250.0</v>
      </c>
      <c r="Q28" s="71">
        <f t="shared" si="2"/>
        <v>330</v>
      </c>
      <c r="R28" s="72">
        <f t="shared" si="3"/>
        <v>250</v>
      </c>
      <c r="S28" s="72">
        <f t="shared" si="4"/>
        <v>80</v>
      </c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>
      <c r="A29" s="56">
        <v>27.0</v>
      </c>
      <c r="B29" s="13"/>
      <c r="C29" s="16" t="str">
        <f>IFERROR(__xludf.DUMMYFUNCTION("""COMPUTED_VALUE"""),"Connector")</f>
        <v>Connector</v>
      </c>
      <c r="D29" s="16" t="str">
        <f>IFERROR(__xludf.DUMMYFUNCTION("""COMPUTED_VALUE"""),"CON4-2.54*4P-TH")</f>
        <v>CON4-2.54*4P-TH</v>
      </c>
      <c r="E29" s="16" t="str">
        <f>IFERROR(__xludf.DUMMYFUNCTION("""COMPUTED_VALUE"""),"B4B-XH-A")</f>
        <v>B4B-XH-A</v>
      </c>
      <c r="F29" s="16" t="str">
        <f>IFERROR(__xludf.DUMMYFUNCTION("""COMPUTED_VALUE"""),"DIP")</f>
        <v>DIP</v>
      </c>
      <c r="G29" s="16" t="str">
        <f>IFERROR(__xludf.DUMMYFUNCTION("""COMPUTED_VALUE"""),"HDR-TH_4P-P2.54-V-M-1")</f>
        <v>HDR-TH_4P-P2.54-V-M-1</v>
      </c>
      <c r="H29" s="16">
        <f>IFERROR(__xludf.DUMMYFUNCTION("""COMPUTED_VALUE"""),6.0)</f>
        <v>6</v>
      </c>
      <c r="I29" s="13"/>
      <c r="J29" s="13"/>
      <c r="K29" s="13" t="s">
        <v>464</v>
      </c>
      <c r="L29" s="13" t="s">
        <v>464</v>
      </c>
      <c r="M29" s="16"/>
      <c r="N29" s="16">
        <f t="shared" si="1"/>
        <v>0</v>
      </c>
      <c r="O29" s="47">
        <v>48.0</v>
      </c>
      <c r="P29" s="48">
        <v>1500.0</v>
      </c>
      <c r="Q29" s="54">
        <f t="shared" si="2"/>
        <v>1548</v>
      </c>
      <c r="R29" s="55">
        <f t="shared" si="3"/>
        <v>1500</v>
      </c>
      <c r="S29" s="55">
        <f t="shared" si="4"/>
        <v>48</v>
      </c>
      <c r="T29" s="32"/>
      <c r="U29" s="32"/>
      <c r="V29" s="32"/>
      <c r="W29" s="32"/>
      <c r="X29" s="32"/>
      <c r="Y29" s="32"/>
      <c r="Z29" s="32"/>
      <c r="AA29" s="32"/>
      <c r="AB29" s="32"/>
      <c r="AC29" s="32"/>
    </row>
    <row r="30">
      <c r="A30" s="73">
        <v>28.0</v>
      </c>
      <c r="B30" s="74"/>
      <c r="C30" s="51" t="str">
        <f>IFERROR(__xludf.DUMMYFUNCTION("""COMPUTED_VALUE"""),"Connector")</f>
        <v>Connector</v>
      </c>
      <c r="D30" s="75" t="str">
        <f>IFERROR(__xludf.DUMMYFUNCTION("""COMPUTED_VALUE"""),"CON5-2.54*5P-TH")</f>
        <v>CON5-2.54*5P-TH</v>
      </c>
      <c r="E30" s="75">
        <f>IFERROR(__xludf.DUMMYFUNCTION("""COMPUTED_VALUE"""),6.1900511121E10)</f>
        <v>61900511121</v>
      </c>
      <c r="F30" s="75" t="str">
        <f>IFERROR(__xludf.DUMMYFUNCTION("""COMPUTED_VALUE"""),"DIP")</f>
        <v>DIP</v>
      </c>
      <c r="G30" s="75" t="str">
        <f>IFERROR(__xludf.DUMMYFUNCTION("""COMPUTED_VALUE"""),"CONN-TH_5P-P2.54-V")</f>
        <v>CONN-TH_5P-P2.54-V</v>
      </c>
      <c r="H30" s="75">
        <f>IFERROR(__xludf.DUMMYFUNCTION("""COMPUTED_VALUE"""),2.0)</f>
        <v>2</v>
      </c>
      <c r="I30" s="76"/>
      <c r="J30" s="76"/>
      <c r="K30" s="76" t="s">
        <v>504</v>
      </c>
      <c r="L30" s="74"/>
      <c r="M30" s="51"/>
      <c r="N30" s="51">
        <f t="shared" si="1"/>
        <v>0</v>
      </c>
      <c r="O30" s="47">
        <v>165.0</v>
      </c>
      <c r="P30" s="48">
        <v>850.0</v>
      </c>
      <c r="Q30" s="54">
        <f t="shared" si="2"/>
        <v>1015</v>
      </c>
      <c r="R30" s="55">
        <f t="shared" si="3"/>
        <v>500</v>
      </c>
      <c r="S30" s="55">
        <f t="shared" si="4"/>
        <v>515</v>
      </c>
      <c r="T30" s="50"/>
      <c r="U30" s="50"/>
      <c r="V30" s="50"/>
      <c r="W30" s="50"/>
      <c r="X30" s="50"/>
      <c r="Y30" s="50"/>
      <c r="Z30" s="50"/>
      <c r="AA30" s="50"/>
      <c r="AB30" s="50"/>
      <c r="AC30" s="50"/>
    </row>
    <row r="31">
      <c r="A31" s="56">
        <v>29.0</v>
      </c>
      <c r="B31" s="13"/>
      <c r="C31" s="16" t="str">
        <f>IFERROR(__xludf.DUMMYFUNCTION("""COMPUTED_VALUE"""),"Connector")</f>
        <v>Connector</v>
      </c>
      <c r="D31" s="75" t="str">
        <f>IFERROR(__xludf.DUMMYFUNCTION("""COMPUTED_VALUE"""),"Connector Header Through Hole 4 position 0.079"" (2.00mm)")</f>
        <v>Connector Header Through Hole 4 position 0.079" (2.00mm)</v>
      </c>
      <c r="E31" s="75" t="str">
        <f>IFERROR(__xludf.DUMMYFUNCTION("""COMPUTED_VALUE"""),"B4B-PH-K-S")</f>
        <v>B4B-PH-K-S</v>
      </c>
      <c r="F31" s="75" t="str">
        <f>IFERROR(__xludf.DUMMYFUNCTION("""COMPUTED_VALUE"""),"DIP")</f>
        <v>DIP</v>
      </c>
      <c r="G31" s="75" t="str">
        <f>IFERROR(__xludf.DUMMYFUNCTION("""COMPUTED_VALUE"""),"HDR-TH_4P-P2.00-V-M")</f>
        <v>HDR-TH_4P-P2.00-V-M</v>
      </c>
      <c r="H31" s="75">
        <f>IFERROR(__xludf.DUMMYFUNCTION("""COMPUTED_VALUE"""),12.0)</f>
        <v>12</v>
      </c>
      <c r="I31" s="76"/>
      <c r="J31" s="76"/>
      <c r="K31" s="13" t="s">
        <v>464</v>
      </c>
      <c r="L31" s="13" t="s">
        <v>464</v>
      </c>
      <c r="M31" s="16"/>
      <c r="N31" s="16">
        <f t="shared" si="1"/>
        <v>0</v>
      </c>
      <c r="O31" s="47">
        <v>1000.0</v>
      </c>
      <c r="P31" s="48">
        <v>3000.0</v>
      </c>
      <c r="Q31" s="54">
        <f t="shared" si="2"/>
        <v>4000</v>
      </c>
      <c r="R31" s="55">
        <f t="shared" si="3"/>
        <v>3000</v>
      </c>
      <c r="S31" s="55">
        <f t="shared" si="4"/>
        <v>1000</v>
      </c>
      <c r="T31" s="32"/>
      <c r="U31" s="32"/>
      <c r="V31" s="32"/>
      <c r="W31" s="32"/>
      <c r="X31" s="32"/>
      <c r="Y31" s="32"/>
      <c r="Z31" s="32"/>
      <c r="AA31" s="32"/>
      <c r="AB31" s="32"/>
      <c r="AC31" s="32"/>
    </row>
    <row r="32">
      <c r="A32" s="59">
        <v>30.0</v>
      </c>
      <c r="B32" s="60"/>
      <c r="C32" s="61" t="str">
        <f>IFERROR(__xludf.DUMMYFUNCTION("""COMPUTED_VALUE"""),"Connector")</f>
        <v>Connector</v>
      </c>
      <c r="D32" s="61" t="str">
        <f>IFERROR(__xludf.DUMMYFUNCTION("""COMPUTED_VALUE"""),"DB9 (RS232)")</f>
        <v>DB9 (RS232)</v>
      </c>
      <c r="E32" s="61">
        <f>IFERROR(__xludf.DUMMYFUNCTION("""COMPUTED_VALUE"""),6.18009211821E11)</f>
        <v>618009211821</v>
      </c>
      <c r="F32" s="61" t="str">
        <f>IFERROR(__xludf.DUMMYFUNCTION("""COMPUTED_VALUE"""),"DIP")</f>
        <v>DIP</v>
      </c>
      <c r="G32" s="61" t="str">
        <f>IFERROR(__xludf.DUMMYFUNCTION("""COMPUTED_VALUE"""),"DB9-TH_DB9F")</f>
        <v>DB9-TH_DB9F</v>
      </c>
      <c r="H32" s="61">
        <f>IFERROR(__xludf.DUMMYFUNCTION("""COMPUTED_VALUE"""),2.0)</f>
        <v>2</v>
      </c>
      <c r="I32" s="60"/>
      <c r="J32" s="60"/>
      <c r="K32" s="60" t="s">
        <v>504</v>
      </c>
      <c r="L32" s="60" t="s">
        <v>504</v>
      </c>
      <c r="M32" s="61"/>
      <c r="N32" s="61">
        <f t="shared" si="1"/>
        <v>0</v>
      </c>
      <c r="O32" s="62">
        <v>0.0</v>
      </c>
      <c r="P32" s="63">
        <v>400.0</v>
      </c>
      <c r="Q32" s="64">
        <f t="shared" si="2"/>
        <v>400</v>
      </c>
      <c r="R32" s="65">
        <f t="shared" si="3"/>
        <v>500</v>
      </c>
      <c r="S32" s="65">
        <f t="shared" si="4"/>
        <v>-100</v>
      </c>
      <c r="T32" s="65"/>
      <c r="U32" s="65"/>
      <c r="V32" s="65"/>
      <c r="W32" s="65"/>
      <c r="X32" s="65"/>
      <c r="Y32" s="65"/>
      <c r="Z32" s="65"/>
      <c r="AA32" s="65"/>
      <c r="AB32" s="65"/>
      <c r="AC32" s="65"/>
    </row>
    <row r="33">
      <c r="A33" s="56">
        <v>31.0</v>
      </c>
      <c r="B33" s="13"/>
      <c r="C33" s="16" t="str">
        <f>IFERROR(__xludf.DUMMYFUNCTION("""COMPUTED_VALUE"""),"Connector")</f>
        <v>Connector</v>
      </c>
      <c r="D33" s="75" t="str">
        <f>IFERROR(__xludf.DUMMYFUNCTION("""COMPUTED_VALUE"""),"DSUB_15F_3ROW")</f>
        <v>DSUB_15F_3ROW</v>
      </c>
      <c r="E33" s="75">
        <f>IFERROR(__xludf.DUMMYFUNCTION("""COMPUTED_VALUE"""),6.18015330923E11)</f>
        <v>618015330923</v>
      </c>
      <c r="F33" s="75" t="str">
        <f>IFERROR(__xludf.DUMMYFUNCTION("""COMPUTED_VALUE"""),"DIP")</f>
        <v>DIP</v>
      </c>
      <c r="G33" s="75" t="str">
        <f>IFERROR(__xludf.DUMMYFUNCTION("""COMPUTED_VALUE"""),"DB15-TH_ICD15S13E6GV00LF")</f>
        <v>DB15-TH_ICD15S13E6GV00LF</v>
      </c>
      <c r="H33" s="75">
        <f>IFERROR(__xludf.DUMMYFUNCTION("""COMPUTED_VALUE"""),1.0)</f>
        <v>1</v>
      </c>
      <c r="I33" s="76"/>
      <c r="J33" s="76"/>
      <c r="K33" s="76" t="s">
        <v>464</v>
      </c>
      <c r="L33" s="13" t="s">
        <v>464</v>
      </c>
      <c r="M33" s="16"/>
      <c r="N33" s="16">
        <f t="shared" si="1"/>
        <v>0</v>
      </c>
      <c r="O33" s="47">
        <v>130.0</v>
      </c>
      <c r="P33" s="48">
        <v>350.0</v>
      </c>
      <c r="Q33" s="54">
        <f t="shared" si="2"/>
        <v>480</v>
      </c>
      <c r="R33" s="55">
        <f t="shared" si="3"/>
        <v>250</v>
      </c>
      <c r="S33" s="55">
        <f t="shared" si="4"/>
        <v>230</v>
      </c>
      <c r="T33" s="32"/>
      <c r="U33" s="32"/>
      <c r="V33" s="32"/>
      <c r="W33" s="32"/>
      <c r="X33" s="32"/>
      <c r="Y33" s="32"/>
      <c r="Z33" s="32"/>
      <c r="AA33" s="32"/>
      <c r="AB33" s="32"/>
      <c r="AC33" s="32"/>
    </row>
    <row r="34">
      <c r="A34" s="56">
        <v>32.0</v>
      </c>
      <c r="B34" s="13"/>
      <c r="C34" s="16" t="str">
        <f>IFERROR(__xludf.DUMMYFUNCTION("""COMPUTED_VALUE"""),"Connector")</f>
        <v>Connector</v>
      </c>
      <c r="D34" s="16" t="str">
        <f>IFERROR(__xludf.DUMMYFUNCTION("""COMPUTED_VALUE"""),"Ethernet Dual")</f>
        <v>Ethernet Dual</v>
      </c>
      <c r="E34" s="16">
        <f>IFERROR(__xludf.DUMMYFUNCTION("""COMPUTED_VALUE"""),6.15016137621E11)</f>
        <v>615016137621</v>
      </c>
      <c r="F34" s="16" t="str">
        <f>IFERROR(__xludf.DUMMYFUNCTION("""COMPUTED_VALUE"""),"DIP")</f>
        <v>DIP</v>
      </c>
      <c r="G34" s="16" t="str">
        <f>IFERROR(__xludf.DUMMYFUNCTION("""COMPUTED_VALUE"""),"RJ45-TH_HC-RJ45-5JA-2-6-S")</f>
        <v>RJ45-TH_HC-RJ45-5JA-2-6-S</v>
      </c>
      <c r="H34" s="16">
        <f>IFERROR(__xludf.DUMMYFUNCTION("""COMPUTED_VALUE"""),1.0)</f>
        <v>1</v>
      </c>
      <c r="I34" s="13"/>
      <c r="J34" s="13"/>
      <c r="K34" s="13" t="s">
        <v>464</v>
      </c>
      <c r="L34" s="13" t="s">
        <v>464</v>
      </c>
      <c r="M34" s="16"/>
      <c r="N34" s="16">
        <f t="shared" si="1"/>
        <v>0</v>
      </c>
      <c r="O34" s="47">
        <v>25.0</v>
      </c>
      <c r="P34" s="48">
        <v>250.0</v>
      </c>
      <c r="Q34" s="54">
        <f t="shared" si="2"/>
        <v>275</v>
      </c>
      <c r="R34" s="55">
        <f t="shared" si="3"/>
        <v>250</v>
      </c>
      <c r="S34" s="55">
        <f t="shared" si="4"/>
        <v>25</v>
      </c>
      <c r="T34" s="32"/>
      <c r="U34" s="32"/>
      <c r="V34" s="32"/>
      <c r="W34" s="32"/>
      <c r="X34" s="32"/>
      <c r="Y34" s="32"/>
      <c r="Z34" s="32"/>
      <c r="AA34" s="32"/>
      <c r="AB34" s="32"/>
      <c r="AC34" s="32"/>
    </row>
    <row r="35">
      <c r="A35" s="59">
        <v>33.0</v>
      </c>
      <c r="B35" s="60"/>
      <c r="C35" s="61" t="str">
        <f>IFERROR(__xludf.DUMMYFUNCTION("""COMPUTED_VALUE"""),"Connector")</f>
        <v>Connector</v>
      </c>
      <c r="D35" s="61" t="str">
        <f>IFERROR(__xludf.DUMMYFUNCTION("""COMPUTED_VALUE"""),"HDR 20x2PIN 2.00P TH")</f>
        <v>HDR 20x2PIN 2.00P TH</v>
      </c>
      <c r="E35" s="61">
        <f>IFERROR(__xludf.DUMMYFUNCTION("""COMPUTED_VALUE"""),6.2504021621E10)</f>
        <v>62504021621</v>
      </c>
      <c r="F35" s="61" t="str">
        <f>IFERROR(__xludf.DUMMYFUNCTION("""COMPUTED_VALUE"""),"DIP")</f>
        <v>DIP</v>
      </c>
      <c r="G35" s="61" t="str">
        <f>IFERROR(__xludf.DUMMYFUNCTION("""COMPUTED_VALUE"""),"CONN-TH_A2006WV-2X20P")</f>
        <v>CONN-TH_A2006WV-2X20P</v>
      </c>
      <c r="H35" s="61">
        <f>IFERROR(__xludf.DUMMYFUNCTION("""COMPUTED_VALUE"""),6.0)</f>
        <v>6</v>
      </c>
      <c r="I35" s="60"/>
      <c r="J35" s="60"/>
      <c r="K35" s="60" t="s">
        <v>464</v>
      </c>
      <c r="L35" s="60" t="s">
        <v>464</v>
      </c>
      <c r="M35" s="61"/>
      <c r="N35" s="61">
        <f t="shared" si="1"/>
        <v>0</v>
      </c>
      <c r="O35" s="62">
        <v>50.0</v>
      </c>
      <c r="P35" s="63">
        <v>1280.0</v>
      </c>
      <c r="Q35" s="64">
        <f t="shared" si="2"/>
        <v>1330</v>
      </c>
      <c r="R35" s="65">
        <f t="shared" si="3"/>
        <v>1500</v>
      </c>
      <c r="S35" s="65">
        <f t="shared" si="4"/>
        <v>-170</v>
      </c>
      <c r="T35" s="65"/>
      <c r="U35" s="65"/>
      <c r="V35" s="65"/>
      <c r="W35" s="65"/>
      <c r="X35" s="65"/>
      <c r="Y35" s="65"/>
      <c r="Z35" s="65"/>
      <c r="AA35" s="65"/>
      <c r="AB35" s="65"/>
      <c r="AC35" s="65"/>
    </row>
    <row r="36">
      <c r="A36" s="56">
        <v>34.0</v>
      </c>
      <c r="B36" s="13"/>
      <c r="C36" s="16" t="str">
        <f>IFERROR(__xludf.DUMMYFUNCTION("""COMPUTED_VALUE"""),"Connector")</f>
        <v>Connector</v>
      </c>
      <c r="D36" s="16" t="str">
        <f>IFERROR(__xludf.DUMMYFUNCTION("""COMPUTED_VALUE"""),"HDR_2P_2.50P")</f>
        <v>HDR_2P_2.50P</v>
      </c>
      <c r="E36" s="16" t="str">
        <f>IFERROR(__xludf.DUMMYFUNCTION("""COMPUTED_VALUE"""),"Jumper")</f>
        <v>Jumper</v>
      </c>
      <c r="F36" s="16" t="str">
        <f>IFERROR(__xludf.DUMMYFUNCTION("""COMPUTED_VALUE"""),"DIP")</f>
        <v>DIP</v>
      </c>
      <c r="G36" s="16" t="str">
        <f>IFERROR(__xludf.DUMMYFUNCTION("""COMPUTED_VALUE"""),"HDR-TH_2P-P2.54-V-M-1")</f>
        <v>HDR-TH_2P-P2.54-V-M-1</v>
      </c>
      <c r="H36" s="16">
        <f>IFERROR(__xludf.DUMMYFUNCTION("""COMPUTED_VALUE"""),20.0)</f>
        <v>20</v>
      </c>
      <c r="I36" s="13"/>
      <c r="J36" s="13"/>
      <c r="K36" s="13" t="s">
        <v>464</v>
      </c>
      <c r="L36" s="13" t="s">
        <v>464</v>
      </c>
      <c r="M36" s="16"/>
      <c r="N36" s="16">
        <f t="shared" si="1"/>
        <v>0</v>
      </c>
      <c r="O36" s="47">
        <v>14.0</v>
      </c>
      <c r="P36" s="48">
        <v>8000.0</v>
      </c>
      <c r="Q36" s="54">
        <f t="shared" si="2"/>
        <v>8014</v>
      </c>
      <c r="R36" s="55">
        <f t="shared" si="3"/>
        <v>5000</v>
      </c>
      <c r="S36" s="55">
        <f t="shared" si="4"/>
        <v>3014</v>
      </c>
      <c r="T36" s="32"/>
      <c r="U36" s="32"/>
      <c r="V36" s="32"/>
      <c r="W36" s="32"/>
      <c r="X36" s="32"/>
      <c r="Y36" s="32"/>
      <c r="Z36" s="32"/>
      <c r="AA36" s="32"/>
      <c r="AB36" s="32"/>
      <c r="AC36" s="32"/>
    </row>
    <row r="37">
      <c r="A37" s="56">
        <v>35.0</v>
      </c>
      <c r="B37" s="13"/>
      <c r="C37" s="16" t="str">
        <f>IFERROR(__xludf.DUMMYFUNCTION("""COMPUTED_VALUE"""),"Connector")</f>
        <v>Connector</v>
      </c>
      <c r="D37" s="16" t="str">
        <f>IFERROR(__xludf.DUMMYFUNCTION("""COMPUTED_VALUE"""),"HDR-TH_2P-P2.54-V-M-1")</f>
        <v>HDR-TH_2P-P2.54-V-M-1</v>
      </c>
      <c r="E37" s="16" t="str">
        <f>IFERROR(__xludf.DUMMYFUNCTION("""COMPUTED_VALUE"""),"B2B-XH-A")</f>
        <v>B2B-XH-A</v>
      </c>
      <c r="F37" s="16" t="str">
        <f>IFERROR(__xludf.DUMMYFUNCTION("""COMPUTED_VALUE"""),"DIP")</f>
        <v>DIP</v>
      </c>
      <c r="G37" s="16" t="str">
        <f>IFERROR(__xludf.DUMMYFUNCTION("""COMPUTED_VALUE"""),"HDR-TH_2P-P2.54-V-M-1")</f>
        <v>HDR-TH_2P-P2.54-V-M-1</v>
      </c>
      <c r="H37" s="16">
        <f>IFERROR(__xludf.DUMMYFUNCTION("""COMPUTED_VALUE"""),1.0)</f>
        <v>1</v>
      </c>
      <c r="I37" s="13"/>
      <c r="J37" s="13"/>
      <c r="K37" s="13" t="s">
        <v>464</v>
      </c>
      <c r="L37" s="13" t="s">
        <v>464</v>
      </c>
      <c r="M37" s="16"/>
      <c r="N37" s="16">
        <f t="shared" si="1"/>
        <v>0</v>
      </c>
      <c r="O37" s="47">
        <v>280.0</v>
      </c>
      <c r="P37" s="54"/>
      <c r="Q37" s="54">
        <f t="shared" si="2"/>
        <v>280</v>
      </c>
      <c r="R37" s="55">
        <f t="shared" si="3"/>
        <v>250</v>
      </c>
      <c r="S37" s="55">
        <f t="shared" si="4"/>
        <v>30</v>
      </c>
      <c r="T37" s="32"/>
      <c r="U37" s="32"/>
      <c r="V37" s="32"/>
      <c r="W37" s="32"/>
      <c r="X37" s="32"/>
      <c r="Y37" s="32"/>
      <c r="Z37" s="32"/>
      <c r="AA37" s="32"/>
      <c r="AB37" s="32"/>
      <c r="AC37" s="32"/>
    </row>
    <row r="38">
      <c r="A38" s="56">
        <v>36.0</v>
      </c>
      <c r="B38" s="13"/>
      <c r="C38" s="16" t="str">
        <f>IFERROR(__xludf.DUMMYFUNCTION("""COMPUTED_VALUE"""),"Connector")</f>
        <v>Connector</v>
      </c>
      <c r="D38" s="16" t="str">
        <f>IFERROR(__xludf.DUMMYFUNCTION("""COMPUTED_VALUE"""),"Header 10 Pin")</f>
        <v>Header 10 Pin</v>
      </c>
      <c r="E38" s="16">
        <f>IFERROR(__xludf.DUMMYFUNCTION("""COMPUTED_VALUE"""),6.1901011121E10)</f>
        <v>61901011121</v>
      </c>
      <c r="F38" s="16" t="str">
        <f>IFERROR(__xludf.DUMMYFUNCTION("""COMPUTED_VALUE"""),"DIP")</f>
        <v>DIP</v>
      </c>
      <c r="G38" s="16" t="str">
        <f>IFERROR(__xludf.DUMMYFUNCTION("""COMPUTED_VALUE"""),"HDR_10P_TH_1x10_2.54P_V-M")</f>
        <v>HDR_10P_TH_1x10_2.54P_V-M</v>
      </c>
      <c r="H38" s="16">
        <f>IFERROR(__xludf.DUMMYFUNCTION("""COMPUTED_VALUE"""),1.0)</f>
        <v>1</v>
      </c>
      <c r="I38" s="13"/>
      <c r="J38" s="13"/>
      <c r="K38" s="13" t="s">
        <v>524</v>
      </c>
      <c r="L38" s="13"/>
      <c r="M38" s="16"/>
      <c r="N38" s="16">
        <f t="shared" si="1"/>
        <v>0</v>
      </c>
      <c r="O38" s="47">
        <v>250.0</v>
      </c>
      <c r="P38" s="48">
        <v>500.0</v>
      </c>
      <c r="Q38" s="54">
        <f t="shared" si="2"/>
        <v>750</v>
      </c>
      <c r="R38" s="55">
        <f t="shared" si="3"/>
        <v>250</v>
      </c>
      <c r="S38" s="55">
        <f t="shared" si="4"/>
        <v>500</v>
      </c>
      <c r="T38" s="32"/>
      <c r="U38" s="32"/>
      <c r="V38" s="32"/>
      <c r="W38" s="32"/>
      <c r="X38" s="32"/>
      <c r="Y38" s="32"/>
      <c r="Z38" s="32"/>
      <c r="AA38" s="32"/>
      <c r="AB38" s="32"/>
      <c r="AC38" s="32"/>
    </row>
    <row r="39">
      <c r="A39" s="56">
        <v>37.0</v>
      </c>
      <c r="B39" s="13"/>
      <c r="C39" s="16" t="str">
        <f>IFERROR(__xludf.DUMMYFUNCTION("""COMPUTED_VALUE"""),"Connector")</f>
        <v>Connector</v>
      </c>
      <c r="D39" s="16" t="str">
        <f>IFERROR(__xludf.DUMMYFUNCTION("""COMPUTED_VALUE"""),"Header 2 Pin")</f>
        <v>Header 2 Pin</v>
      </c>
      <c r="E39" s="16" t="str">
        <f>IFERROR(__xludf.DUMMYFUNCTION("""COMPUTED_VALUE"""),"B2B-PH-K-S")</f>
        <v>B2B-PH-K-S</v>
      </c>
      <c r="F39" s="16" t="str">
        <f>IFERROR(__xludf.DUMMYFUNCTION("""COMPUTED_VALUE"""),"DIP")</f>
        <v>DIP</v>
      </c>
      <c r="G39" s="16" t="str">
        <f>IFERROR(__xludf.DUMMYFUNCTION("""COMPUTED_VALUE"""),"HDR-TH_2P-P2.0-V-M-1")</f>
        <v>HDR-TH_2P-P2.0-V-M-1</v>
      </c>
      <c r="H39" s="16">
        <f>IFERROR(__xludf.DUMMYFUNCTION("""COMPUTED_VALUE"""),4.0)</f>
        <v>4</v>
      </c>
      <c r="I39" s="13"/>
      <c r="J39" s="13"/>
      <c r="K39" s="13" t="s">
        <v>464</v>
      </c>
      <c r="L39" s="13" t="s">
        <v>464</v>
      </c>
      <c r="M39" s="16"/>
      <c r="N39" s="16">
        <f t="shared" si="1"/>
        <v>0</v>
      </c>
      <c r="O39" s="47">
        <v>45.0</v>
      </c>
      <c r="P39" s="48">
        <v>1000.0</v>
      </c>
      <c r="Q39" s="54">
        <f t="shared" si="2"/>
        <v>1045</v>
      </c>
      <c r="R39" s="55">
        <f t="shared" si="3"/>
        <v>1000</v>
      </c>
      <c r="S39" s="55">
        <f t="shared" si="4"/>
        <v>45</v>
      </c>
      <c r="T39" s="32"/>
      <c r="U39" s="32"/>
      <c r="V39" s="32"/>
      <c r="W39" s="32"/>
      <c r="X39" s="32"/>
      <c r="Y39" s="32"/>
      <c r="Z39" s="32"/>
      <c r="AA39" s="32"/>
      <c r="AB39" s="32"/>
      <c r="AC39" s="32"/>
    </row>
    <row r="40">
      <c r="A40" s="56">
        <v>38.0</v>
      </c>
      <c r="B40" s="13"/>
      <c r="C40" s="16" t="str">
        <f>IFERROR(__xludf.DUMMYFUNCTION("""COMPUTED_VALUE"""),"Connector")</f>
        <v>Connector</v>
      </c>
      <c r="D40" s="16" t="str">
        <f>IFERROR(__xludf.DUMMYFUNCTION("""COMPUTED_VALUE"""),"Header 2 Pin (Power)")</f>
        <v>Header 2 Pin (Power)</v>
      </c>
      <c r="E40" s="16">
        <f>IFERROR(__xludf.DUMMYFUNCTION("""COMPUTED_VALUE"""),6.91213510002E11)</f>
        <v>691213510002</v>
      </c>
      <c r="F40" s="16" t="str">
        <f>IFERROR(__xludf.DUMMYFUNCTION("""COMPUTED_VALUE"""),"DIP")</f>
        <v>DIP</v>
      </c>
      <c r="G40" s="16" t="str">
        <f>IFERROR(__xludf.DUMMYFUNCTION("""COMPUTED_VALUE"""),"CONN-TH_2P-P5.08_Horizontal")</f>
        <v>CONN-TH_2P-P5.08_Horizontal</v>
      </c>
      <c r="H40" s="16">
        <f>IFERROR(__xludf.DUMMYFUNCTION("""COMPUTED_VALUE"""),2.0)</f>
        <v>2</v>
      </c>
      <c r="I40" s="13"/>
      <c r="J40" s="13"/>
      <c r="K40" s="13" t="s">
        <v>464</v>
      </c>
      <c r="L40" s="13" t="s">
        <v>464</v>
      </c>
      <c r="M40" s="16"/>
      <c r="N40" s="16">
        <f t="shared" si="1"/>
        <v>0</v>
      </c>
      <c r="O40" s="47">
        <v>0.0</v>
      </c>
      <c r="P40" s="48">
        <v>5000.0</v>
      </c>
      <c r="Q40" s="54">
        <f t="shared" si="2"/>
        <v>5000</v>
      </c>
      <c r="R40" s="55">
        <f t="shared" si="3"/>
        <v>500</v>
      </c>
      <c r="S40" s="55">
        <f t="shared" si="4"/>
        <v>4500</v>
      </c>
      <c r="T40" s="32"/>
      <c r="U40" s="32"/>
      <c r="V40" s="32"/>
      <c r="W40" s="32"/>
      <c r="X40" s="32"/>
      <c r="Y40" s="32"/>
      <c r="Z40" s="32"/>
      <c r="AA40" s="32"/>
      <c r="AB40" s="32"/>
      <c r="AC40" s="32"/>
    </row>
    <row r="41">
      <c r="A41" s="56">
        <v>39.0</v>
      </c>
      <c r="B41" s="13"/>
      <c r="C41" s="16" t="str">
        <f>IFERROR(__xludf.DUMMYFUNCTION("""COMPUTED_VALUE"""),"Connector")</f>
        <v>Connector</v>
      </c>
      <c r="D41" s="75" t="str">
        <f>IFERROR(__xludf.DUMMYFUNCTION("""COMPUTED_VALUE"""),"Header 2 Pin (Power)")</f>
        <v>Header 2 Pin (Power)</v>
      </c>
      <c r="E41" s="75" t="str">
        <f>IFERROR(__xludf.DUMMYFUNCTION("""COMPUTED_VALUE"""),"B2P-VH")</f>
        <v>B2P-VH</v>
      </c>
      <c r="F41" s="75" t="str">
        <f>IFERROR(__xludf.DUMMYFUNCTION("""COMPUTED_VALUE"""),"DIP")</f>
        <v>DIP</v>
      </c>
      <c r="G41" s="75" t="str">
        <f>IFERROR(__xludf.DUMMYFUNCTION("""COMPUTED_VALUE"""),"CONN-TH_2P-P4.00_VH2-HEADER2")</f>
        <v>CONN-TH_2P-P4.00_VH2-HEADER2</v>
      </c>
      <c r="H41" s="75">
        <f>IFERROR(__xludf.DUMMYFUNCTION("""COMPUTED_VALUE"""),15.0)</f>
        <v>15</v>
      </c>
      <c r="I41" s="76"/>
      <c r="J41" s="76"/>
      <c r="K41" s="76" t="s">
        <v>524</v>
      </c>
      <c r="L41" s="16"/>
      <c r="M41" s="16"/>
      <c r="N41" s="16">
        <f t="shared" si="1"/>
        <v>0</v>
      </c>
      <c r="O41" s="47">
        <v>650.0</v>
      </c>
      <c r="P41" s="48">
        <v>8000.0</v>
      </c>
      <c r="Q41" s="54">
        <f t="shared" si="2"/>
        <v>8650</v>
      </c>
      <c r="R41" s="55">
        <f t="shared" si="3"/>
        <v>3750</v>
      </c>
      <c r="S41" s="55">
        <f t="shared" si="4"/>
        <v>4900</v>
      </c>
      <c r="T41" s="32"/>
      <c r="U41" s="32"/>
      <c r="V41" s="32"/>
      <c r="W41" s="32"/>
      <c r="X41" s="32"/>
      <c r="Y41" s="32"/>
      <c r="Z41" s="32"/>
      <c r="AA41" s="32"/>
      <c r="AB41" s="32"/>
      <c r="AC41" s="32"/>
    </row>
    <row r="42">
      <c r="A42" s="73">
        <v>40.0</v>
      </c>
      <c r="B42" s="74"/>
      <c r="C42" s="51" t="str">
        <f>IFERROR(__xludf.DUMMYFUNCTION("""COMPUTED_VALUE"""),"Connector")</f>
        <v>Connector</v>
      </c>
      <c r="D42" s="75" t="str">
        <f>IFERROR(__xludf.DUMMYFUNCTION("""COMPUTED_VALUE"""),"Header 3 Pin")</f>
        <v>Header 3 Pin</v>
      </c>
      <c r="E42" s="75" t="str">
        <f>IFERROR(__xludf.DUMMYFUNCTION("""COMPUTED_VALUE"""),"B3B-XH-A")</f>
        <v>B3B-XH-A</v>
      </c>
      <c r="F42" s="75" t="str">
        <f>IFERROR(__xludf.DUMMYFUNCTION("""COMPUTED_VALUE"""),"DIP")</f>
        <v>DIP</v>
      </c>
      <c r="G42" s="75" t="str">
        <f>IFERROR(__xludf.DUMMYFUNCTION("""COMPUTED_VALUE"""),"HDR-TH_3P-P2.5-V-M-1")</f>
        <v>HDR-TH_3P-P2.5-V-M-1</v>
      </c>
      <c r="H42" s="75">
        <f>IFERROR(__xludf.DUMMYFUNCTION("""COMPUTED_VALUE"""),1.0)</f>
        <v>1</v>
      </c>
      <c r="I42" s="76"/>
      <c r="J42" s="76"/>
      <c r="K42" s="76" t="s">
        <v>504</v>
      </c>
      <c r="L42" s="74"/>
      <c r="M42" s="51"/>
      <c r="N42" s="51">
        <f t="shared" si="1"/>
        <v>0</v>
      </c>
      <c r="O42" s="47">
        <v>0.0</v>
      </c>
      <c r="P42" s="48">
        <v>1000.0</v>
      </c>
      <c r="Q42" s="54">
        <f t="shared" si="2"/>
        <v>1000</v>
      </c>
      <c r="R42" s="55">
        <f t="shared" si="3"/>
        <v>250</v>
      </c>
      <c r="S42" s="55">
        <f t="shared" si="4"/>
        <v>750</v>
      </c>
      <c r="T42" s="50"/>
      <c r="U42" s="50"/>
      <c r="V42" s="50"/>
      <c r="W42" s="50"/>
      <c r="X42" s="50"/>
      <c r="Y42" s="50"/>
      <c r="Z42" s="50"/>
      <c r="AA42" s="50"/>
      <c r="AB42" s="50"/>
      <c r="AC42" s="50"/>
    </row>
    <row r="43">
      <c r="A43" s="56">
        <v>41.0</v>
      </c>
      <c r="B43" s="13"/>
      <c r="C43" s="16" t="str">
        <f>IFERROR(__xludf.DUMMYFUNCTION("""COMPUTED_VALUE"""),"Connector")</f>
        <v>Connector</v>
      </c>
      <c r="D43" s="75" t="str">
        <f>IFERROR(__xludf.DUMMYFUNCTION("""COMPUTED_VALUE"""),"Header 6 Pin")</f>
        <v>Header 6 Pin</v>
      </c>
      <c r="E43" s="75" t="str">
        <f>IFERROR(__xludf.DUMMYFUNCTION("""COMPUTED_VALUE"""),"B6B-PH-K-S")</f>
        <v>B6B-PH-K-S</v>
      </c>
      <c r="F43" s="75" t="str">
        <f>IFERROR(__xludf.DUMMYFUNCTION("""COMPUTED_VALUE"""),"DIP")</f>
        <v>DIP</v>
      </c>
      <c r="G43" s="75" t="str">
        <f>IFERROR(__xludf.DUMMYFUNCTION("""COMPUTED_VALUE"""),"HDR-TH_6P_1x6P-P2.0-V-M-1")</f>
        <v>HDR-TH_6P_1x6P-P2.0-V-M-1</v>
      </c>
      <c r="H43" s="75">
        <f>IFERROR(__xludf.DUMMYFUNCTION("""COMPUTED_VALUE"""),3.0)</f>
        <v>3</v>
      </c>
      <c r="I43" s="76"/>
      <c r="J43" s="76"/>
      <c r="K43" s="76" t="s">
        <v>504</v>
      </c>
      <c r="L43" s="13"/>
      <c r="M43" s="16"/>
      <c r="N43" s="16">
        <f t="shared" si="1"/>
        <v>0</v>
      </c>
      <c r="O43" s="47">
        <v>0.0</v>
      </c>
      <c r="P43" s="48">
        <v>1000.0</v>
      </c>
      <c r="Q43" s="54">
        <f t="shared" si="2"/>
        <v>1000</v>
      </c>
      <c r="R43" s="55">
        <f t="shared" si="3"/>
        <v>750</v>
      </c>
      <c r="S43" s="55">
        <f t="shared" si="4"/>
        <v>250</v>
      </c>
      <c r="T43" s="32"/>
      <c r="U43" s="32"/>
      <c r="V43" s="32"/>
      <c r="W43" s="32"/>
      <c r="X43" s="32"/>
      <c r="Y43" s="32"/>
      <c r="Z43" s="32"/>
      <c r="AA43" s="32"/>
      <c r="AB43" s="32"/>
      <c r="AC43" s="32"/>
    </row>
    <row r="44">
      <c r="A44" s="66">
        <v>42.0</v>
      </c>
      <c r="B44" s="67"/>
      <c r="C44" s="68" t="str">
        <f>IFERROR(__xludf.DUMMYFUNCTION("""COMPUTED_VALUE"""),"Connector")</f>
        <v>Connector</v>
      </c>
      <c r="D44" s="68" t="str">
        <f>IFERROR(__xludf.DUMMYFUNCTION("""COMPUTED_VALUE"""),"Header 8 Pin")</f>
        <v>Header 8 Pin</v>
      </c>
      <c r="E44" s="68" t="str">
        <f>IFERROR(__xludf.DUMMYFUNCTION("""COMPUTED_VALUE"""),"B8B-PH-K-S")</f>
        <v>B8B-PH-K-S</v>
      </c>
      <c r="F44" s="68" t="str">
        <f>IFERROR(__xludf.DUMMYFUNCTION("""COMPUTED_VALUE"""),"DIP")</f>
        <v>DIP</v>
      </c>
      <c r="G44" s="68" t="str">
        <f>IFERROR(__xludf.DUMMYFUNCTION("""COMPUTED_VALUE"""),"HDR-TH_8P_1x8P-P2.0-V-M-1")</f>
        <v>HDR-TH_8P_1x8P-P2.0-V-M-1</v>
      </c>
      <c r="H44" s="68">
        <f>IFERROR(__xludf.DUMMYFUNCTION("""COMPUTED_VALUE"""),12.0)</f>
        <v>12</v>
      </c>
      <c r="I44" s="67"/>
      <c r="J44" s="67"/>
      <c r="K44" s="67" t="s">
        <v>504</v>
      </c>
      <c r="L44" s="68"/>
      <c r="M44" s="68"/>
      <c r="N44" s="68">
        <f t="shared" si="1"/>
        <v>0</v>
      </c>
      <c r="O44" s="69">
        <v>0.0</v>
      </c>
      <c r="P44" s="70">
        <v>3000.0</v>
      </c>
      <c r="Q44" s="71">
        <f t="shared" si="2"/>
        <v>3000</v>
      </c>
      <c r="R44" s="72">
        <f t="shared" si="3"/>
        <v>3000</v>
      </c>
      <c r="S44" s="72">
        <f t="shared" si="4"/>
        <v>0</v>
      </c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>
      <c r="A45" s="73">
        <v>43.0</v>
      </c>
      <c r="B45" s="74"/>
      <c r="C45" s="51" t="str">
        <f>IFERROR(__xludf.DUMMYFUNCTION("""COMPUTED_VALUE"""),"Connector")</f>
        <v>Connector</v>
      </c>
      <c r="D45" s="75" t="str">
        <f>IFERROR(__xludf.DUMMYFUNCTION("""COMPUTED_VALUE"""),"Header 8 Pin")</f>
        <v>Header 8 Pin</v>
      </c>
      <c r="E45" s="75" t="str">
        <f>IFERROR(__xludf.DUMMYFUNCTION("""COMPUTED_VALUE"""),"B8B-XH-A")</f>
        <v>B8B-XH-A</v>
      </c>
      <c r="F45" s="75" t="str">
        <f>IFERROR(__xludf.DUMMYFUNCTION("""COMPUTED_VALUE"""),"DIP")</f>
        <v>DIP</v>
      </c>
      <c r="G45" s="75" t="str">
        <f>IFERROR(__xludf.DUMMYFUNCTION("""COMPUTED_VALUE"""),"8 PIN IST XH 2.5MM TOP EN")</f>
        <v>8 PIN IST XH 2.5MM TOP EN</v>
      </c>
      <c r="H45" s="75">
        <f>IFERROR(__xludf.DUMMYFUNCTION("""COMPUTED_VALUE"""),2.0)</f>
        <v>2</v>
      </c>
      <c r="I45" s="76"/>
      <c r="J45" s="76"/>
      <c r="K45" s="76" t="s">
        <v>525</v>
      </c>
      <c r="L45" s="74"/>
      <c r="M45" s="51"/>
      <c r="N45" s="51">
        <f t="shared" si="1"/>
        <v>0</v>
      </c>
      <c r="O45" s="47">
        <v>250.0</v>
      </c>
      <c r="P45" s="48">
        <v>1500.0</v>
      </c>
      <c r="Q45" s="54">
        <f t="shared" si="2"/>
        <v>1750</v>
      </c>
      <c r="R45" s="55">
        <f t="shared" si="3"/>
        <v>500</v>
      </c>
      <c r="S45" s="55">
        <f t="shared" si="4"/>
        <v>1250</v>
      </c>
      <c r="T45" s="50"/>
      <c r="U45" s="50"/>
      <c r="V45" s="50"/>
      <c r="W45" s="50"/>
      <c r="X45" s="50"/>
      <c r="Y45" s="50"/>
      <c r="Z45" s="50"/>
      <c r="AA45" s="50"/>
      <c r="AB45" s="50"/>
      <c r="AC45" s="50"/>
    </row>
    <row r="46">
      <c r="A46" s="73">
        <v>44.0</v>
      </c>
      <c r="B46" s="74"/>
      <c r="C46" s="51" t="str">
        <f>IFERROR(__xludf.DUMMYFUNCTION("""COMPUTED_VALUE"""),"Connector")</f>
        <v>Connector</v>
      </c>
      <c r="D46" s="51" t="str">
        <f>IFERROR(__xludf.DUMMYFUNCTION("""COMPUTED_VALUE"""),"reset button")</f>
        <v>reset button</v>
      </c>
      <c r="E46" s="51"/>
      <c r="F46" s="51" t="str">
        <f>IFERROR(__xludf.DUMMYFUNCTION("""COMPUTED_VALUE"""),"DIP")</f>
        <v>DIP</v>
      </c>
      <c r="G46" s="51"/>
      <c r="H46" s="51">
        <f>IFERROR(__xludf.DUMMYFUNCTION("""COMPUTED_VALUE"""),2.0)</f>
        <v>2</v>
      </c>
      <c r="I46" s="74"/>
      <c r="J46" s="74"/>
      <c r="K46" s="74" t="s">
        <v>526</v>
      </c>
      <c r="L46" s="74"/>
      <c r="M46" s="51"/>
      <c r="N46" s="51">
        <f t="shared" si="1"/>
        <v>0</v>
      </c>
      <c r="O46" s="47">
        <v>200.0</v>
      </c>
      <c r="P46" s="48">
        <v>2300.0</v>
      </c>
      <c r="Q46" s="54">
        <f t="shared" si="2"/>
        <v>2500</v>
      </c>
      <c r="R46" s="55">
        <f t="shared" si="3"/>
        <v>500</v>
      </c>
      <c r="S46" s="55">
        <f t="shared" si="4"/>
        <v>2000</v>
      </c>
      <c r="T46" s="50"/>
      <c r="U46" s="50"/>
      <c r="V46" s="50"/>
      <c r="W46" s="50"/>
      <c r="X46" s="50"/>
      <c r="Y46" s="50"/>
      <c r="Z46" s="50"/>
      <c r="AA46" s="50"/>
      <c r="AB46" s="50"/>
      <c r="AC46" s="50"/>
    </row>
    <row r="47">
      <c r="A47" s="56">
        <v>45.0</v>
      </c>
      <c r="B47" s="13"/>
      <c r="C47" s="16" t="str">
        <f>IFERROR(__xludf.DUMMYFUNCTION("""COMPUTED_VALUE"""),"Connector")</f>
        <v>Connector</v>
      </c>
      <c r="D47" s="16" t="str">
        <f>IFERROR(__xludf.DUMMYFUNCTION("""COMPUTED_VALUE"""),"RJ11_DUAL")</f>
        <v>RJ11_DUAL</v>
      </c>
      <c r="E47" s="16" t="str">
        <f>IFERROR(__xludf.DUMMYFUNCTION("""COMPUTED_VALUE"""),"E5564-80A012-L")</f>
        <v>E5564-80A012-L</v>
      </c>
      <c r="F47" s="16" t="str">
        <f>IFERROR(__xludf.DUMMYFUNCTION("""COMPUTED_VALUE"""),"DIP")</f>
        <v>DIP</v>
      </c>
      <c r="G47" s="16" t="str">
        <f>IFERROR(__xludf.DUMMYFUNCTION("""COMPUTED_VALUE"""),"CONN-TH_RJ11PHONE2")</f>
        <v>CONN-TH_RJ11PHONE2</v>
      </c>
      <c r="H47" s="16">
        <f>IFERROR(__xludf.DUMMYFUNCTION("""COMPUTED_VALUE"""),3.0)</f>
        <v>3</v>
      </c>
      <c r="I47" s="13"/>
      <c r="J47" s="13"/>
      <c r="K47" s="13" t="s">
        <v>524</v>
      </c>
      <c r="L47" s="13"/>
      <c r="M47" s="16"/>
      <c r="N47" s="16">
        <f t="shared" si="1"/>
        <v>0</v>
      </c>
      <c r="O47" s="47">
        <v>60.0</v>
      </c>
      <c r="P47" s="48">
        <v>720.0</v>
      </c>
      <c r="Q47" s="54">
        <f t="shared" si="2"/>
        <v>780</v>
      </c>
      <c r="R47" s="55">
        <f t="shared" si="3"/>
        <v>750</v>
      </c>
      <c r="S47" s="55">
        <f t="shared" si="4"/>
        <v>30</v>
      </c>
      <c r="T47" s="32"/>
      <c r="U47" s="32"/>
      <c r="V47" s="32"/>
      <c r="W47" s="32"/>
      <c r="X47" s="32"/>
      <c r="Y47" s="32"/>
      <c r="Z47" s="32"/>
      <c r="AA47" s="32"/>
      <c r="AB47" s="32"/>
      <c r="AC47" s="32"/>
    </row>
    <row r="48">
      <c r="A48" s="59">
        <v>46.0</v>
      </c>
      <c r="B48" s="60"/>
      <c r="C48" s="61" t="str">
        <f>IFERROR(__xludf.DUMMYFUNCTION("""COMPUTED_VALUE"""),"Connector")</f>
        <v>Connector</v>
      </c>
      <c r="D48" s="61" t="str">
        <f>IFERROR(__xludf.DUMMYFUNCTION("""COMPUTED_VALUE"""),"RJ45 Single Without Transformer")</f>
        <v>RJ45 Single Without Transformer</v>
      </c>
      <c r="E48" s="61">
        <f>IFERROR(__xludf.DUMMYFUNCTION("""COMPUTED_VALUE"""),6.1500814221E10)</f>
        <v>61500814221</v>
      </c>
      <c r="F48" s="61" t="str">
        <f>IFERROR(__xludf.DUMMYFUNCTION("""COMPUTED_VALUE"""),"DIP")</f>
        <v>DIP</v>
      </c>
      <c r="G48" s="61">
        <f>IFERROR(__xludf.DUMMYFUNCTION("""COMPUTED_VALUE"""),6.1500814221E10)</f>
        <v>61500814221</v>
      </c>
      <c r="H48" s="61">
        <f>IFERROR(__xludf.DUMMYFUNCTION("""COMPUTED_VALUE"""),2.0)</f>
        <v>2</v>
      </c>
      <c r="I48" s="60"/>
      <c r="J48" s="60"/>
      <c r="K48" s="60" t="s">
        <v>464</v>
      </c>
      <c r="L48" s="60" t="s">
        <v>464</v>
      </c>
      <c r="M48" s="61"/>
      <c r="N48" s="61">
        <f t="shared" si="1"/>
        <v>0</v>
      </c>
      <c r="O48" s="62">
        <v>20.0</v>
      </c>
      <c r="P48" s="63">
        <v>320.0</v>
      </c>
      <c r="Q48" s="64">
        <f t="shared" si="2"/>
        <v>340</v>
      </c>
      <c r="R48" s="65">
        <f t="shared" si="3"/>
        <v>500</v>
      </c>
      <c r="S48" s="65">
        <f t="shared" si="4"/>
        <v>-160</v>
      </c>
      <c r="T48" s="65"/>
      <c r="U48" s="65"/>
      <c r="V48" s="65"/>
      <c r="W48" s="65"/>
      <c r="X48" s="65"/>
      <c r="Y48" s="65"/>
      <c r="Z48" s="65"/>
      <c r="AA48" s="65"/>
      <c r="AB48" s="65"/>
      <c r="AC48" s="65"/>
    </row>
    <row r="49">
      <c r="A49" s="59">
        <v>47.0</v>
      </c>
      <c r="B49" s="60"/>
      <c r="C49" s="61" t="str">
        <f>IFERROR(__xludf.DUMMYFUNCTION("""COMPUTED_VALUE"""),"Connector")</f>
        <v>Connector</v>
      </c>
      <c r="D49" s="61" t="str">
        <f>IFERROR(__xludf.DUMMYFUNCTION("""COMPUTED_VALUE"""),"SMA Connector Jack, Female Socket 50 Ohms Through Hole,Straight Jack")</f>
        <v>SMA Connector Jack, Female Socket 50 Ohms Through Hole,Straight Jack</v>
      </c>
      <c r="E49" s="61">
        <f>IFERROR(__xludf.DUMMYFUNCTION("""COMPUTED_VALUE"""),6.0312002114503E13)</f>
        <v>60312002114503</v>
      </c>
      <c r="F49" s="61" t="str">
        <f>IFERROR(__xludf.DUMMYFUNCTION("""COMPUTED_VALUE"""),"DIP")</f>
        <v>DIP</v>
      </c>
      <c r="G49" s="61" t="str">
        <f>IFERROR(__xludf.DUMMYFUNCTION("""COMPUTED_VALUE"""),"WR-SMA PCB THT/THR/SMT")</f>
        <v>WR-SMA PCB THT/THR/SMT</v>
      </c>
      <c r="H49" s="61">
        <f>IFERROR(__xludf.DUMMYFUNCTION("""COMPUTED_VALUE"""),1.0)</f>
        <v>1</v>
      </c>
      <c r="I49" s="59"/>
      <c r="J49" s="59"/>
      <c r="K49" s="60" t="s">
        <v>464</v>
      </c>
      <c r="L49" s="59" t="s">
        <v>464</v>
      </c>
      <c r="M49" s="61"/>
      <c r="N49" s="61">
        <f t="shared" si="1"/>
        <v>0</v>
      </c>
      <c r="O49" s="62">
        <v>0.0</v>
      </c>
      <c r="P49" s="64"/>
      <c r="Q49" s="64">
        <f t="shared" si="2"/>
        <v>0</v>
      </c>
      <c r="R49" s="65">
        <f t="shared" si="3"/>
        <v>250</v>
      </c>
      <c r="S49" s="65">
        <f t="shared" si="4"/>
        <v>-250</v>
      </c>
      <c r="T49" s="65"/>
      <c r="U49" s="65"/>
      <c r="V49" s="65"/>
      <c r="W49" s="65"/>
      <c r="X49" s="65"/>
      <c r="Y49" s="65"/>
      <c r="Z49" s="65"/>
      <c r="AA49" s="65"/>
      <c r="AB49" s="65"/>
      <c r="AC49" s="65"/>
    </row>
    <row r="50">
      <c r="A50" s="56">
        <v>48.0</v>
      </c>
      <c r="B50" s="13"/>
      <c r="C50" s="16" t="str">
        <f>IFERROR(__xludf.DUMMYFUNCTION("""COMPUTED_VALUE"""),"Connector")</f>
        <v>Connector</v>
      </c>
      <c r="D50" s="16" t="str">
        <f>IFERROR(__xludf.DUMMYFUNCTION("""COMPUTED_VALUE"""),"USB TYPE A (TH) - STORAGE")</f>
        <v>USB TYPE A (TH) - STORAGE</v>
      </c>
      <c r="E50" s="77">
        <f>IFERROR(__xludf.DUMMYFUNCTION("""COMPUTED_VALUE"""),6.14004135023E11)</f>
        <v>614004135023</v>
      </c>
      <c r="F50" s="16" t="str">
        <f>IFERROR(__xludf.DUMMYFUNCTION("""COMPUTED_VALUE"""),"SMD")</f>
        <v>SMD</v>
      </c>
      <c r="G50" s="16" t="str">
        <f>IFERROR(__xludf.DUMMYFUNCTION("""COMPUTED_VALUE"""),"USB-A-TH_USB-302-T")</f>
        <v>USB-A-TH_USB-302-T</v>
      </c>
      <c r="H50" s="16">
        <f>IFERROR(__xludf.DUMMYFUNCTION("""COMPUTED_VALUE"""),2.0)</f>
        <v>2</v>
      </c>
      <c r="I50" s="13"/>
      <c r="J50" s="13"/>
      <c r="K50" s="13" t="s">
        <v>464</v>
      </c>
      <c r="L50" s="13" t="s">
        <v>464</v>
      </c>
      <c r="M50" s="16"/>
      <c r="N50" s="16">
        <f t="shared" si="1"/>
        <v>0</v>
      </c>
      <c r="O50" s="47">
        <v>5.0</v>
      </c>
      <c r="P50" s="48">
        <v>500.0</v>
      </c>
      <c r="Q50" s="54">
        <f t="shared" si="2"/>
        <v>505</v>
      </c>
      <c r="R50" s="55">
        <f t="shared" si="3"/>
        <v>500</v>
      </c>
      <c r="S50" s="55">
        <f t="shared" si="4"/>
        <v>5</v>
      </c>
      <c r="T50" s="32"/>
      <c r="U50" s="32"/>
      <c r="V50" s="32"/>
      <c r="W50" s="32"/>
      <c r="X50" s="32"/>
      <c r="Y50" s="32"/>
      <c r="Z50" s="32"/>
      <c r="AA50" s="32"/>
      <c r="AB50" s="32"/>
      <c r="AC50" s="32"/>
    </row>
    <row r="51">
      <c r="A51" s="59">
        <v>49.0</v>
      </c>
      <c r="B51" s="78"/>
      <c r="C51" s="61" t="str">
        <f>IFERROR(__xludf.DUMMYFUNCTION("""COMPUTED_VALUE"""),"Crystal")</f>
        <v>Crystal</v>
      </c>
      <c r="D51" s="61" t="str">
        <f>IFERROR(__xludf.DUMMYFUNCTION("""COMPUTED_VALUE"""),"12 MHz ±30ppm Crystal 30pF 40 Ohms HC-49/US")</f>
        <v>12 MHz ±30ppm Crystal 30pF 40 Ohms HC-49/US</v>
      </c>
      <c r="E51" s="61">
        <f>IFERROR(__xludf.DUMMYFUNCTION("""COMPUTED_VALUE"""),8.30010043E8)</f>
        <v>830010043</v>
      </c>
      <c r="F51" s="61" t="str">
        <f>IFERROR(__xludf.DUMMYFUNCTION("""COMPUTED_VALUE"""),"SMD")</f>
        <v>SMD</v>
      </c>
      <c r="G51" s="61" t="str">
        <f>IFERROR(__xludf.DUMMYFUNCTION("""COMPUTED_VALUE"""),"HC-49S_L11.4-W4.8")</f>
        <v>HC-49S_L11.4-W4.8</v>
      </c>
      <c r="H51" s="61">
        <f>IFERROR(__xludf.DUMMYFUNCTION("""COMPUTED_VALUE"""),2.0)</f>
        <v>2</v>
      </c>
      <c r="I51" s="79" t="s">
        <v>527</v>
      </c>
      <c r="J51" s="60" t="s">
        <v>528</v>
      </c>
      <c r="K51" s="60" t="s">
        <v>464</v>
      </c>
      <c r="L51" s="60" t="s">
        <v>464</v>
      </c>
      <c r="M51" s="61"/>
      <c r="N51" s="61">
        <f t="shared" si="1"/>
        <v>0</v>
      </c>
      <c r="O51" s="78">
        <v>18.0</v>
      </c>
      <c r="P51" s="63">
        <v>400.0</v>
      </c>
      <c r="Q51" s="64">
        <f t="shared" si="2"/>
        <v>418</v>
      </c>
      <c r="R51" s="65">
        <f t="shared" si="3"/>
        <v>500</v>
      </c>
      <c r="S51" s="65">
        <f t="shared" si="4"/>
        <v>-82</v>
      </c>
      <c r="T51" s="65"/>
      <c r="U51" s="65"/>
      <c r="V51" s="65"/>
      <c r="W51" s="65"/>
      <c r="X51" s="65"/>
      <c r="Y51" s="65"/>
      <c r="Z51" s="65"/>
      <c r="AA51" s="65"/>
      <c r="AB51" s="65"/>
      <c r="AC51" s="65"/>
    </row>
    <row r="52">
      <c r="A52" s="56">
        <v>50.0</v>
      </c>
      <c r="B52" s="57"/>
      <c r="C52" s="16" t="str">
        <f>IFERROR(__xludf.DUMMYFUNCTION("""COMPUTED_VALUE"""),"Crystal")</f>
        <v>Crystal</v>
      </c>
      <c r="D52" s="16" t="str">
        <f>IFERROR(__xludf.DUMMYFUNCTION("""COMPUTED_VALUE"""),"25 MHz ±20ppm Crystal 20pF 40 Ohms HC-49/US")</f>
        <v>25 MHz ±20ppm Crystal 20pF 40 Ohms HC-49/US</v>
      </c>
      <c r="E52" s="16">
        <f>IFERROR(__xludf.DUMMYFUNCTION("""COMPUTED_VALUE"""),8.30054555E8)</f>
        <v>830054555</v>
      </c>
      <c r="F52" s="16" t="str">
        <f>IFERROR(__xludf.DUMMYFUNCTION("""COMPUTED_VALUE"""),"SMD")</f>
        <v>SMD</v>
      </c>
      <c r="G52" s="16" t="str">
        <f>IFERROR(__xludf.DUMMYFUNCTION("""COMPUTED_VALUE"""),"HC-49S_L11.4-W4.8")</f>
        <v>HC-49S_L11.4-W4.8</v>
      </c>
      <c r="H52" s="16">
        <f>IFERROR(__xludf.DUMMYFUNCTION("""COMPUTED_VALUE"""),2.0)</f>
        <v>2</v>
      </c>
      <c r="I52" s="80" t="s">
        <v>527</v>
      </c>
      <c r="J52" s="13" t="s">
        <v>528</v>
      </c>
      <c r="K52" s="13" t="s">
        <v>464</v>
      </c>
      <c r="L52" s="13" t="s">
        <v>464</v>
      </c>
      <c r="M52" s="16"/>
      <c r="N52" s="16">
        <f t="shared" si="1"/>
        <v>0</v>
      </c>
      <c r="O52" s="58">
        <v>275.0</v>
      </c>
      <c r="P52" s="48">
        <v>500.0</v>
      </c>
      <c r="Q52" s="54">
        <f t="shared" si="2"/>
        <v>775</v>
      </c>
      <c r="R52" s="55">
        <f t="shared" si="3"/>
        <v>500</v>
      </c>
      <c r="S52" s="55">
        <f t="shared" si="4"/>
        <v>275</v>
      </c>
      <c r="T52" s="32"/>
      <c r="U52" s="32"/>
      <c r="V52" s="32"/>
      <c r="W52" s="32"/>
      <c r="X52" s="32"/>
      <c r="Y52" s="32"/>
      <c r="Z52" s="32"/>
      <c r="AA52" s="32"/>
      <c r="AB52" s="32"/>
      <c r="AC52" s="32"/>
    </row>
    <row r="53">
      <c r="A53" s="56">
        <v>51.0</v>
      </c>
      <c r="B53" s="57"/>
      <c r="C53" s="16" t="str">
        <f>IFERROR(__xludf.DUMMYFUNCTION("""COMPUTED_VALUE"""),"Crystal")</f>
        <v>Crystal</v>
      </c>
      <c r="D53" s="16" t="str">
        <f>IFERROR(__xludf.DUMMYFUNCTION("""COMPUTED_VALUE"""),"3.579545 MHz ±30ppm Crystal 16pF 300 Ohms HC-49/US")</f>
        <v>3.579545 MHz ±30ppm Crystal 16pF 300 Ohms HC-49/US</v>
      </c>
      <c r="E53" s="16">
        <f>IFERROR(__xludf.DUMMYFUNCTION("""COMPUTED_VALUE"""),8.30003058E8)</f>
        <v>830003058</v>
      </c>
      <c r="F53" s="16" t="str">
        <f>IFERROR(__xludf.DUMMYFUNCTION("""COMPUTED_VALUE"""),"SMD")</f>
        <v>SMD</v>
      </c>
      <c r="G53" s="16" t="str">
        <f>IFERROR(__xludf.DUMMYFUNCTION("""COMPUTED_VALUE"""),"HC-49S_L11.4-W4.8")</f>
        <v>HC-49S_L11.4-W4.8</v>
      </c>
      <c r="H53" s="16">
        <f>IFERROR(__xludf.DUMMYFUNCTION("""COMPUTED_VALUE"""),4.0)</f>
        <v>4</v>
      </c>
      <c r="I53" s="80" t="s">
        <v>527</v>
      </c>
      <c r="J53" s="13" t="s">
        <v>528</v>
      </c>
      <c r="K53" s="13" t="s">
        <v>464</v>
      </c>
      <c r="L53" s="13" t="s">
        <v>464</v>
      </c>
      <c r="M53" s="16"/>
      <c r="N53" s="16">
        <f t="shared" si="1"/>
        <v>0</v>
      </c>
      <c r="O53" s="58">
        <v>145.0</v>
      </c>
      <c r="P53" s="48">
        <v>1000.0</v>
      </c>
      <c r="Q53" s="54">
        <f t="shared" si="2"/>
        <v>1145</v>
      </c>
      <c r="R53" s="55">
        <f t="shared" si="3"/>
        <v>1000</v>
      </c>
      <c r="S53" s="55">
        <f t="shared" si="4"/>
        <v>145</v>
      </c>
      <c r="T53" s="32"/>
      <c r="U53" s="32"/>
      <c r="V53" s="32"/>
      <c r="W53" s="32"/>
      <c r="X53" s="32"/>
      <c r="Y53" s="32"/>
      <c r="Z53" s="32"/>
      <c r="AA53" s="32"/>
      <c r="AB53" s="32"/>
      <c r="AC53" s="32"/>
    </row>
    <row r="54">
      <c r="A54" s="56">
        <v>52.0</v>
      </c>
      <c r="B54" s="57"/>
      <c r="C54" s="16" t="str">
        <f>IFERROR(__xludf.DUMMYFUNCTION("""COMPUTED_VALUE"""),"Diode")</f>
        <v>Diode</v>
      </c>
      <c r="D54" s="16" t="str">
        <f>IFERROR(__xludf.DUMMYFUNCTION("""COMPUTED_VALUE"""),"1N4007-DIODE")</f>
        <v>1N4007-DIODE</v>
      </c>
      <c r="E54" s="16" t="str">
        <f>IFERROR(__xludf.DUMMYFUNCTION("""COMPUTED_VALUE"""),"1N4007")</f>
        <v>1N4007</v>
      </c>
      <c r="F54" s="16" t="str">
        <f>IFERROR(__xludf.DUMMYFUNCTION("""COMPUTED_VALUE"""),"DIP")</f>
        <v>DIP</v>
      </c>
      <c r="G54" s="16" t="str">
        <f>IFERROR(__xludf.DUMMYFUNCTION("""COMPUTED_VALUE"""),"DO-41_BD2.4-L4.7-P8.70-D0.8-FD")</f>
        <v>DO-41_BD2.4-L4.7-P8.70-D0.8-FD</v>
      </c>
      <c r="H54" s="16">
        <f>IFERROR(__xludf.DUMMYFUNCTION("""COMPUTED_VALUE"""),2.0)</f>
        <v>2</v>
      </c>
      <c r="I54" s="38"/>
      <c r="J54" s="13"/>
      <c r="K54" s="13"/>
      <c r="L54" s="13"/>
      <c r="M54" s="16"/>
      <c r="N54" s="16">
        <f t="shared" si="1"/>
        <v>0</v>
      </c>
      <c r="O54" s="58">
        <v>1185.0</v>
      </c>
      <c r="P54" s="54"/>
      <c r="Q54" s="54">
        <f t="shared" si="2"/>
        <v>1185</v>
      </c>
      <c r="R54" s="55">
        <f t="shared" si="3"/>
        <v>500</v>
      </c>
      <c r="S54" s="55">
        <f t="shared" si="4"/>
        <v>685</v>
      </c>
      <c r="T54" s="32"/>
      <c r="U54" s="32"/>
      <c r="V54" s="32"/>
      <c r="W54" s="32"/>
      <c r="X54" s="32"/>
      <c r="Y54" s="32"/>
      <c r="Z54" s="32"/>
      <c r="AA54" s="32"/>
      <c r="AB54" s="32"/>
      <c r="AC54" s="32"/>
    </row>
    <row r="55">
      <c r="A55" s="56">
        <v>53.0</v>
      </c>
      <c r="B55" s="57"/>
      <c r="C55" s="16" t="str">
        <f>IFERROR(__xludf.DUMMYFUNCTION("""COMPUTED_VALUE"""),"Diode")</f>
        <v>Diode</v>
      </c>
      <c r="D55" s="16" t="str">
        <f>IFERROR(__xludf.DUMMYFUNCTION("""COMPUTED_VALUE"""),"1N5817")</f>
        <v>1N5817</v>
      </c>
      <c r="E55" s="16" t="str">
        <f>IFERROR(__xludf.DUMMYFUNCTION("""COMPUTED_VALUE"""),"1N5817")</f>
        <v>1N5817</v>
      </c>
      <c r="F55" s="16" t="str">
        <f>IFERROR(__xludf.DUMMYFUNCTION("""COMPUTED_VALUE"""),"DIP")</f>
        <v>DIP</v>
      </c>
      <c r="G55" s="16" t="str">
        <f>IFERROR(__xludf.DUMMYFUNCTION("""COMPUTED_VALUE"""),"SOD-123_L2.8-W1.8-LS3.7-RD")</f>
        <v>SOD-123_L2.8-W1.8-LS3.7-RD</v>
      </c>
      <c r="H55" s="16">
        <f>IFERROR(__xludf.DUMMYFUNCTION("""COMPUTED_VALUE"""),4.0)</f>
        <v>4</v>
      </c>
      <c r="I55" s="38"/>
      <c r="J55" s="81"/>
      <c r="K55" s="81"/>
      <c r="L55" s="81"/>
      <c r="M55" s="16"/>
      <c r="N55" s="16">
        <f t="shared" si="1"/>
        <v>0</v>
      </c>
      <c r="O55" s="58">
        <v>1500.0</v>
      </c>
      <c r="P55" s="54"/>
      <c r="Q55" s="54">
        <f t="shared" si="2"/>
        <v>1500</v>
      </c>
      <c r="R55" s="55">
        <f t="shared" si="3"/>
        <v>1000</v>
      </c>
      <c r="S55" s="55">
        <f t="shared" si="4"/>
        <v>500</v>
      </c>
      <c r="T55" s="32"/>
      <c r="U55" s="32"/>
      <c r="V55" s="32"/>
      <c r="W55" s="32"/>
      <c r="X55" s="32"/>
      <c r="Y55" s="32"/>
      <c r="Z55" s="32"/>
      <c r="AA55" s="32"/>
      <c r="AB55" s="32"/>
      <c r="AC55" s="32"/>
    </row>
    <row r="56">
      <c r="A56" s="56">
        <v>54.0</v>
      </c>
      <c r="B56" s="57"/>
      <c r="C56" s="16" t="str">
        <f>IFERROR(__xludf.DUMMYFUNCTION("""COMPUTED_VALUE"""),"Diode")</f>
        <v>Diode</v>
      </c>
      <c r="D56" s="16" t="str">
        <f>IFERROR(__xludf.DUMMYFUNCTION("""COMPUTED_VALUE"""),"4148 ( 5P1 )")</f>
        <v>4148 ( 5P1 )</v>
      </c>
      <c r="E56" s="16">
        <f>IFERROR(__xludf.DUMMYFUNCTION("""COMPUTED_VALUE"""),4148.0)</f>
        <v>4148</v>
      </c>
      <c r="F56" s="16" t="str">
        <f>IFERROR(__xludf.DUMMYFUNCTION("""COMPUTED_VALUE"""),"SMD")</f>
        <v>SMD</v>
      </c>
      <c r="G56" s="16" t="str">
        <f>IFERROR(__xludf.DUMMYFUNCTION("""COMPUTED_VALUE"""),"SMD_Zener_R1206")</f>
        <v>SMD_Zener_R1206</v>
      </c>
      <c r="H56" s="16">
        <f>IFERROR(__xludf.DUMMYFUNCTION("""COMPUTED_VALUE"""),3.0)</f>
        <v>3</v>
      </c>
      <c r="I56" s="80" t="s">
        <v>529</v>
      </c>
      <c r="J56" s="13" t="s">
        <v>530</v>
      </c>
      <c r="K56" s="13" t="s">
        <v>524</v>
      </c>
      <c r="L56" s="16"/>
      <c r="M56" s="16"/>
      <c r="N56" s="16">
        <f t="shared" si="1"/>
        <v>0</v>
      </c>
      <c r="O56" s="58">
        <v>100.0</v>
      </c>
      <c r="P56" s="48">
        <v>1000.0</v>
      </c>
      <c r="Q56" s="54">
        <f t="shared" si="2"/>
        <v>1100</v>
      </c>
      <c r="R56" s="55">
        <f t="shared" si="3"/>
        <v>750</v>
      </c>
      <c r="S56" s="55">
        <f t="shared" si="4"/>
        <v>350</v>
      </c>
      <c r="T56" s="32"/>
      <c r="U56" s="32"/>
      <c r="V56" s="32"/>
      <c r="W56" s="32"/>
      <c r="X56" s="32"/>
      <c r="Y56" s="32"/>
      <c r="Z56" s="32"/>
      <c r="AA56" s="32"/>
      <c r="AB56" s="32"/>
      <c r="AC56" s="32"/>
    </row>
    <row r="57">
      <c r="A57" s="56">
        <v>55.0</v>
      </c>
      <c r="B57" s="57"/>
      <c r="C57" s="16" t="str">
        <f>IFERROR(__xludf.DUMMYFUNCTION("""COMPUTED_VALUE"""),"Diode")</f>
        <v>Diode</v>
      </c>
      <c r="D57" s="16" t="str">
        <f>IFERROR(__xludf.DUMMYFUNCTION("""COMPUTED_VALUE"""),"Diode 60 V 5A Surface Mount DO-214AA (SMB)")</f>
        <v>Diode 60 V 5A Surface Mount DO-214AA (SMB)</v>
      </c>
      <c r="E57" s="16" t="str">
        <f>IFERROR(__xludf.DUMMYFUNCTION("""COMPUTED_VALUE"""),"SL56B-TP")</f>
        <v>SL56B-TP</v>
      </c>
      <c r="F57" s="16" t="str">
        <f>IFERROR(__xludf.DUMMYFUNCTION("""COMPUTED_VALUE"""),"SMD")</f>
        <v>SMD</v>
      </c>
      <c r="G57" s="16" t="str">
        <f>IFERROR(__xludf.DUMMYFUNCTION("""COMPUTED_VALUE"""),"DIOM5026X220N")</f>
        <v>DIOM5026X220N</v>
      </c>
      <c r="H57" s="16">
        <f>IFERROR(__xludf.DUMMYFUNCTION("""COMPUTED_VALUE"""),3.0)</f>
        <v>3</v>
      </c>
      <c r="I57" s="80" t="s">
        <v>529</v>
      </c>
      <c r="J57" s="13" t="s">
        <v>530</v>
      </c>
      <c r="K57" s="13"/>
      <c r="L57" s="16"/>
      <c r="M57" s="16"/>
      <c r="N57" s="16">
        <f t="shared" si="1"/>
        <v>0</v>
      </c>
      <c r="O57" s="58">
        <v>0.0</v>
      </c>
      <c r="P57" s="48">
        <v>1000.0</v>
      </c>
      <c r="Q57" s="54">
        <f t="shared" si="2"/>
        <v>1000</v>
      </c>
      <c r="R57" s="55">
        <f t="shared" si="3"/>
        <v>750</v>
      </c>
      <c r="S57" s="55">
        <f t="shared" si="4"/>
        <v>250</v>
      </c>
      <c r="T57" s="32"/>
      <c r="U57" s="32"/>
      <c r="V57" s="32"/>
      <c r="W57" s="32"/>
      <c r="X57" s="32"/>
      <c r="Y57" s="32"/>
      <c r="Z57" s="32"/>
      <c r="AA57" s="32"/>
      <c r="AB57" s="32"/>
      <c r="AC57" s="32"/>
    </row>
    <row r="58">
      <c r="A58" s="56">
        <v>56.0</v>
      </c>
      <c r="B58" s="57"/>
      <c r="C58" s="16" t="str">
        <f>IFERROR(__xludf.DUMMYFUNCTION("""COMPUTED_VALUE"""),"Diode")</f>
        <v>Diode</v>
      </c>
      <c r="D58" s="16" t="str">
        <f>IFERROR(__xludf.DUMMYFUNCTION("""COMPUTED_VALUE"""),"Schottly Diode 30V 3A")</f>
        <v>Schottly Diode 30V 3A</v>
      </c>
      <c r="E58" s="16" t="str">
        <f>IFERROR(__xludf.DUMMYFUNCTION("""COMPUTED_VALUE"""),"RSX301L-30DDTE25")</f>
        <v>RSX301L-30DDTE25</v>
      </c>
      <c r="F58" s="16" t="str">
        <f>IFERROR(__xludf.DUMMYFUNCTION("""COMPUTED_VALUE"""),"SMD")</f>
        <v>SMD</v>
      </c>
      <c r="G58" s="16" t="str">
        <f>IFERROR(__xludf.DUMMYFUNCTION("""COMPUTED_VALUE"""),"DO-214AC-2")</f>
        <v>DO-214AC-2</v>
      </c>
      <c r="H58" s="16">
        <f>IFERROR(__xludf.DUMMYFUNCTION("""COMPUTED_VALUE"""),2.0)</f>
        <v>2</v>
      </c>
      <c r="I58" s="80" t="s">
        <v>531</v>
      </c>
      <c r="J58" s="13" t="s">
        <v>528</v>
      </c>
      <c r="K58" s="16"/>
      <c r="L58" s="16"/>
      <c r="M58" s="16"/>
      <c r="N58" s="16">
        <f t="shared" si="1"/>
        <v>0</v>
      </c>
      <c r="O58" s="58">
        <v>210.0</v>
      </c>
      <c r="P58" s="48">
        <v>1000.0</v>
      </c>
      <c r="Q58" s="54">
        <f t="shared" si="2"/>
        <v>1210</v>
      </c>
      <c r="R58" s="55">
        <f t="shared" si="3"/>
        <v>500</v>
      </c>
      <c r="S58" s="55">
        <f t="shared" si="4"/>
        <v>710</v>
      </c>
      <c r="T58" s="32"/>
      <c r="U58" s="32"/>
      <c r="V58" s="32"/>
      <c r="W58" s="32"/>
      <c r="X58" s="32"/>
      <c r="Y58" s="32"/>
      <c r="Z58" s="32"/>
      <c r="AA58" s="32"/>
      <c r="AB58" s="32"/>
      <c r="AC58" s="32"/>
    </row>
    <row r="59">
      <c r="A59" s="56">
        <v>57.0</v>
      </c>
      <c r="B59" s="57"/>
      <c r="C59" s="16" t="str">
        <f>IFERROR(__xludf.DUMMYFUNCTION("""COMPUTED_VALUE"""),"Diode")</f>
        <v>Diode</v>
      </c>
      <c r="D59" s="16" t="str">
        <f>IFERROR(__xludf.DUMMYFUNCTION("""COMPUTED_VALUE"""),"TVS Diode 3.3V 600W")</f>
        <v>TVS Diode 3.3V 600W</v>
      </c>
      <c r="E59" s="16" t="str">
        <f>IFERROR(__xludf.DUMMYFUNCTION("""COMPUTED_VALUE"""),"SMLVT3V3")</f>
        <v>SMLVT3V3</v>
      </c>
      <c r="F59" s="16" t="str">
        <f>IFERROR(__xludf.DUMMYFUNCTION("""COMPUTED_VALUE"""),"SMD")</f>
        <v>SMD</v>
      </c>
      <c r="G59" s="16" t="str">
        <f>IFERROR(__xludf.DUMMYFUNCTION("""COMPUTED_VALUE"""),"DO-214AA-2")</f>
        <v>DO-214AA-2</v>
      </c>
      <c r="H59" s="16">
        <f>IFERROR(__xludf.DUMMYFUNCTION("""COMPUTED_VALUE"""),5.0)</f>
        <v>5</v>
      </c>
      <c r="I59" s="80" t="s">
        <v>532</v>
      </c>
      <c r="J59" s="13" t="s">
        <v>530</v>
      </c>
      <c r="K59" s="13"/>
      <c r="L59" s="16"/>
      <c r="M59" s="16"/>
      <c r="N59" s="16">
        <f t="shared" si="1"/>
        <v>0</v>
      </c>
      <c r="O59" s="58">
        <v>3.0</v>
      </c>
      <c r="P59" s="48">
        <v>1507.0</v>
      </c>
      <c r="Q59" s="54">
        <f t="shared" si="2"/>
        <v>1510</v>
      </c>
      <c r="R59" s="55">
        <f t="shared" si="3"/>
        <v>1250</v>
      </c>
      <c r="S59" s="55">
        <f t="shared" si="4"/>
        <v>260</v>
      </c>
      <c r="T59" s="32"/>
      <c r="U59" s="32"/>
      <c r="V59" s="32"/>
      <c r="W59" s="32"/>
      <c r="X59" s="32"/>
      <c r="Y59" s="32"/>
      <c r="Z59" s="32"/>
      <c r="AA59" s="32"/>
      <c r="AB59" s="32"/>
      <c r="AC59" s="32"/>
    </row>
    <row r="60">
      <c r="A60" s="56">
        <v>58.0</v>
      </c>
      <c r="B60" s="57"/>
      <c r="C60" s="16" t="str">
        <f>IFERROR(__xludf.DUMMYFUNCTION("""COMPUTED_VALUE"""),"Diode")</f>
        <v>Diode</v>
      </c>
      <c r="D60" s="16" t="str">
        <f>IFERROR(__xludf.DUMMYFUNCTION("""COMPUTED_VALUE"""),"TVS Diode 3V")</f>
        <v>TVS Diode 3V</v>
      </c>
      <c r="E60" s="16" t="str">
        <f>IFERROR(__xludf.DUMMYFUNCTION("""COMPUTED_VALUE"""),"TPD1E05U06DYAR")</f>
        <v>TPD1E05U06DYAR</v>
      </c>
      <c r="F60" s="16" t="str">
        <f>IFERROR(__xludf.DUMMYFUNCTION("""COMPUTED_VALUE"""),"SMD")</f>
        <v>SMD</v>
      </c>
      <c r="G60" s="16" t="str">
        <f>IFERROR(__xludf.DUMMYFUNCTION("""COMPUTED_VALUE"""),"SC-79, SOD-523")</f>
        <v>SC-79, SOD-523</v>
      </c>
      <c r="H60" s="16">
        <f>IFERROR(__xludf.DUMMYFUNCTION("""COMPUTED_VALUE"""),2.0)</f>
        <v>2</v>
      </c>
      <c r="I60" s="80" t="s">
        <v>532</v>
      </c>
      <c r="J60" s="13" t="s">
        <v>530</v>
      </c>
      <c r="K60" s="13"/>
      <c r="L60" s="16"/>
      <c r="M60" s="16"/>
      <c r="N60" s="16">
        <f t="shared" si="1"/>
        <v>0</v>
      </c>
      <c r="O60" s="58">
        <v>8.0</v>
      </c>
      <c r="P60" s="48">
        <v>2500.0</v>
      </c>
      <c r="Q60" s="54">
        <f t="shared" si="2"/>
        <v>2508</v>
      </c>
      <c r="R60" s="55">
        <f t="shared" si="3"/>
        <v>500</v>
      </c>
      <c r="S60" s="55">
        <f t="shared" si="4"/>
        <v>2008</v>
      </c>
      <c r="T60" s="32"/>
      <c r="U60" s="32"/>
      <c r="V60" s="32"/>
      <c r="W60" s="32"/>
      <c r="X60" s="32"/>
      <c r="Y60" s="32"/>
      <c r="Z60" s="32"/>
      <c r="AA60" s="32"/>
      <c r="AB60" s="32"/>
      <c r="AC60" s="32"/>
    </row>
    <row r="61">
      <c r="A61" s="56">
        <v>59.0</v>
      </c>
      <c r="B61" s="13"/>
      <c r="C61" s="16" t="str">
        <f>IFERROR(__xludf.DUMMYFUNCTION("""COMPUTED_VALUE"""),"Diode")</f>
        <v>Diode</v>
      </c>
      <c r="D61" s="16" t="str">
        <f>IFERROR(__xludf.DUMMYFUNCTION("""COMPUTED_VALUE"""),"Zener Diode 5.1 V 3 W ±5% Surface Mount SMB")</f>
        <v>Zener Diode 5.1 V 3 W ±5% Surface Mount SMB</v>
      </c>
      <c r="E61" s="16" t="str">
        <f>IFERROR(__xludf.DUMMYFUNCTION("""COMPUTED_VALUE"""),"1SMB5918BT3G")</f>
        <v>1SMB5918BT3G</v>
      </c>
      <c r="F61" s="16" t="str">
        <f>IFERROR(__xludf.DUMMYFUNCTION("""COMPUTED_VALUE"""),"SMD")</f>
        <v>SMD</v>
      </c>
      <c r="G61" s="16" t="str">
        <f>IFERROR(__xludf.DUMMYFUNCTION("""COMPUTED_VALUE"""),"SMD_Zener_R1206")</f>
        <v>SMD_Zener_R1206</v>
      </c>
      <c r="H61" s="16">
        <f>IFERROR(__xludf.DUMMYFUNCTION("""COMPUTED_VALUE"""),6.0)</f>
        <v>6</v>
      </c>
      <c r="I61" s="80" t="s">
        <v>532</v>
      </c>
      <c r="J61" s="13" t="s">
        <v>530</v>
      </c>
      <c r="K61" s="13"/>
      <c r="L61" s="16"/>
      <c r="M61" s="16"/>
      <c r="N61" s="16">
        <f t="shared" si="1"/>
        <v>0</v>
      </c>
      <c r="O61" s="47">
        <v>100.0</v>
      </c>
      <c r="P61" s="48">
        <v>2500.0</v>
      </c>
      <c r="Q61" s="54">
        <f t="shared" si="2"/>
        <v>2600</v>
      </c>
      <c r="R61" s="55">
        <f t="shared" si="3"/>
        <v>1500</v>
      </c>
      <c r="S61" s="55">
        <f t="shared" si="4"/>
        <v>1100</v>
      </c>
      <c r="T61" s="32"/>
      <c r="U61" s="32"/>
      <c r="V61" s="32"/>
      <c r="W61" s="32"/>
      <c r="X61" s="32"/>
      <c r="Y61" s="32"/>
      <c r="Z61" s="32"/>
      <c r="AA61" s="32"/>
      <c r="AB61" s="32"/>
      <c r="AC61" s="32"/>
    </row>
    <row r="62">
      <c r="A62" s="56">
        <v>60.0</v>
      </c>
      <c r="B62" s="13"/>
      <c r="C62" s="16" t="str">
        <f>IFERROR(__xludf.DUMMYFUNCTION("""COMPUTED_VALUE"""),"Ferrite Beed")</f>
        <v>Ferrite Beed</v>
      </c>
      <c r="D62" s="16" t="str">
        <f>IFERROR(__xludf.DUMMYFUNCTION("""COMPUTED_VALUE"""),"600 Ohms @ 100 MHz 1 Power Line Ferrite Bead 0603 (1608 Metric) 860mA 150mOhm")</f>
        <v>600 Ohms @ 100 MHz 1 Power Line Ferrite Bead 0603 (1608 Metric) 860mA 150mOhm</v>
      </c>
      <c r="E62" s="16" t="str">
        <f>IFERROR(__xludf.DUMMYFUNCTION("""COMPUTED_VALUE"""),"BLM18KN601EH1D")</f>
        <v>BLM18KN601EH1D</v>
      </c>
      <c r="F62" s="16" t="str">
        <f>IFERROR(__xludf.DUMMYFUNCTION("""COMPUTED_VALUE"""),"SMD")</f>
        <v>SMD</v>
      </c>
      <c r="G62" s="16" t="str">
        <f>IFERROR(__xludf.DUMMYFUNCTION("""COMPUTED_VALUE"""),"R0603")</f>
        <v>R0603</v>
      </c>
      <c r="H62" s="16">
        <f>IFERROR(__xludf.DUMMYFUNCTION("""COMPUTED_VALUE"""),1.0)</f>
        <v>1</v>
      </c>
      <c r="I62" s="80" t="s">
        <v>533</v>
      </c>
      <c r="J62" s="13" t="s">
        <v>530</v>
      </c>
      <c r="K62" s="13"/>
      <c r="L62" s="16"/>
      <c r="M62" s="16"/>
      <c r="N62" s="16">
        <f t="shared" si="1"/>
        <v>0</v>
      </c>
      <c r="O62" s="47">
        <v>900.0</v>
      </c>
      <c r="P62" s="54"/>
      <c r="Q62" s="54">
        <f t="shared" si="2"/>
        <v>900</v>
      </c>
      <c r="R62" s="55">
        <f t="shared" si="3"/>
        <v>250</v>
      </c>
      <c r="S62" s="55">
        <f t="shared" si="4"/>
        <v>650</v>
      </c>
      <c r="T62" s="32"/>
      <c r="U62" s="32"/>
      <c r="V62" s="32"/>
      <c r="W62" s="32"/>
      <c r="X62" s="32"/>
      <c r="Y62" s="32"/>
      <c r="Z62" s="32"/>
      <c r="AA62" s="32"/>
      <c r="AB62" s="32"/>
      <c r="AC62" s="32"/>
    </row>
    <row r="63">
      <c r="A63" s="56">
        <v>61.0</v>
      </c>
      <c r="B63" s="13"/>
      <c r="C63" s="16" t="str">
        <f>IFERROR(__xludf.DUMMYFUNCTION("""COMPUTED_VALUE"""),"Ferrite Beed")</f>
        <v>Ferrite Beed</v>
      </c>
      <c r="D63" s="16" t="str">
        <f>IFERROR(__xludf.DUMMYFUNCTION("""COMPUTED_VALUE"""),"Bead 100MHz 5mOhm 6000mA")</f>
        <v>Bead 100MHz 5mOhm 6000mA</v>
      </c>
      <c r="E63" s="16">
        <f>IFERROR(__xludf.DUMMYFUNCTION("""COMPUTED_VALUE"""),7.42792117E8)</f>
        <v>742792117</v>
      </c>
      <c r="F63" s="16" t="str">
        <f>IFERROR(__xludf.DUMMYFUNCTION("""COMPUTED_VALUE"""),"SMD")</f>
        <v>SMD</v>
      </c>
      <c r="G63" s="16" t="str">
        <f>IFERROR(__xludf.DUMMYFUNCTION("""COMPUTED_VALUE"""),"R1206")</f>
        <v>R1206</v>
      </c>
      <c r="H63" s="16">
        <f>IFERROR(__xludf.DUMMYFUNCTION("""COMPUTED_VALUE"""),2.0)</f>
        <v>2</v>
      </c>
      <c r="I63" s="80" t="s">
        <v>532</v>
      </c>
      <c r="J63" s="13" t="s">
        <v>530</v>
      </c>
      <c r="K63" s="13" t="s">
        <v>464</v>
      </c>
      <c r="L63" s="13" t="s">
        <v>464</v>
      </c>
      <c r="M63" s="16"/>
      <c r="N63" s="16">
        <f t="shared" si="1"/>
        <v>0</v>
      </c>
      <c r="O63" s="47">
        <v>300.0</v>
      </c>
      <c r="P63" s="48">
        <v>1000.0</v>
      </c>
      <c r="Q63" s="54">
        <f t="shared" si="2"/>
        <v>1300</v>
      </c>
      <c r="R63" s="55">
        <f t="shared" si="3"/>
        <v>500</v>
      </c>
      <c r="S63" s="55">
        <f t="shared" si="4"/>
        <v>800</v>
      </c>
      <c r="T63" s="32"/>
      <c r="U63" s="32"/>
      <c r="V63" s="32"/>
      <c r="W63" s="32"/>
      <c r="X63" s="32"/>
      <c r="Y63" s="32"/>
      <c r="Z63" s="32"/>
      <c r="AA63" s="32"/>
      <c r="AB63" s="32"/>
      <c r="AC63" s="32"/>
    </row>
    <row r="64">
      <c r="A64" s="56">
        <v>62.0</v>
      </c>
      <c r="B64" s="13"/>
      <c r="C64" s="16" t="str">
        <f>IFERROR(__xludf.DUMMYFUNCTION("""COMPUTED_VALUE"""),"Ferrite Beed")</f>
        <v>Ferrite Beed</v>
      </c>
      <c r="D64" s="16" t="str">
        <f>IFERROR(__xludf.DUMMYFUNCTION("""COMPUTED_VALUE"""),"Ferrite Beed 100ohm 4A 20mOhm")</f>
        <v>Ferrite Beed 100ohm 4A 20mOhm</v>
      </c>
      <c r="E64" s="16" t="str">
        <f>IFERROR(__xludf.DUMMYFUNCTION("""COMPUTED_VALUE"""),"MPZ2012S101AT000")</f>
        <v>MPZ2012S101AT000</v>
      </c>
      <c r="F64" s="16" t="str">
        <f>IFERROR(__xludf.DUMMYFUNCTION("""COMPUTED_VALUE"""),"SMD")</f>
        <v>SMD</v>
      </c>
      <c r="G64" s="16" t="str">
        <f>IFERROR(__xludf.DUMMYFUNCTION("""COMPUTED_VALUE"""),"R0805")</f>
        <v>R0805</v>
      </c>
      <c r="H64" s="16">
        <f>IFERROR(__xludf.DUMMYFUNCTION("""COMPUTED_VALUE"""),4.0)</f>
        <v>4</v>
      </c>
      <c r="I64" s="80" t="s">
        <v>532</v>
      </c>
      <c r="J64" s="13" t="s">
        <v>534</v>
      </c>
      <c r="K64" s="82"/>
      <c r="L64" s="82"/>
      <c r="M64" s="16"/>
      <c r="N64" s="16">
        <f t="shared" si="1"/>
        <v>0</v>
      </c>
      <c r="O64" s="47">
        <v>0.0</v>
      </c>
      <c r="P64" s="48">
        <v>1000.0</v>
      </c>
      <c r="Q64" s="54">
        <f t="shared" si="2"/>
        <v>1000</v>
      </c>
      <c r="R64" s="55">
        <f t="shared" si="3"/>
        <v>1000</v>
      </c>
      <c r="S64" s="55">
        <f t="shared" si="4"/>
        <v>0</v>
      </c>
      <c r="T64" s="32"/>
      <c r="U64" s="32"/>
      <c r="V64" s="32"/>
      <c r="W64" s="32"/>
      <c r="X64" s="32"/>
      <c r="Y64" s="32"/>
      <c r="Z64" s="32"/>
      <c r="AA64" s="32"/>
      <c r="AB64" s="32"/>
      <c r="AC64" s="32"/>
    </row>
    <row r="65">
      <c r="A65" s="56">
        <v>63.0</v>
      </c>
      <c r="B65" s="57"/>
      <c r="C65" s="16" t="str">
        <f>IFERROR(__xludf.DUMMYFUNCTION("""COMPUTED_VALUE"""),"Ferrite Beed")</f>
        <v>Ferrite Beed</v>
      </c>
      <c r="D65" s="16" t="str">
        <f>IFERROR(__xludf.DUMMYFUNCTION("""COMPUTED_VALUE"""),"Ferrite Beed 120ohm 3A 30mOhm")</f>
        <v>Ferrite Beed 120ohm 3A 30mOhm</v>
      </c>
      <c r="E65" s="16">
        <f>IFERROR(__xludf.DUMMYFUNCTION("""COMPUTED_VALUE"""),7.42792023E8)</f>
        <v>742792023</v>
      </c>
      <c r="F65" s="16" t="str">
        <f>IFERROR(__xludf.DUMMYFUNCTION("""COMPUTED_VALUE"""),"SMD")</f>
        <v>SMD</v>
      </c>
      <c r="G65" s="16" t="str">
        <f>IFERROR(__xludf.DUMMYFUNCTION("""COMPUTED_VALUE"""),"R0805")</f>
        <v>R0805</v>
      </c>
      <c r="H65" s="16">
        <f>IFERROR(__xludf.DUMMYFUNCTION("""COMPUTED_VALUE"""),9.0)</f>
        <v>9</v>
      </c>
      <c r="I65" s="80" t="s">
        <v>535</v>
      </c>
      <c r="J65" s="13" t="s">
        <v>528</v>
      </c>
      <c r="K65" s="13" t="s">
        <v>464</v>
      </c>
      <c r="L65" s="13" t="s">
        <v>464</v>
      </c>
      <c r="M65" s="16"/>
      <c r="N65" s="16">
        <f t="shared" si="1"/>
        <v>0</v>
      </c>
      <c r="O65" s="58">
        <v>1700.0</v>
      </c>
      <c r="P65" s="48">
        <v>2000.0</v>
      </c>
      <c r="Q65" s="54">
        <f t="shared" si="2"/>
        <v>3700</v>
      </c>
      <c r="R65" s="55">
        <f t="shared" si="3"/>
        <v>2250</v>
      </c>
      <c r="S65" s="55">
        <f t="shared" si="4"/>
        <v>1450</v>
      </c>
      <c r="T65" s="32"/>
      <c r="U65" s="32"/>
      <c r="V65" s="32"/>
      <c r="W65" s="32"/>
      <c r="X65" s="32"/>
      <c r="Y65" s="32"/>
      <c r="Z65" s="32"/>
      <c r="AA65" s="32"/>
      <c r="AB65" s="32"/>
      <c r="AC65" s="32"/>
    </row>
    <row r="66">
      <c r="A66" s="56">
        <v>64.0</v>
      </c>
      <c r="B66" s="13"/>
      <c r="C66" s="16" t="str">
        <f>IFERROR(__xludf.DUMMYFUNCTION("""COMPUTED_VALUE"""),"IC")</f>
        <v>IC</v>
      </c>
      <c r="D66" s="16" t="str">
        <f>IFERROR(__xludf.DUMMYFUNCTION("""COMPUTED_VALUE"""),"- RF Receiver BeiDou, Galileo, GLONASS, GNSS, GPS -163dBm Not Included 32-QFN Module (11x11)")</f>
        <v>- RF Receiver BeiDou, Galileo, GLONASS, GNSS, GPS -163dBm Not Included 32-QFN Module (11x11)</v>
      </c>
      <c r="E66" s="16" t="str">
        <f>IFERROR(__xludf.DUMMYFUNCTION("""COMPUTED_VALUE"""),"SE868K5-SF")</f>
        <v>SE868K5-SF</v>
      </c>
      <c r="F66" s="16" t="str">
        <f>IFERROR(__xludf.DUMMYFUNCTION("""COMPUTED_VALUE"""),"SMD")</f>
        <v>SMD</v>
      </c>
      <c r="G66" s="16" t="str">
        <f>IFERROR(__xludf.DUMMYFUNCTION("""COMPUTED_VALUE"""),"32-QFN Module (11x11)")</f>
        <v>32-QFN Module (11x11)</v>
      </c>
      <c r="H66" s="16">
        <f>IFERROR(__xludf.DUMMYFUNCTION("""COMPUTED_VALUE"""),1.0)</f>
        <v>1</v>
      </c>
      <c r="I66" s="80" t="s">
        <v>536</v>
      </c>
      <c r="J66" s="13" t="s">
        <v>537</v>
      </c>
      <c r="K66" s="13"/>
      <c r="L66" s="13"/>
      <c r="M66" s="16"/>
      <c r="N66" s="16">
        <f t="shared" si="1"/>
        <v>0</v>
      </c>
      <c r="O66" s="47">
        <v>110.0</v>
      </c>
      <c r="P66" s="48">
        <v>2500.0</v>
      </c>
      <c r="Q66" s="54">
        <f t="shared" si="2"/>
        <v>2610</v>
      </c>
      <c r="R66" s="55">
        <f t="shared" si="3"/>
        <v>250</v>
      </c>
      <c r="S66" s="55">
        <f t="shared" si="4"/>
        <v>2360</v>
      </c>
      <c r="T66" s="32"/>
      <c r="U66" s="32"/>
      <c r="V66" s="32"/>
      <c r="W66" s="32"/>
      <c r="X66" s="32"/>
      <c r="Y66" s="32"/>
      <c r="Z66" s="32"/>
      <c r="AA66" s="32"/>
      <c r="AB66" s="32"/>
      <c r="AC66" s="32"/>
    </row>
    <row r="67">
      <c r="A67" s="56">
        <v>65.0</v>
      </c>
      <c r="B67" s="13"/>
      <c r="C67" s="16" t="str">
        <f>IFERROR(__xludf.DUMMYFUNCTION("""COMPUTED_VALUE"""),"IC")</f>
        <v>IC</v>
      </c>
      <c r="D67" s="16" t="str">
        <f>IFERROR(__xludf.DUMMYFUNCTION("""COMPUTED_VALUE"""),"74HC164")</f>
        <v>74HC164</v>
      </c>
      <c r="E67" s="16" t="str">
        <f>IFERROR(__xludf.DUMMYFUNCTION("""COMPUTED_VALUE"""),"74HC164")</f>
        <v>74HC164</v>
      </c>
      <c r="F67" s="16" t="str">
        <f>IFERROR(__xludf.DUMMYFUNCTION("""COMPUTED_VALUE"""),"SMD")</f>
        <v>SMD</v>
      </c>
      <c r="G67" s="16" t="str">
        <f>IFERROR(__xludf.DUMMYFUNCTION("""COMPUTED_VALUE"""),"SOP-14_L8.6-W3.9-P1.27-LS6.0-BL")</f>
        <v>SOP-14_L8.6-W3.9-P1.27-LS6.0-BL</v>
      </c>
      <c r="H67" s="16">
        <f>IFERROR(__xludf.DUMMYFUNCTION("""COMPUTED_VALUE"""),2.0)</f>
        <v>2</v>
      </c>
      <c r="I67" s="80" t="s">
        <v>538</v>
      </c>
      <c r="J67" s="13" t="s">
        <v>528</v>
      </c>
      <c r="K67" s="13"/>
      <c r="L67" s="13"/>
      <c r="M67" s="16"/>
      <c r="N67" s="16">
        <f t="shared" si="1"/>
        <v>0</v>
      </c>
      <c r="O67" s="47">
        <v>625.0</v>
      </c>
      <c r="P67" s="48">
        <v>2500.0</v>
      </c>
      <c r="Q67" s="54">
        <f t="shared" si="2"/>
        <v>3125</v>
      </c>
      <c r="R67" s="55">
        <f t="shared" si="3"/>
        <v>500</v>
      </c>
      <c r="S67" s="55">
        <f t="shared" si="4"/>
        <v>2625</v>
      </c>
      <c r="T67" s="32"/>
      <c r="U67" s="32"/>
      <c r="V67" s="32"/>
      <c r="W67" s="32"/>
      <c r="X67" s="32"/>
      <c r="Y67" s="32"/>
      <c r="Z67" s="32"/>
      <c r="AA67" s="32"/>
      <c r="AB67" s="32"/>
      <c r="AC67" s="32"/>
    </row>
    <row r="68">
      <c r="A68" s="56">
        <v>66.0</v>
      </c>
      <c r="B68" s="13"/>
      <c r="C68" s="16" t="str">
        <f>IFERROR(__xludf.DUMMYFUNCTION("""COMPUTED_VALUE"""),"IC")</f>
        <v>IC</v>
      </c>
      <c r="D68" s="16" t="str">
        <f>IFERROR(__xludf.DUMMYFUNCTION("""COMPUTED_VALUE"""),"74HC74")</f>
        <v>74HC74</v>
      </c>
      <c r="E68" s="16" t="str">
        <f>IFERROR(__xludf.DUMMYFUNCTION("""COMPUTED_VALUE"""),"74HC74")</f>
        <v>74HC74</v>
      </c>
      <c r="F68" s="16" t="str">
        <f>IFERROR(__xludf.DUMMYFUNCTION("""COMPUTED_VALUE"""),"SMD")</f>
        <v>SMD</v>
      </c>
      <c r="G68" s="16" t="str">
        <f>IFERROR(__xludf.DUMMYFUNCTION("""COMPUTED_VALUE"""),"SOP-14_L8.6-W3.9-P1.27-LS6.0-BL")</f>
        <v>SOP-14_L8.6-W3.9-P1.27-LS6.0-BL</v>
      </c>
      <c r="H68" s="16">
        <f>IFERROR(__xludf.DUMMYFUNCTION("""COMPUTED_VALUE"""),2.0)</f>
        <v>2</v>
      </c>
      <c r="I68" s="80" t="s">
        <v>538</v>
      </c>
      <c r="J68" s="13" t="s">
        <v>528</v>
      </c>
      <c r="K68" s="13"/>
      <c r="L68" s="13"/>
      <c r="M68" s="16"/>
      <c r="N68" s="16">
        <f t="shared" si="1"/>
        <v>0</v>
      </c>
      <c r="O68" s="47">
        <v>590.0</v>
      </c>
      <c r="P68" s="48">
        <v>2500.0</v>
      </c>
      <c r="Q68" s="54">
        <f t="shared" si="2"/>
        <v>3090</v>
      </c>
      <c r="R68" s="55">
        <f t="shared" si="3"/>
        <v>500</v>
      </c>
      <c r="S68" s="55">
        <f t="shared" si="4"/>
        <v>2590</v>
      </c>
      <c r="T68" s="32"/>
      <c r="U68" s="32"/>
      <c r="V68" s="32"/>
      <c r="W68" s="32"/>
      <c r="X68" s="32"/>
      <c r="Y68" s="32"/>
      <c r="Z68" s="32"/>
      <c r="AA68" s="32"/>
      <c r="AB68" s="32"/>
      <c r="AC68" s="32"/>
    </row>
    <row r="69">
      <c r="A69" s="56">
        <v>67.0</v>
      </c>
      <c r="B69" s="13"/>
      <c r="C69" s="16" t="str">
        <f>IFERROR(__xludf.DUMMYFUNCTION("""COMPUTED_VALUE"""),"IC")</f>
        <v>IC</v>
      </c>
      <c r="D69" s="16" t="str">
        <f>IFERROR(__xludf.DUMMYFUNCTION("""COMPUTED_VALUE"""),"Amplifier IC 1-Channel (Mono) Class AB SOT-23-5")</f>
        <v>Amplifier IC 1-Channel (Mono) Class AB SOT-23-5</v>
      </c>
      <c r="E69" s="16" t="str">
        <f>IFERROR(__xludf.DUMMYFUNCTION("""COMPUTED_VALUE"""),"MAX4465EUK+T")</f>
        <v>MAX4465EUK+T</v>
      </c>
      <c r="F69" s="16" t="str">
        <f>IFERROR(__xludf.DUMMYFUNCTION("""COMPUTED_VALUE"""),"SMD")</f>
        <v>SMD</v>
      </c>
      <c r="G69" s="16" t="str">
        <f>IFERROR(__xludf.DUMMYFUNCTION("""COMPUTED_VALUE"""),"SOT-23-5")</f>
        <v>SOT-23-5</v>
      </c>
      <c r="H69" s="16">
        <f>IFERROR(__xludf.DUMMYFUNCTION("""COMPUTED_VALUE"""),2.0)</f>
        <v>2</v>
      </c>
      <c r="I69" s="80" t="s">
        <v>539</v>
      </c>
      <c r="J69" s="13" t="s">
        <v>534</v>
      </c>
      <c r="K69" s="13"/>
      <c r="L69" s="16"/>
      <c r="M69" s="16"/>
      <c r="N69" s="16">
        <f t="shared" si="1"/>
        <v>0</v>
      </c>
      <c r="O69" s="47">
        <v>80.0</v>
      </c>
      <c r="P69" s="48">
        <v>750.0</v>
      </c>
      <c r="Q69" s="54">
        <f t="shared" si="2"/>
        <v>830</v>
      </c>
      <c r="R69" s="55">
        <f t="shared" si="3"/>
        <v>500</v>
      </c>
      <c r="S69" s="55">
        <f t="shared" si="4"/>
        <v>330</v>
      </c>
      <c r="T69" s="32"/>
      <c r="U69" s="32"/>
      <c r="V69" s="32"/>
      <c r="W69" s="32"/>
      <c r="X69" s="32"/>
      <c r="Y69" s="32"/>
      <c r="Z69" s="32"/>
      <c r="AA69" s="32"/>
      <c r="AB69" s="32"/>
      <c r="AC69" s="32"/>
    </row>
    <row r="70">
      <c r="A70" s="56">
        <v>68.0</v>
      </c>
      <c r="B70" s="13"/>
      <c r="C70" s="16" t="str">
        <f>IFERROR(__xludf.DUMMYFUNCTION("""COMPUTED_VALUE"""),"IC")</f>
        <v>IC</v>
      </c>
      <c r="D70" s="16" t="str">
        <f>IFERROR(__xludf.DUMMYFUNCTION("""COMPUTED_VALUE"""),"Amplifier IC 2-Channel (Stereo) Class D 28-HTSSOP")</f>
        <v>Amplifier IC 2-Channel (Stereo) Class D 28-HTSSOP</v>
      </c>
      <c r="E70" s="16" t="str">
        <f>IFERROR(__xludf.DUMMYFUNCTION("""COMPUTED_VALUE"""),"TPA3144D2PWP")</f>
        <v>TPA3144D2PWP</v>
      </c>
      <c r="F70" s="16" t="str">
        <f>IFERROR(__xludf.DUMMYFUNCTION("""COMPUTED_VALUE"""),"SMD")</f>
        <v>SMD</v>
      </c>
      <c r="G70" s="16" t="str">
        <f>IFERROR(__xludf.DUMMYFUNCTION("""COMPUTED_VALUE"""),"28-HTSSOP")</f>
        <v>28-HTSSOP</v>
      </c>
      <c r="H70" s="16">
        <f>IFERROR(__xludf.DUMMYFUNCTION("""COMPUTED_VALUE"""),3.0)</f>
        <v>3</v>
      </c>
      <c r="I70" s="80" t="s">
        <v>540</v>
      </c>
      <c r="J70" s="13" t="s">
        <v>541</v>
      </c>
      <c r="K70" s="13"/>
      <c r="L70" s="16"/>
      <c r="M70" s="16"/>
      <c r="N70" s="16">
        <f t="shared" si="1"/>
        <v>0</v>
      </c>
      <c r="O70" s="47">
        <v>0.0</v>
      </c>
      <c r="P70" s="48">
        <v>750.0</v>
      </c>
      <c r="Q70" s="54">
        <f t="shared" si="2"/>
        <v>750</v>
      </c>
      <c r="R70" s="55">
        <f t="shared" si="3"/>
        <v>750</v>
      </c>
      <c r="S70" s="55">
        <f t="shared" si="4"/>
        <v>0</v>
      </c>
      <c r="T70" s="32"/>
      <c r="U70" s="32"/>
      <c r="V70" s="32"/>
      <c r="W70" s="32"/>
      <c r="X70" s="32"/>
      <c r="Y70" s="32"/>
      <c r="Z70" s="32"/>
      <c r="AA70" s="32"/>
      <c r="AB70" s="32"/>
      <c r="AC70" s="32"/>
    </row>
    <row r="71">
      <c r="A71" s="56">
        <v>69.0</v>
      </c>
      <c r="B71" s="13"/>
      <c r="C71" s="16" t="str">
        <f>IFERROR(__xludf.DUMMYFUNCTION("""COMPUTED_VALUE"""),"IC")</f>
        <v>IC</v>
      </c>
      <c r="D71" s="16" t="str">
        <f>IFERROR(__xludf.DUMMYFUNCTION("""COMPUTED_VALUE"""),"ARM® Cortex®-M4 STM32F4 Microcontroller IC 32-Bit 100MHz 1MB (1M x 8) FLASH 64-LQFP (10x10)")</f>
        <v>ARM® Cortex®-M4 STM32F4 Microcontroller IC 32-Bit 100MHz 1MB (1M x 8) FLASH 64-LQFP (10x10)</v>
      </c>
      <c r="E71" s="16" t="str">
        <f>IFERROR(__xludf.DUMMYFUNCTION("""COMPUTED_VALUE"""),"STM32F412RGT6")</f>
        <v>STM32F412RGT6</v>
      </c>
      <c r="F71" s="16" t="str">
        <f>IFERROR(__xludf.DUMMYFUNCTION("""COMPUTED_VALUE"""),"SMD")</f>
        <v>SMD</v>
      </c>
      <c r="G71" s="16" t="str">
        <f>IFERROR(__xludf.DUMMYFUNCTION("""COMPUTED_VALUE"""),"QFP-64")</f>
        <v>QFP-64</v>
      </c>
      <c r="H71" s="16">
        <f>IFERROR(__xludf.DUMMYFUNCTION("""COMPUTED_VALUE"""),2.0)</f>
        <v>2</v>
      </c>
      <c r="I71" s="80" t="s">
        <v>542</v>
      </c>
      <c r="J71" s="13" t="s">
        <v>537</v>
      </c>
      <c r="K71" s="13"/>
      <c r="L71" s="16"/>
      <c r="M71" s="16"/>
      <c r="N71" s="16">
        <f t="shared" si="1"/>
        <v>0</v>
      </c>
      <c r="O71" s="47">
        <v>300.0</v>
      </c>
      <c r="P71" s="48">
        <v>500.0</v>
      </c>
      <c r="Q71" s="54">
        <f t="shared" si="2"/>
        <v>800</v>
      </c>
      <c r="R71" s="55">
        <f t="shared" si="3"/>
        <v>500</v>
      </c>
      <c r="S71" s="55">
        <f t="shared" si="4"/>
        <v>300</v>
      </c>
      <c r="T71" s="32"/>
      <c r="U71" s="32"/>
      <c r="V71" s="32"/>
      <c r="W71" s="32"/>
      <c r="X71" s="32"/>
      <c r="Y71" s="32"/>
      <c r="Z71" s="32"/>
      <c r="AA71" s="32"/>
      <c r="AB71" s="32"/>
      <c r="AC71" s="32"/>
    </row>
    <row r="72">
      <c r="A72" s="56">
        <v>70.0</v>
      </c>
      <c r="B72" s="13"/>
      <c r="C72" s="16" t="str">
        <f>IFERROR(__xludf.DUMMYFUNCTION("""COMPUTED_VALUE"""),"IC")</f>
        <v>IC</v>
      </c>
      <c r="D72" s="16" t="str">
        <f>IFERROR(__xludf.DUMMYFUNCTION("""COMPUTED_VALUE"""),"ARM7® LPC2400 Microcontroller IC 16/32-Bit 72MHz 512KB (512K x 8) FLASH 208-LQFP (28x28)")</f>
        <v>ARM7® LPC2400 Microcontroller IC 16/32-Bit 72MHz 512KB (512K x 8) FLASH 208-LQFP (28x28)</v>
      </c>
      <c r="E72" s="16" t="str">
        <f>IFERROR(__xludf.DUMMYFUNCTION("""COMPUTED_VALUE"""),"LPC2468FBD208,551")</f>
        <v>LPC2468FBD208,551</v>
      </c>
      <c r="F72" s="16" t="str">
        <f>IFERROR(__xludf.DUMMYFUNCTION("""COMPUTED_VALUE"""),"SMD")</f>
        <v>SMD</v>
      </c>
      <c r="G72" s="16" t="str">
        <f>IFERROR(__xludf.DUMMYFUNCTION("""COMPUTED_VALUE"""),"LQFP-208_L28.0-W28.0-P0.50-LS30.0-BL")</f>
        <v>LQFP-208_L28.0-W28.0-P0.50-LS30.0-BL</v>
      </c>
      <c r="H72" s="16">
        <f>IFERROR(__xludf.DUMMYFUNCTION("""COMPUTED_VALUE"""),2.0)</f>
        <v>2</v>
      </c>
      <c r="I72" s="80" t="s">
        <v>543</v>
      </c>
      <c r="J72" s="13" t="s">
        <v>537</v>
      </c>
      <c r="K72" s="13"/>
      <c r="L72" s="16"/>
      <c r="M72" s="16"/>
      <c r="N72" s="16">
        <f t="shared" si="1"/>
        <v>0</v>
      </c>
      <c r="O72" s="47">
        <v>218.0</v>
      </c>
      <c r="P72" s="48">
        <v>504.0</v>
      </c>
      <c r="Q72" s="54">
        <f t="shared" si="2"/>
        <v>722</v>
      </c>
      <c r="R72" s="55">
        <f t="shared" si="3"/>
        <v>500</v>
      </c>
      <c r="S72" s="55">
        <f t="shared" si="4"/>
        <v>222</v>
      </c>
      <c r="T72" s="32"/>
      <c r="U72" s="32"/>
      <c r="V72" s="32"/>
      <c r="W72" s="32"/>
      <c r="X72" s="32"/>
      <c r="Y72" s="32"/>
      <c r="Z72" s="32"/>
      <c r="AA72" s="32"/>
      <c r="AB72" s="32"/>
      <c r="AC72" s="32"/>
    </row>
    <row r="73">
      <c r="A73" s="56">
        <v>71.0</v>
      </c>
      <c r="B73" s="13"/>
      <c r="C73" s="16" t="str">
        <f>IFERROR(__xludf.DUMMYFUNCTION("""COMPUTED_VALUE"""),"IC")</f>
        <v>IC</v>
      </c>
      <c r="D73" s="16" t="str">
        <f>IFERROR(__xludf.DUMMYFUNCTION("""COMPUTED_VALUE"""),"Bipolar (BJT) Transistor NPN 40 V 200 mA 300MHz 350 mW Surface Mount SOT-23-3 (TO-236)")</f>
        <v>Bipolar (BJT) Transistor NPN 40 V 200 mA 300MHz 350 mW Surface Mount SOT-23-3 (TO-236)</v>
      </c>
      <c r="E73" s="16" t="str">
        <f>IFERROR(__xludf.DUMMYFUNCTION("""COMPUTED_VALUE"""),"MMBT3904")</f>
        <v>MMBT3904</v>
      </c>
      <c r="F73" s="16" t="str">
        <f>IFERROR(__xludf.DUMMYFUNCTION("""COMPUTED_VALUE"""),"SMD")</f>
        <v>SMD</v>
      </c>
      <c r="G73" s="16" t="str">
        <f>IFERROR(__xludf.DUMMYFUNCTION("""COMPUTED_VALUE"""),"TO-236-3, SC-59, SOT-23-3")</f>
        <v>TO-236-3, SC-59, SOT-23-3</v>
      </c>
      <c r="H73" s="16">
        <f>IFERROR(__xludf.DUMMYFUNCTION("""COMPUTED_VALUE"""),1.0)</f>
        <v>1</v>
      </c>
      <c r="I73" s="80" t="s">
        <v>532</v>
      </c>
      <c r="J73" s="13" t="s">
        <v>530</v>
      </c>
      <c r="K73" s="13"/>
      <c r="L73" s="16"/>
      <c r="M73" s="16"/>
      <c r="N73" s="16">
        <f t="shared" si="1"/>
        <v>0</v>
      </c>
      <c r="O73" s="47">
        <v>0.0</v>
      </c>
      <c r="P73" s="48">
        <v>500.0</v>
      </c>
      <c r="Q73" s="54">
        <f t="shared" si="2"/>
        <v>500</v>
      </c>
      <c r="R73" s="55">
        <f t="shared" si="3"/>
        <v>250</v>
      </c>
      <c r="S73" s="55">
        <f t="shared" si="4"/>
        <v>250</v>
      </c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>
      <c r="A74" s="56">
        <v>72.0</v>
      </c>
      <c r="B74" s="13"/>
      <c r="C74" s="16" t="str">
        <f>IFERROR(__xludf.DUMMYFUNCTION("""COMPUTED_VALUE"""),"IC")</f>
        <v>IC</v>
      </c>
      <c r="D74" s="16" t="str">
        <f>IFERROR(__xludf.DUMMYFUNCTION("""COMPUTED_VALUE"""),"DB107")</f>
        <v>DB107</v>
      </c>
      <c r="E74" s="16" t="str">
        <f>IFERROR(__xludf.DUMMYFUNCTION("""COMPUTED_VALUE"""),"DB107")</f>
        <v>DB107</v>
      </c>
      <c r="F74" s="16" t="str">
        <f>IFERROR(__xludf.DUMMYFUNCTION("""COMPUTED_VALUE"""),"DIP")</f>
        <v>DIP</v>
      </c>
      <c r="G74" s="16" t="str">
        <f>IFERROR(__xludf.DUMMYFUNCTION("""COMPUTED_VALUE"""),"DB-TH-4P_L8.5-W6.5-P5.08-BL")</f>
        <v>DB-TH-4P_L8.5-W6.5-P5.08-BL</v>
      </c>
      <c r="H74" s="16">
        <f>IFERROR(__xludf.DUMMYFUNCTION("""COMPUTED_VALUE"""),3.0)</f>
        <v>3</v>
      </c>
      <c r="I74" s="80" t="s">
        <v>540</v>
      </c>
      <c r="J74" s="13" t="s">
        <v>541</v>
      </c>
      <c r="K74" s="13"/>
      <c r="L74" s="16"/>
      <c r="M74" s="16"/>
      <c r="N74" s="16">
        <f t="shared" si="1"/>
        <v>0</v>
      </c>
      <c r="O74" s="47">
        <v>0.0</v>
      </c>
      <c r="P74" s="48">
        <v>1000.0</v>
      </c>
      <c r="Q74" s="54">
        <f t="shared" si="2"/>
        <v>1000</v>
      </c>
      <c r="R74" s="55">
        <f t="shared" si="3"/>
        <v>750</v>
      </c>
      <c r="S74" s="55">
        <f t="shared" si="4"/>
        <v>250</v>
      </c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>
      <c r="A75" s="56">
        <v>73.0</v>
      </c>
      <c r="B75" s="13"/>
      <c r="C75" s="16" t="str">
        <f>IFERROR(__xludf.DUMMYFUNCTION("""COMPUTED_VALUE"""),"IC")</f>
        <v>IC</v>
      </c>
      <c r="D75" s="16" t="str">
        <f>IFERROR(__xludf.DUMMYFUNCTION("""COMPUTED_VALUE"""),"DS3231SN#")</f>
        <v>DS3231SN#</v>
      </c>
      <c r="E75" s="16" t="str">
        <f>IFERROR(__xludf.DUMMYFUNCTION("""COMPUTED_VALUE"""),"DS3231SN#")</f>
        <v>DS3231SN#</v>
      </c>
      <c r="F75" s="16" t="str">
        <f>IFERROR(__xludf.DUMMYFUNCTION("""COMPUTED_VALUE"""),"SMD")</f>
        <v>SMD</v>
      </c>
      <c r="G75" s="16" t="str">
        <f>IFERROR(__xludf.DUMMYFUNCTION("""COMPUTED_VALUE"""),"SOIC-16_L10.3-W7.5-P1.27-LS10.3-BL")</f>
        <v>SOIC-16_L10.3-W7.5-P1.27-LS10.3-BL</v>
      </c>
      <c r="H75" s="16">
        <f>IFERROR(__xludf.DUMMYFUNCTION("""COMPUTED_VALUE"""),1.0)</f>
        <v>1</v>
      </c>
      <c r="I75" s="83" t="s">
        <v>544</v>
      </c>
      <c r="J75" s="13" t="s">
        <v>545</v>
      </c>
      <c r="K75" s="13"/>
      <c r="L75" s="16"/>
      <c r="M75" s="16"/>
      <c r="N75" s="16">
        <f t="shared" si="1"/>
        <v>0</v>
      </c>
      <c r="O75" s="47">
        <v>25.0</v>
      </c>
      <c r="P75" s="48">
        <v>3000.0</v>
      </c>
      <c r="Q75" s="54">
        <f t="shared" si="2"/>
        <v>3025</v>
      </c>
      <c r="R75" s="55">
        <f t="shared" si="3"/>
        <v>250</v>
      </c>
      <c r="S75" s="55">
        <f t="shared" si="4"/>
        <v>2775</v>
      </c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>
      <c r="A76" s="56">
        <v>74.0</v>
      </c>
      <c r="B76" s="13"/>
      <c r="C76" s="16" t="str">
        <f>IFERROR(__xludf.DUMMYFUNCTION("""COMPUTED_VALUE"""),"IC")</f>
        <v>IC</v>
      </c>
      <c r="D76" s="16" t="str">
        <f>IFERROR(__xludf.DUMMYFUNCTION("""COMPUTED_VALUE"""),"ESD Protection IC")</f>
        <v>ESD Protection IC</v>
      </c>
      <c r="E76" s="16" t="str">
        <f>IFERROR(__xludf.DUMMYFUNCTION("""COMPUTED_VALUE"""),"ESDA6V1-4BC6")</f>
        <v>ESDA6V1-4BC6</v>
      </c>
      <c r="F76" s="16" t="str">
        <f>IFERROR(__xludf.DUMMYFUNCTION("""COMPUTED_VALUE"""),"SMD")</f>
        <v>SMD</v>
      </c>
      <c r="G76" s="16" t="str">
        <f>IFERROR(__xludf.DUMMYFUNCTION("""COMPUTED_VALUE"""),"SOT95P280X145-6N")</f>
        <v>SOT95P280X145-6N</v>
      </c>
      <c r="H76" s="16">
        <f>IFERROR(__xludf.DUMMYFUNCTION("""COMPUTED_VALUE"""),4.0)</f>
        <v>4</v>
      </c>
      <c r="I76" s="80" t="s">
        <v>546</v>
      </c>
      <c r="J76" s="13" t="s">
        <v>528</v>
      </c>
      <c r="K76" s="13"/>
      <c r="L76" s="16"/>
      <c r="M76" s="16"/>
      <c r="N76" s="16">
        <f t="shared" si="1"/>
        <v>0</v>
      </c>
      <c r="O76" s="47"/>
      <c r="P76" s="48">
        <v>3000.0</v>
      </c>
      <c r="Q76" s="54">
        <f t="shared" si="2"/>
        <v>3000</v>
      </c>
      <c r="R76" s="55">
        <f t="shared" si="3"/>
        <v>1000</v>
      </c>
      <c r="S76" s="55">
        <f t="shared" si="4"/>
        <v>2000</v>
      </c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>
      <c r="A77" s="56">
        <v>75.0</v>
      </c>
      <c r="B77" s="13"/>
      <c r="C77" s="16" t="str">
        <f>IFERROR(__xludf.DUMMYFUNCTION("""COMPUTED_VALUE"""),"IC")</f>
        <v>IC</v>
      </c>
      <c r="D77" s="16" t="str">
        <f>IFERROR(__xludf.DUMMYFUNCTION("""COMPUTED_VALUE"""),"ESD Protection IC")</f>
        <v>ESD Protection IC</v>
      </c>
      <c r="E77" s="16" t="str">
        <f>IFERROR(__xludf.DUMMYFUNCTION("""COMPUTED_VALUE"""),"ESDALC6V1W5")</f>
        <v>ESDALC6V1W5</v>
      </c>
      <c r="F77" s="16" t="str">
        <f>IFERROR(__xludf.DUMMYFUNCTION("""COMPUTED_VALUE"""),"SMD")</f>
        <v>SMD</v>
      </c>
      <c r="G77" s="16" t="str">
        <f>IFERROR(__xludf.DUMMYFUNCTION("""COMPUTED_VALUE"""),"SOT-323-5_L2.0-W1.3-LS2.1-BL")</f>
        <v>SOT-323-5_L2.0-W1.3-LS2.1-BL</v>
      </c>
      <c r="H77" s="16">
        <f>IFERROR(__xludf.DUMMYFUNCTION("""COMPUTED_VALUE"""),10.0)</f>
        <v>10</v>
      </c>
      <c r="I77" s="80" t="s">
        <v>546</v>
      </c>
      <c r="J77" s="13" t="s">
        <v>528</v>
      </c>
      <c r="K77" s="16"/>
      <c r="L77" s="16"/>
      <c r="M77" s="16"/>
      <c r="N77" s="16">
        <f t="shared" si="1"/>
        <v>0</v>
      </c>
      <c r="O77" s="47">
        <v>1195.0</v>
      </c>
      <c r="P77" s="48">
        <v>3000.0</v>
      </c>
      <c r="Q77" s="54">
        <f t="shared" si="2"/>
        <v>4195</v>
      </c>
      <c r="R77" s="55">
        <f t="shared" si="3"/>
        <v>2500</v>
      </c>
      <c r="S77" s="55">
        <f t="shared" si="4"/>
        <v>1695</v>
      </c>
      <c r="T77" s="32"/>
      <c r="U77" s="32"/>
      <c r="V77" s="32"/>
      <c r="W77" s="32"/>
      <c r="X77" s="32"/>
      <c r="Y77" s="32"/>
      <c r="Z77" s="32"/>
      <c r="AA77" s="32"/>
      <c r="AB77" s="32"/>
      <c r="AC77" s="32"/>
    </row>
    <row r="78">
      <c r="A78" s="56">
        <v>76.0</v>
      </c>
      <c r="B78" s="13"/>
      <c r="C78" s="16" t="str">
        <f>IFERROR(__xludf.DUMMYFUNCTION("""COMPUTED_VALUE"""),"IC")</f>
        <v>IC</v>
      </c>
      <c r="D78" s="16" t="str">
        <f>IFERROR(__xludf.DUMMYFUNCTION("""COMPUTED_VALUE"""),"FLASH - NOR Memory IC 64Mbit SPI - Quad I/O 133 MHz 8-SOIC")</f>
        <v>FLASH - NOR Memory IC 64Mbit SPI - Quad I/O 133 MHz 8-SOIC</v>
      </c>
      <c r="E78" s="16" t="str">
        <f>IFERROR(__xludf.DUMMYFUNCTION("""COMPUTED_VALUE"""),"W25Q64JVSSIQ")</f>
        <v>W25Q64JVSSIQ</v>
      </c>
      <c r="F78" s="16" t="str">
        <f>IFERROR(__xludf.DUMMYFUNCTION("""COMPUTED_VALUE"""),"SMD")</f>
        <v>SMD</v>
      </c>
      <c r="G78" s="16" t="str">
        <f>IFERROR(__xludf.DUMMYFUNCTION("""COMPUTED_VALUE"""),"8-SOIC (0.209"", 5.30mm Width)")</f>
        <v>8-SOIC (0.209", 5.30mm Width)</v>
      </c>
      <c r="H78" s="16">
        <f>IFERROR(__xludf.DUMMYFUNCTION("""COMPUTED_VALUE"""),1.0)</f>
        <v>1</v>
      </c>
      <c r="I78" s="80" t="s">
        <v>547</v>
      </c>
      <c r="J78" s="13" t="s">
        <v>541</v>
      </c>
      <c r="K78" s="16"/>
      <c r="L78" s="16"/>
      <c r="M78" s="16"/>
      <c r="N78" s="16">
        <f t="shared" si="1"/>
        <v>0</v>
      </c>
      <c r="O78" s="47">
        <v>0.0</v>
      </c>
      <c r="P78" s="48">
        <v>1250.0</v>
      </c>
      <c r="Q78" s="54">
        <f t="shared" si="2"/>
        <v>1250</v>
      </c>
      <c r="R78" s="55">
        <f t="shared" si="3"/>
        <v>250</v>
      </c>
      <c r="S78" s="55">
        <f t="shared" si="4"/>
        <v>1000</v>
      </c>
      <c r="T78" s="32"/>
      <c r="U78" s="32"/>
      <c r="V78" s="32"/>
      <c r="W78" s="32"/>
      <c r="X78" s="32"/>
      <c r="Y78" s="32"/>
      <c r="Z78" s="32"/>
      <c r="AA78" s="32"/>
      <c r="AB78" s="32"/>
      <c r="AC78" s="32"/>
    </row>
    <row r="79">
      <c r="A79" s="56">
        <v>77.0</v>
      </c>
      <c r="B79" s="16"/>
      <c r="C79" s="16" t="str">
        <f>IFERROR(__xludf.DUMMYFUNCTION("""COMPUTED_VALUE"""),"IC")</f>
        <v>IC</v>
      </c>
      <c r="D79" s="16" t="str">
        <f>IFERROR(__xludf.DUMMYFUNCTION("""COMPUTED_VALUE"""),"H11A1")</f>
        <v>H11A1</v>
      </c>
      <c r="E79" s="16" t="str">
        <f>IFERROR(__xludf.DUMMYFUNCTION("""COMPUTED_VALUE"""),"H11A1")</f>
        <v>H11A1</v>
      </c>
      <c r="F79" s="16" t="str">
        <f>IFERROR(__xludf.DUMMYFUNCTION("""COMPUTED_VALUE"""),"DIP")</f>
        <v>DIP</v>
      </c>
      <c r="G79" s="16" t="str">
        <f>IFERROR(__xludf.DUMMYFUNCTION("""COMPUTED_VALUE"""),"DIP-6_L9.6-W6.4-P2.54-LS7.6-BL")</f>
        <v>DIP-6_L9.6-W6.4-P2.54-LS7.6-BL</v>
      </c>
      <c r="H79" s="16">
        <f>IFERROR(__xludf.DUMMYFUNCTION("""COMPUTED_VALUE"""),5.0)</f>
        <v>5</v>
      </c>
      <c r="I79" s="80" t="s">
        <v>540</v>
      </c>
      <c r="J79" s="13" t="s">
        <v>541</v>
      </c>
      <c r="K79" s="13"/>
      <c r="L79" s="16"/>
      <c r="M79" s="16"/>
      <c r="N79" s="16">
        <f t="shared" si="1"/>
        <v>0</v>
      </c>
      <c r="O79" s="84"/>
      <c r="P79" s="48">
        <v>2000.0</v>
      </c>
      <c r="Q79" s="54">
        <f t="shared" si="2"/>
        <v>2000</v>
      </c>
      <c r="R79" s="55">
        <f t="shared" si="3"/>
        <v>1250</v>
      </c>
      <c r="S79" s="55">
        <f t="shared" si="4"/>
        <v>750</v>
      </c>
      <c r="T79" s="32"/>
      <c r="U79" s="32"/>
      <c r="V79" s="32"/>
      <c r="W79" s="32"/>
      <c r="X79" s="32"/>
      <c r="Y79" s="32"/>
      <c r="Z79" s="32"/>
      <c r="AA79" s="32"/>
      <c r="AB79" s="32"/>
      <c r="AC79" s="32"/>
    </row>
    <row r="80">
      <c r="A80" s="56">
        <v>78.0</v>
      </c>
      <c r="B80" s="13"/>
      <c r="C80" s="16" t="str">
        <f>IFERROR(__xludf.DUMMYFUNCTION("""COMPUTED_VALUE"""),"IC")</f>
        <v>IC</v>
      </c>
      <c r="D80" s="16" t="str">
        <f>IFERROR(__xludf.DUMMYFUNCTION("""COMPUTED_VALUE"""),"H11A1/MCT2E")</f>
        <v>H11A1/MCT2E</v>
      </c>
      <c r="E80" s="16" t="str">
        <f>IFERROR(__xludf.DUMMYFUNCTION("""COMPUTED_VALUE"""),"MCT2E")</f>
        <v>MCT2E</v>
      </c>
      <c r="F80" s="16" t="str">
        <f>IFERROR(__xludf.DUMMYFUNCTION("""COMPUTED_VALUE"""),"DIP")</f>
        <v>DIP</v>
      </c>
      <c r="G80" s="16" t="str">
        <f>IFERROR(__xludf.DUMMYFUNCTION("""COMPUTED_VALUE"""),"DIP-6_L9.6-W6.4-P2.54-LS7.6-BL")</f>
        <v>DIP-6_L9.6-W6.4-P2.54-LS7.6-BL</v>
      </c>
      <c r="H80" s="16">
        <f>IFERROR(__xludf.DUMMYFUNCTION("""COMPUTED_VALUE"""),3.0)</f>
        <v>3</v>
      </c>
      <c r="I80" s="80" t="s">
        <v>540</v>
      </c>
      <c r="J80" s="13" t="s">
        <v>541</v>
      </c>
      <c r="K80" s="13"/>
      <c r="L80" s="16"/>
      <c r="M80" s="16"/>
      <c r="N80" s="16">
        <f t="shared" si="1"/>
        <v>0</v>
      </c>
      <c r="O80" s="47">
        <v>535.0</v>
      </c>
      <c r="P80" s="48">
        <v>1035.0</v>
      </c>
      <c r="Q80" s="54">
        <f t="shared" si="2"/>
        <v>1570</v>
      </c>
      <c r="R80" s="55">
        <f t="shared" si="3"/>
        <v>750</v>
      </c>
      <c r="S80" s="55">
        <f t="shared" si="4"/>
        <v>820</v>
      </c>
      <c r="T80" s="32"/>
      <c r="U80" s="32"/>
      <c r="V80" s="32"/>
      <c r="W80" s="32"/>
      <c r="X80" s="32"/>
      <c r="Y80" s="32"/>
      <c r="Z80" s="32"/>
      <c r="AA80" s="32"/>
      <c r="AB80" s="32"/>
      <c r="AC80" s="32"/>
    </row>
    <row r="81">
      <c r="A81" s="56">
        <v>79.0</v>
      </c>
      <c r="B81" s="13"/>
      <c r="C81" s="16" t="str">
        <f>IFERROR(__xludf.DUMMYFUNCTION("""COMPUTED_VALUE"""),"IC")</f>
        <v>IC</v>
      </c>
      <c r="D81" s="16" t="str">
        <f>IFERROR(__xludf.DUMMYFUNCTION("""COMPUTED_VALUE"""),"HT9170D")</f>
        <v>HT9170D</v>
      </c>
      <c r="E81" s="16" t="str">
        <f>IFERROR(__xludf.DUMMYFUNCTION("""COMPUTED_VALUE"""),"HT9170D")</f>
        <v>HT9170D</v>
      </c>
      <c r="F81" s="16" t="str">
        <f>IFERROR(__xludf.DUMMYFUNCTION("""COMPUTED_VALUE"""),"SMD")</f>
        <v>SMD</v>
      </c>
      <c r="G81" s="16" t="str">
        <f>IFERROR(__xludf.DUMMYFUNCTION("""COMPUTED_VALUE"""),"SOIC-18_L11.6-W7.5-P1.27-LS10.3-BL")</f>
        <v>SOIC-18_L11.6-W7.5-P1.27-LS10.3-BL</v>
      </c>
      <c r="H81" s="16">
        <f>IFERROR(__xludf.DUMMYFUNCTION("""COMPUTED_VALUE"""),4.0)</f>
        <v>4</v>
      </c>
      <c r="I81" s="80" t="s">
        <v>548</v>
      </c>
      <c r="J81" s="13" t="s">
        <v>541</v>
      </c>
      <c r="K81" s="13"/>
      <c r="L81" s="16"/>
      <c r="M81" s="16"/>
      <c r="N81" s="16">
        <f t="shared" si="1"/>
        <v>0</v>
      </c>
      <c r="O81" s="47">
        <v>160.0</v>
      </c>
      <c r="P81" s="48">
        <v>1000.0</v>
      </c>
      <c r="Q81" s="54">
        <f t="shared" si="2"/>
        <v>1160</v>
      </c>
      <c r="R81" s="55">
        <f t="shared" si="3"/>
        <v>1000</v>
      </c>
      <c r="S81" s="55">
        <f t="shared" si="4"/>
        <v>160</v>
      </c>
      <c r="T81" s="32"/>
      <c r="U81" s="32"/>
      <c r="V81" s="32"/>
      <c r="W81" s="32"/>
      <c r="X81" s="32"/>
      <c r="Y81" s="32"/>
      <c r="Z81" s="32"/>
      <c r="AA81" s="32"/>
      <c r="AB81" s="32"/>
      <c r="AC81" s="32"/>
    </row>
    <row r="82">
      <c r="A82" s="56">
        <v>80.0</v>
      </c>
      <c r="B82" s="13"/>
      <c r="C82" s="16" t="str">
        <f>IFERROR(__xludf.DUMMYFUNCTION("""COMPUTED_VALUE"""),"IC")</f>
        <v>IC</v>
      </c>
      <c r="D82" s="16" t="str">
        <f>IFERROR(__xludf.DUMMYFUNCTION("""COMPUTED_VALUE"""),"I/O Expander 16 I2C 1.7 MHz 28-SSOP")</f>
        <v>I/O Expander 16 I2C 1.7 MHz 28-SSOP</v>
      </c>
      <c r="E82" s="16" t="str">
        <f>IFERROR(__xludf.DUMMYFUNCTION("""COMPUTED_VALUE"""),"MCP23017-E/SS")</f>
        <v>MCP23017-E/SS</v>
      </c>
      <c r="F82" s="16" t="str">
        <f>IFERROR(__xludf.DUMMYFUNCTION("""COMPUTED_VALUE"""),"SMD")</f>
        <v>SMD</v>
      </c>
      <c r="G82" s="16" t="str">
        <f>IFERROR(__xludf.DUMMYFUNCTION("""COMPUTED_VALUE"""),"SOT-23-6")</f>
        <v>SOT-23-6</v>
      </c>
      <c r="H82" s="16">
        <f>IFERROR(__xludf.DUMMYFUNCTION("""COMPUTED_VALUE"""),2.0)</f>
        <v>2</v>
      </c>
      <c r="I82" s="80" t="s">
        <v>536</v>
      </c>
      <c r="J82" s="13" t="s">
        <v>530</v>
      </c>
      <c r="K82" s="13"/>
      <c r="L82" s="16"/>
      <c r="M82" s="16"/>
      <c r="N82" s="16">
        <f t="shared" si="1"/>
        <v>0</v>
      </c>
      <c r="O82" s="47">
        <v>0.0</v>
      </c>
      <c r="P82" s="48">
        <v>500.0</v>
      </c>
      <c r="Q82" s="54">
        <f t="shared" si="2"/>
        <v>500</v>
      </c>
      <c r="R82" s="55">
        <f t="shared" si="3"/>
        <v>500</v>
      </c>
      <c r="S82" s="55">
        <f t="shared" si="4"/>
        <v>0</v>
      </c>
      <c r="T82" s="32"/>
      <c r="U82" s="32"/>
      <c r="V82" s="32"/>
      <c r="W82" s="32"/>
      <c r="X82" s="32"/>
      <c r="Y82" s="32"/>
      <c r="Z82" s="32"/>
      <c r="AA82" s="32"/>
      <c r="AB82" s="32"/>
      <c r="AC82" s="32"/>
    </row>
    <row r="83">
      <c r="A83" s="56">
        <v>81.0</v>
      </c>
      <c r="B83" s="13"/>
      <c r="C83" s="16" t="str">
        <f>IFERROR(__xludf.DUMMYFUNCTION("""COMPUTED_VALUE"""),"IC")</f>
        <v>IC</v>
      </c>
      <c r="D83" s="16" t="str">
        <f>IFERROR(__xludf.DUMMYFUNCTION("""COMPUTED_VALUE"""),"IC PWR SWITCH N-CHAN 1:1 SOT23-5")</f>
        <v>IC PWR SWITCH N-CHAN 1:1 SOT23-5</v>
      </c>
      <c r="E83" s="16" t="str">
        <f>IFERROR(__xludf.DUMMYFUNCTION("""COMPUTED_VALUE"""),"STMPS2141STR")</f>
        <v>STMPS2141STR</v>
      </c>
      <c r="F83" s="16" t="str">
        <f>IFERROR(__xludf.DUMMYFUNCTION("""COMPUTED_VALUE"""),"SMD")</f>
        <v>SMD</v>
      </c>
      <c r="G83" s="16" t="str">
        <f>IFERROR(__xludf.DUMMYFUNCTION("""COMPUTED_VALUE"""),"SOT-23-5_L3.0-W1.7-P0.95-LS2.8-BR")</f>
        <v>SOT-23-5_L3.0-W1.7-P0.95-LS2.8-BR</v>
      </c>
      <c r="H83" s="16">
        <f>IFERROR(__xludf.DUMMYFUNCTION("""COMPUTED_VALUE"""),2.0)</f>
        <v>2</v>
      </c>
      <c r="I83" s="80" t="s">
        <v>532</v>
      </c>
      <c r="J83" s="13" t="s">
        <v>530</v>
      </c>
      <c r="K83" s="13"/>
      <c r="L83" s="16"/>
      <c r="M83" s="16"/>
      <c r="N83" s="16">
        <f t="shared" si="1"/>
        <v>0</v>
      </c>
      <c r="O83" s="47">
        <v>129.0</v>
      </c>
      <c r="P83" s="48">
        <v>500.0</v>
      </c>
      <c r="Q83" s="54">
        <f t="shared" si="2"/>
        <v>629</v>
      </c>
      <c r="R83" s="55">
        <f t="shared" si="3"/>
        <v>500</v>
      </c>
      <c r="S83" s="55">
        <f t="shared" si="4"/>
        <v>129</v>
      </c>
      <c r="T83" s="32"/>
      <c r="U83" s="32"/>
      <c r="V83" s="32"/>
      <c r="W83" s="32"/>
      <c r="X83" s="32"/>
      <c r="Y83" s="32"/>
      <c r="Z83" s="32"/>
      <c r="AA83" s="32"/>
      <c r="AB83" s="32"/>
      <c r="AC83" s="32"/>
    </row>
    <row r="84">
      <c r="A84" s="56">
        <v>82.0</v>
      </c>
      <c r="B84" s="13"/>
      <c r="C84" s="16" t="str">
        <f>IFERROR(__xludf.DUMMYFUNCTION("""COMPUTED_VALUE"""),"IC")</f>
        <v>IC</v>
      </c>
      <c r="D84" s="16" t="str">
        <f>IFERROR(__xludf.DUMMYFUNCTION("""COMPUTED_VALUE"""),"IC REG LINEAR 3.3V 800MA SOT-223")</f>
        <v>IC REG LINEAR 3.3V 800MA SOT-223</v>
      </c>
      <c r="E84" s="16" t="str">
        <f>IFERROR(__xludf.DUMMYFUNCTION("""COMPUTED_VALUE"""),"LM1117")</f>
        <v>LM1117</v>
      </c>
      <c r="F84" s="16" t="str">
        <f>IFERROR(__xludf.DUMMYFUNCTION("""COMPUTED_VALUE"""),"SMD")</f>
        <v>SMD</v>
      </c>
      <c r="G84" s="16" t="str">
        <f>IFERROR(__xludf.DUMMYFUNCTION("""COMPUTED_VALUE"""),"TO-252-2_L6.6-W6.1-P4.57-LS10.1-BR")</f>
        <v>TO-252-2_L6.6-W6.1-P4.57-LS10.1-BR</v>
      </c>
      <c r="H84" s="16">
        <f>IFERROR(__xludf.DUMMYFUNCTION("""COMPUTED_VALUE"""),2.0)</f>
        <v>2</v>
      </c>
      <c r="I84" s="80" t="s">
        <v>532</v>
      </c>
      <c r="J84" s="13" t="s">
        <v>530</v>
      </c>
      <c r="K84" s="13" t="s">
        <v>524</v>
      </c>
      <c r="L84" s="16"/>
      <c r="M84" s="16"/>
      <c r="N84" s="16">
        <f t="shared" si="1"/>
        <v>0</v>
      </c>
      <c r="O84" s="47">
        <v>850.0</v>
      </c>
      <c r="P84" s="48">
        <v>500.0</v>
      </c>
      <c r="Q84" s="54">
        <f t="shared" si="2"/>
        <v>1350</v>
      </c>
      <c r="R84" s="55">
        <f t="shared" si="3"/>
        <v>500</v>
      </c>
      <c r="S84" s="55">
        <f t="shared" si="4"/>
        <v>850</v>
      </c>
      <c r="T84" s="32"/>
      <c r="U84" s="32"/>
      <c r="V84" s="32"/>
      <c r="W84" s="32"/>
      <c r="X84" s="32"/>
      <c r="Y84" s="32"/>
      <c r="Z84" s="32"/>
      <c r="AA84" s="32"/>
      <c r="AB84" s="32"/>
      <c r="AC84" s="32"/>
    </row>
    <row r="85">
      <c r="A85" s="56">
        <v>83.0</v>
      </c>
      <c r="B85" s="13"/>
      <c r="C85" s="16" t="str">
        <f>IFERROR(__xludf.DUMMYFUNCTION("""COMPUTED_VALUE"""),"IC")</f>
        <v>IC</v>
      </c>
      <c r="D85" s="16" t="str">
        <f>IFERROR(__xludf.DUMMYFUNCTION("""COMPUTED_VALUE"""),"IC TRANSCEIVER FULL 1/1 16TSSOP")</f>
        <v>IC TRANSCEIVER FULL 1/1 16TSSOP</v>
      </c>
      <c r="E85" s="16" t="str">
        <f>IFERROR(__xludf.DUMMYFUNCTION("""COMPUTED_VALUE"""),"ICL3221ECVZ")</f>
        <v>ICL3221ECVZ</v>
      </c>
      <c r="F85" s="16" t="str">
        <f>IFERROR(__xludf.DUMMYFUNCTION("""COMPUTED_VALUE"""),"SMD")</f>
        <v>SMD</v>
      </c>
      <c r="G85" s="16" t="str">
        <f>IFERROR(__xludf.DUMMYFUNCTION("""COMPUTED_VALUE"""),"TSSOP-16_L5.0-W4.4-P0.65-LS6.4-BL")</f>
        <v>TSSOP-16_L5.0-W4.4-P0.65-LS6.4-BL</v>
      </c>
      <c r="H85" s="16">
        <f>IFERROR(__xludf.DUMMYFUNCTION("""COMPUTED_VALUE"""),2.0)</f>
        <v>2</v>
      </c>
      <c r="I85" s="80" t="s">
        <v>542</v>
      </c>
      <c r="J85" s="13" t="s">
        <v>541</v>
      </c>
      <c r="K85" s="13"/>
      <c r="L85" s="16"/>
      <c r="M85" s="16"/>
      <c r="N85" s="16">
        <f t="shared" si="1"/>
        <v>0</v>
      </c>
      <c r="O85" s="47">
        <v>44.0</v>
      </c>
      <c r="P85" s="48">
        <v>500.0</v>
      </c>
      <c r="Q85" s="54">
        <f t="shared" si="2"/>
        <v>544</v>
      </c>
      <c r="R85" s="55">
        <f t="shared" si="3"/>
        <v>500</v>
      </c>
      <c r="S85" s="55">
        <f t="shared" si="4"/>
        <v>44</v>
      </c>
      <c r="T85" s="32"/>
      <c r="U85" s="32"/>
      <c r="V85" s="32"/>
      <c r="W85" s="32"/>
      <c r="X85" s="32"/>
      <c r="Y85" s="32"/>
      <c r="Z85" s="32"/>
      <c r="AA85" s="32"/>
      <c r="AB85" s="32"/>
      <c r="AC85" s="32"/>
    </row>
    <row r="86">
      <c r="A86" s="56">
        <v>84.0</v>
      </c>
      <c r="B86" s="13"/>
      <c r="C86" s="16" t="str">
        <f>IFERROR(__xludf.DUMMYFUNCTION("""COMPUTED_VALUE"""),"IC")</f>
        <v>IC</v>
      </c>
      <c r="D86" s="16" t="str">
        <f>IFERROR(__xludf.DUMMYFUNCTION("""COMPUTED_VALUE"""),"Linear Voltage Regulator IC Positive Fixed 1 Output 150mA SOT-23-THIN")</f>
        <v>Linear Voltage Regulator IC Positive Fixed 1 Output 150mA SOT-23-THIN</v>
      </c>
      <c r="E86" s="16" t="str">
        <f>IFERROR(__xludf.DUMMYFUNCTION("""COMPUTED_VALUE"""),"TPS78318DDCT")</f>
        <v>TPS78318DDCT</v>
      </c>
      <c r="F86" s="16" t="str">
        <f>IFERROR(__xludf.DUMMYFUNCTION("""COMPUTED_VALUE"""),"SMD")</f>
        <v>SMD</v>
      </c>
      <c r="G86" s="16" t="str">
        <f>IFERROR(__xludf.DUMMYFUNCTION("""COMPUTED_VALUE"""),"SOT-23-5 Thin, TSOT-23-5")</f>
        <v>SOT-23-5 Thin, TSOT-23-5</v>
      </c>
      <c r="H86" s="16">
        <f>IFERROR(__xludf.DUMMYFUNCTION("""COMPUTED_VALUE"""),1.0)</f>
        <v>1</v>
      </c>
      <c r="I86" s="80" t="s">
        <v>549</v>
      </c>
      <c r="J86" s="13" t="s">
        <v>528</v>
      </c>
      <c r="K86" s="13"/>
      <c r="L86" s="16"/>
      <c r="M86" s="16"/>
      <c r="N86" s="16">
        <f t="shared" si="1"/>
        <v>0</v>
      </c>
      <c r="O86" s="47">
        <v>375.0</v>
      </c>
      <c r="P86" s="48">
        <v>1000.0</v>
      </c>
      <c r="Q86" s="54">
        <f t="shared" si="2"/>
        <v>1375</v>
      </c>
      <c r="R86" s="55">
        <f t="shared" si="3"/>
        <v>250</v>
      </c>
      <c r="S86" s="55">
        <f t="shared" si="4"/>
        <v>1125</v>
      </c>
      <c r="T86" s="32"/>
      <c r="U86" s="32"/>
      <c r="V86" s="32"/>
      <c r="W86" s="32"/>
      <c r="X86" s="32"/>
      <c r="Y86" s="32"/>
      <c r="Z86" s="32"/>
      <c r="AA86" s="32"/>
      <c r="AB86" s="32"/>
      <c r="AC86" s="32"/>
    </row>
    <row r="87">
      <c r="A87" s="56">
        <v>85.0</v>
      </c>
      <c r="B87" s="13"/>
      <c r="C87" s="16" t="str">
        <f>IFERROR(__xludf.DUMMYFUNCTION("""COMPUTED_VALUE"""),"IC")</f>
        <v>IC</v>
      </c>
      <c r="D87" s="16" t="str">
        <f>IFERROR(__xludf.DUMMYFUNCTION("""COMPUTED_VALUE"""),"LM324DR")</f>
        <v>LM324DR</v>
      </c>
      <c r="E87" s="16" t="str">
        <f>IFERROR(__xludf.DUMMYFUNCTION("""COMPUTED_VALUE"""),"LM324DR")</f>
        <v>LM324DR</v>
      </c>
      <c r="F87" s="16" t="str">
        <f>IFERROR(__xludf.DUMMYFUNCTION("""COMPUTED_VALUE"""),"SMD")</f>
        <v>SMD</v>
      </c>
      <c r="G87" s="16" t="str">
        <f>IFERROR(__xludf.DUMMYFUNCTION("""COMPUTED_VALUE"""),"SOIC-14_L8.7-W3.9-P1.27-LS6.0-BL")</f>
        <v>SOIC-14_L8.7-W3.9-P1.27-LS6.0-BL</v>
      </c>
      <c r="H87" s="16">
        <f>IFERROR(__xludf.DUMMYFUNCTION("""COMPUTED_VALUE"""),3.0)</f>
        <v>3</v>
      </c>
      <c r="I87" s="80" t="s">
        <v>532</v>
      </c>
      <c r="J87" s="13" t="s">
        <v>530</v>
      </c>
      <c r="K87" s="13"/>
      <c r="L87" s="16"/>
      <c r="M87" s="16"/>
      <c r="N87" s="16">
        <f t="shared" si="1"/>
        <v>0</v>
      </c>
      <c r="O87" s="47">
        <v>0.0</v>
      </c>
      <c r="P87" s="48">
        <v>1000.0</v>
      </c>
      <c r="Q87" s="54">
        <f t="shared" si="2"/>
        <v>1000</v>
      </c>
      <c r="R87" s="55">
        <f t="shared" si="3"/>
        <v>750</v>
      </c>
      <c r="S87" s="55">
        <f t="shared" si="4"/>
        <v>250</v>
      </c>
      <c r="T87" s="32"/>
      <c r="U87" s="32"/>
      <c r="V87" s="32"/>
      <c r="W87" s="32"/>
      <c r="X87" s="32"/>
      <c r="Y87" s="32"/>
      <c r="Z87" s="32"/>
      <c r="AA87" s="32"/>
      <c r="AB87" s="32"/>
      <c r="AC87" s="32"/>
    </row>
    <row r="88">
      <c r="A88" s="56">
        <v>86.0</v>
      </c>
      <c r="B88" s="13"/>
      <c r="C88" s="16" t="str">
        <f>IFERROR(__xludf.DUMMYFUNCTION("""COMPUTED_VALUE"""),"IC")</f>
        <v>IC</v>
      </c>
      <c r="D88" s="16" t="str">
        <f>IFERROR(__xludf.DUMMYFUNCTION("""COMPUTED_VALUE"""),"LMC7660IN")</f>
        <v>LMC7660IN</v>
      </c>
      <c r="E88" s="16" t="str">
        <f>IFERROR(__xludf.DUMMYFUNCTION("""COMPUTED_VALUE"""),"LMC7660IN")</f>
        <v>LMC7660IN</v>
      </c>
      <c r="F88" s="16" t="str">
        <f>IFERROR(__xludf.DUMMYFUNCTION("""COMPUTED_VALUE"""),"DIP")</f>
        <v>DIP</v>
      </c>
      <c r="G88" s="16" t="str">
        <f>IFERROR(__xludf.DUMMYFUNCTION("""COMPUTED_VALUE"""),"PDIP-8_L9.6-W6.4-P2.54-LS7.6-BL")</f>
        <v>PDIP-8_L9.6-W6.4-P2.54-LS7.6-BL</v>
      </c>
      <c r="H88" s="16">
        <f>IFERROR(__xludf.DUMMYFUNCTION("""COMPUTED_VALUE"""),2.0)</f>
        <v>2</v>
      </c>
      <c r="I88" s="80" t="s">
        <v>548</v>
      </c>
      <c r="J88" s="13" t="s">
        <v>541</v>
      </c>
      <c r="K88" s="13"/>
      <c r="L88" s="16"/>
      <c r="M88" s="16"/>
      <c r="N88" s="16">
        <f t="shared" si="1"/>
        <v>0</v>
      </c>
      <c r="O88" s="47">
        <v>450.0</v>
      </c>
      <c r="P88" s="48">
        <v>1000.0</v>
      </c>
      <c r="Q88" s="54">
        <f t="shared" si="2"/>
        <v>1450</v>
      </c>
      <c r="R88" s="55">
        <f t="shared" si="3"/>
        <v>500</v>
      </c>
      <c r="S88" s="55">
        <f t="shared" si="4"/>
        <v>950</v>
      </c>
      <c r="T88" s="32"/>
      <c r="U88" s="32"/>
      <c r="V88" s="32"/>
      <c r="W88" s="32"/>
      <c r="X88" s="32"/>
      <c r="Y88" s="32"/>
      <c r="Z88" s="32"/>
      <c r="AA88" s="32"/>
      <c r="AB88" s="32"/>
      <c r="AC88" s="32"/>
    </row>
    <row r="89">
      <c r="A89" s="56">
        <v>87.0</v>
      </c>
      <c r="B89" s="13"/>
      <c r="C89" s="16" t="str">
        <f>IFERROR(__xludf.DUMMYFUNCTION("""COMPUTED_VALUE"""),"IC")</f>
        <v>IC</v>
      </c>
      <c r="D89" s="16" t="str">
        <f>IFERROR(__xludf.DUMMYFUNCTION("""COMPUTED_VALUE"""),"Non-Isolated PoL Module DC DC Converter 1 Output 0.8 ~ 5.2V 3A 3V - 18V Input")</f>
        <v>Non-Isolated PoL Module DC DC Converter 1 Output 0.8 ~ 5.2V 3A 3V - 18V Input</v>
      </c>
      <c r="E89" s="16" t="str">
        <f>IFERROR(__xludf.DUMMYFUNCTION("""COMPUTED_VALUE"""),"RPL-3.0-CT")</f>
        <v>RPL-3.0-CT</v>
      </c>
      <c r="F89" s="16" t="str">
        <f>IFERROR(__xludf.DUMMYFUNCTION("""COMPUTED_VALUE"""),"SMD")</f>
        <v>SMD</v>
      </c>
      <c r="G89" s="16" t="str">
        <f>IFERROR(__xludf.DUMMYFUNCTION("""COMPUTED_VALUE"""),"LGA_SMD_10")</f>
        <v>LGA_SMD_10</v>
      </c>
      <c r="H89" s="16">
        <f>IFERROR(__xludf.DUMMYFUNCTION("""COMPUTED_VALUE"""),4.0)</f>
        <v>4</v>
      </c>
      <c r="I89" s="80" t="s">
        <v>533</v>
      </c>
      <c r="J89" s="13" t="s">
        <v>550</v>
      </c>
      <c r="K89" s="13"/>
      <c r="L89" s="16"/>
      <c r="M89" s="16"/>
      <c r="N89" s="16">
        <f t="shared" si="1"/>
        <v>0</v>
      </c>
      <c r="O89" s="47">
        <v>425.0</v>
      </c>
      <c r="P89" s="48">
        <v>1000.0</v>
      </c>
      <c r="Q89" s="54">
        <f t="shared" si="2"/>
        <v>1425</v>
      </c>
      <c r="R89" s="55">
        <f t="shared" si="3"/>
        <v>1000</v>
      </c>
      <c r="S89" s="55">
        <f t="shared" si="4"/>
        <v>425</v>
      </c>
      <c r="T89" s="32"/>
      <c r="U89" s="32"/>
      <c r="V89" s="32"/>
      <c r="W89" s="32"/>
      <c r="X89" s="32"/>
      <c r="Y89" s="32"/>
      <c r="Z89" s="32"/>
      <c r="AA89" s="32"/>
      <c r="AB89" s="32"/>
      <c r="AC89" s="32"/>
    </row>
    <row r="90">
      <c r="A90" s="56">
        <v>88.0</v>
      </c>
      <c r="B90" s="13"/>
      <c r="C90" s="16" t="str">
        <f>IFERROR(__xludf.DUMMYFUNCTION("""COMPUTED_VALUE"""),"IC")</f>
        <v>IC</v>
      </c>
      <c r="D90" s="16" t="str">
        <f>IFERROR(__xludf.DUMMYFUNCTION("""COMPUTED_VALUE"""),"OR Controller Source Selector Switch P-Channel 2:1 TSOT-23-6")</f>
        <v>OR Controller Source Selector Switch P-Channel 2:1 TSOT-23-6</v>
      </c>
      <c r="E90" s="16" t="str">
        <f>IFERROR(__xludf.DUMMYFUNCTION("""COMPUTED_VALUE"""),"LTC4412ES6#TR")</f>
        <v>LTC4412ES6#TR</v>
      </c>
      <c r="F90" s="16" t="str">
        <f>IFERROR(__xludf.DUMMYFUNCTION("""COMPUTED_VALUE"""),"SMD")</f>
        <v>SMD</v>
      </c>
      <c r="G90" s="16" t="str">
        <f>IFERROR(__xludf.DUMMYFUNCTION("""COMPUTED_VALUE"""),"SOT95P280X100-6N")</f>
        <v>SOT95P280X100-6N</v>
      </c>
      <c r="H90" s="16">
        <f>IFERROR(__xludf.DUMMYFUNCTION("""COMPUTED_VALUE"""),1.0)</f>
        <v>1</v>
      </c>
      <c r="I90" s="80" t="s">
        <v>551</v>
      </c>
      <c r="J90" s="13" t="s">
        <v>530</v>
      </c>
      <c r="K90" s="13"/>
      <c r="L90" s="16"/>
      <c r="M90" s="16"/>
      <c r="N90" s="16">
        <f t="shared" si="1"/>
        <v>0</v>
      </c>
      <c r="O90" s="47">
        <v>30.0</v>
      </c>
      <c r="P90" s="48">
        <v>500.0</v>
      </c>
      <c r="Q90" s="54">
        <f t="shared" si="2"/>
        <v>530</v>
      </c>
      <c r="R90" s="55">
        <f t="shared" si="3"/>
        <v>250</v>
      </c>
      <c r="S90" s="55">
        <f t="shared" si="4"/>
        <v>280</v>
      </c>
      <c r="T90" s="32"/>
      <c r="U90" s="32"/>
      <c r="V90" s="32"/>
      <c r="W90" s="32"/>
      <c r="X90" s="32"/>
      <c r="Y90" s="32"/>
      <c r="Z90" s="32"/>
      <c r="AA90" s="32"/>
      <c r="AB90" s="32"/>
      <c r="AC90" s="32"/>
    </row>
    <row r="91">
      <c r="A91" s="56">
        <v>89.0</v>
      </c>
      <c r="B91" s="13"/>
      <c r="C91" s="16" t="str">
        <f>IFERROR(__xludf.DUMMYFUNCTION("""COMPUTED_VALUE"""),"IC")</f>
        <v>IC</v>
      </c>
      <c r="D91" s="16" t="str">
        <f>IFERROR(__xludf.DUMMYFUNCTION("""COMPUTED_VALUE"""),"REG 3.3V 800mA")</f>
        <v>REG 3.3V 800mA</v>
      </c>
      <c r="E91" s="16" t="str">
        <f>IFERROR(__xludf.DUMMYFUNCTION("""COMPUTED_VALUE"""),"LM1117I DPAK")</f>
        <v>LM1117I DPAK</v>
      </c>
      <c r="F91" s="16" t="str">
        <f>IFERROR(__xludf.DUMMYFUNCTION("""COMPUTED_VALUE"""),"SMD")</f>
        <v>SMD</v>
      </c>
      <c r="G91" s="16" t="str">
        <f>IFERROR(__xludf.DUMMYFUNCTION("""COMPUTED_VALUE"""),"TO-252-3, DPACK")</f>
        <v>TO-252-3, DPACK</v>
      </c>
      <c r="H91" s="16">
        <f>IFERROR(__xludf.DUMMYFUNCTION("""COMPUTED_VALUE"""),2.0)</f>
        <v>2</v>
      </c>
      <c r="I91" s="80" t="s">
        <v>532</v>
      </c>
      <c r="J91" s="13" t="s">
        <v>530</v>
      </c>
      <c r="K91" s="13"/>
      <c r="L91" s="16"/>
      <c r="M91" s="16"/>
      <c r="N91" s="16">
        <f t="shared" si="1"/>
        <v>0</v>
      </c>
      <c r="O91" s="47">
        <v>145.0</v>
      </c>
      <c r="P91" s="48">
        <v>500.0</v>
      </c>
      <c r="Q91" s="54">
        <f t="shared" si="2"/>
        <v>645</v>
      </c>
      <c r="R91" s="55">
        <f t="shared" si="3"/>
        <v>500</v>
      </c>
      <c r="S91" s="55">
        <f t="shared" si="4"/>
        <v>145</v>
      </c>
      <c r="T91" s="32"/>
      <c r="U91" s="32"/>
      <c r="V91" s="32"/>
      <c r="W91" s="32"/>
      <c r="X91" s="32"/>
      <c r="Y91" s="32"/>
      <c r="Z91" s="32"/>
      <c r="AA91" s="32"/>
      <c r="AB91" s="32"/>
      <c r="AC91" s="32"/>
    </row>
    <row r="92">
      <c r="A92" s="56">
        <v>90.0</v>
      </c>
      <c r="B92" s="13"/>
      <c r="C92" s="16" t="str">
        <f>IFERROR(__xludf.DUMMYFUNCTION("""COMPUTED_VALUE"""),"IC")</f>
        <v>IC</v>
      </c>
      <c r="D92" s="16" t="str">
        <f>IFERROR(__xludf.DUMMYFUNCTION("""COMPUTED_VALUE"""),"RTL8201CP-VD-LF")</f>
        <v>RTL8201CP-VD-LF</v>
      </c>
      <c r="E92" s="16" t="str">
        <f>IFERROR(__xludf.DUMMYFUNCTION("""COMPUTED_VALUE"""),"RTL8201CP-VD-LF")</f>
        <v>RTL8201CP-VD-LF</v>
      </c>
      <c r="F92" s="16" t="str">
        <f>IFERROR(__xludf.DUMMYFUNCTION("""COMPUTED_VALUE"""),"SMD")</f>
        <v>SMD</v>
      </c>
      <c r="G92" s="16" t="str">
        <f>IFERROR(__xludf.DUMMYFUNCTION("""COMPUTED_VALUE"""),"LQFP-48_L7.0-W7.0-P0.50-LS9.0-BL")</f>
        <v>LQFP-48_L7.0-W7.0-P0.50-LS9.0-BL</v>
      </c>
      <c r="H92" s="16">
        <f>IFERROR(__xludf.DUMMYFUNCTION("""COMPUTED_VALUE"""),2.0)</f>
        <v>2</v>
      </c>
      <c r="I92" s="80" t="s">
        <v>552</v>
      </c>
      <c r="J92" s="13" t="s">
        <v>537</v>
      </c>
      <c r="K92" s="13"/>
      <c r="L92" s="13"/>
      <c r="M92" s="16"/>
      <c r="N92" s="16">
        <f t="shared" si="1"/>
        <v>0</v>
      </c>
      <c r="O92" s="47">
        <v>35.0</v>
      </c>
      <c r="P92" s="48">
        <v>500.0</v>
      </c>
      <c r="Q92" s="54">
        <f t="shared" si="2"/>
        <v>535</v>
      </c>
      <c r="R92" s="55">
        <f t="shared" si="3"/>
        <v>500</v>
      </c>
      <c r="S92" s="55">
        <f t="shared" si="4"/>
        <v>35</v>
      </c>
      <c r="T92" s="32"/>
      <c r="U92" s="32"/>
      <c r="V92" s="32"/>
      <c r="W92" s="32"/>
      <c r="X92" s="32"/>
      <c r="Y92" s="32"/>
      <c r="Z92" s="32"/>
      <c r="AA92" s="32"/>
      <c r="AB92" s="32"/>
      <c r="AC92" s="32"/>
    </row>
    <row r="93">
      <c r="A93" s="59">
        <v>91.0</v>
      </c>
      <c r="B93" s="60"/>
      <c r="C93" s="61" t="str">
        <f>IFERROR(__xludf.DUMMYFUNCTION("""COMPUTED_VALUE"""),"IC")</f>
        <v>IC</v>
      </c>
      <c r="D93" s="61" t="str">
        <f>IFERROR(__xludf.DUMMYFUNCTION("""COMPUTED_VALUE"""),"S44233")</f>
        <v>S44233</v>
      </c>
      <c r="E93" s="61" t="str">
        <f>IFERROR(__xludf.DUMMYFUNCTION("""COMPUTED_VALUE"""),"S44233")</f>
        <v>S44233</v>
      </c>
      <c r="F93" s="61" t="str">
        <f>IFERROR(__xludf.DUMMYFUNCTION("""COMPUTED_VALUE"""),"DIP")</f>
        <v>DIP</v>
      </c>
      <c r="G93" s="61" t="str">
        <f>IFERROR(__xludf.DUMMYFUNCTION("""COMPUTED_VALUE"""),"DIP-16")</f>
        <v>DIP-16</v>
      </c>
      <c r="H93" s="61">
        <f>IFERROR(__xludf.DUMMYFUNCTION("""COMPUTED_VALUE"""),6.0)</f>
        <v>6</v>
      </c>
      <c r="I93" s="79" t="s">
        <v>553</v>
      </c>
      <c r="J93" s="60" t="s">
        <v>541</v>
      </c>
      <c r="K93" s="60"/>
      <c r="L93" s="60"/>
      <c r="M93" s="61"/>
      <c r="N93" s="61">
        <f t="shared" si="1"/>
        <v>0</v>
      </c>
      <c r="O93" s="62">
        <v>370.0</v>
      </c>
      <c r="P93" s="63">
        <v>1110.0</v>
      </c>
      <c r="Q93" s="64">
        <f t="shared" si="2"/>
        <v>1480</v>
      </c>
      <c r="R93" s="65">
        <f t="shared" si="3"/>
        <v>1500</v>
      </c>
      <c r="S93" s="65">
        <f t="shared" si="4"/>
        <v>-20</v>
      </c>
      <c r="T93" s="65"/>
      <c r="U93" s="65"/>
      <c r="V93" s="65"/>
      <c r="W93" s="65"/>
      <c r="X93" s="65"/>
      <c r="Y93" s="65"/>
      <c r="Z93" s="65"/>
      <c r="AA93" s="65"/>
      <c r="AB93" s="65"/>
      <c r="AC93" s="65"/>
    </row>
    <row r="94">
      <c r="A94" s="56">
        <v>92.0</v>
      </c>
      <c r="B94" s="13"/>
      <c r="C94" s="16" t="str">
        <f>IFERROR(__xludf.DUMMYFUNCTION("""COMPUTED_VALUE"""),"IC")</f>
        <v>IC</v>
      </c>
      <c r="D94" s="16" t="str">
        <f>IFERROR(__xludf.DUMMYFUNCTION("""COMPUTED_VALUE"""),"SN7406DR")</f>
        <v>SN7406DR</v>
      </c>
      <c r="E94" s="16" t="str">
        <f>IFERROR(__xludf.DUMMYFUNCTION("""COMPUTED_VALUE"""),"SN7406DR")</f>
        <v>SN7406DR</v>
      </c>
      <c r="F94" s="16" t="str">
        <f>IFERROR(__xludf.DUMMYFUNCTION("""COMPUTED_VALUE"""),"SMD")</f>
        <v>SMD</v>
      </c>
      <c r="G94" s="16" t="str">
        <f>IFERROR(__xludf.DUMMYFUNCTION("""COMPUTED_VALUE"""),"SOIC-14_L8.7-W3.9-P1.27-LS6.0-BL")</f>
        <v>SOIC-14_L8.7-W3.9-P1.27-LS6.0-BL</v>
      </c>
      <c r="H94" s="16">
        <f>IFERROR(__xludf.DUMMYFUNCTION("""COMPUTED_VALUE"""),2.0)</f>
        <v>2</v>
      </c>
      <c r="I94" s="80" t="s">
        <v>551</v>
      </c>
      <c r="J94" s="13" t="s">
        <v>530</v>
      </c>
      <c r="K94" s="13"/>
      <c r="L94" s="16"/>
      <c r="M94" s="16"/>
      <c r="N94" s="16"/>
      <c r="O94" s="47">
        <v>20.0</v>
      </c>
      <c r="P94" s="48">
        <v>500.0</v>
      </c>
      <c r="Q94" s="54">
        <f t="shared" si="2"/>
        <v>520</v>
      </c>
      <c r="R94" s="55">
        <f t="shared" si="3"/>
        <v>500</v>
      </c>
      <c r="S94" s="55">
        <f t="shared" si="4"/>
        <v>20</v>
      </c>
      <c r="T94" s="32"/>
      <c r="U94" s="32"/>
      <c r="V94" s="32"/>
      <c r="W94" s="32"/>
      <c r="X94" s="32"/>
      <c r="Y94" s="32"/>
      <c r="Z94" s="32"/>
      <c r="AA94" s="32"/>
      <c r="AB94" s="32"/>
      <c r="AC94" s="32"/>
    </row>
    <row r="95">
      <c r="A95" s="56">
        <v>93.0</v>
      </c>
      <c r="B95" s="13"/>
      <c r="C95" s="16" t="str">
        <f>IFERROR(__xludf.DUMMYFUNCTION("""COMPUTED_VALUE"""),"IC")</f>
        <v>IC</v>
      </c>
      <c r="D95" s="16" t="str">
        <f>IFERROR(__xludf.DUMMYFUNCTION("""COMPUTED_VALUE"""),"TRANSFORMER LAN 10/100 SMD")</f>
        <v>TRANSFORMER LAN 10/100 SMD</v>
      </c>
      <c r="E95" s="16" t="str">
        <f>IFERROR(__xludf.DUMMYFUNCTION("""COMPUTED_VALUE"""),"7490100110A")</f>
        <v>7490100110A</v>
      </c>
      <c r="F95" s="16" t="str">
        <f>IFERROR(__xludf.DUMMYFUNCTION("""COMPUTED_VALUE"""),"SMD")</f>
        <v>SMD</v>
      </c>
      <c r="G95" s="16" t="str">
        <f>IFERROR(__xludf.DUMMYFUNCTION("""COMPUTED_VALUE"""),"XFMR-SMD_HY601745E")</f>
        <v>XFMR-SMD_HY601745E</v>
      </c>
      <c r="H95" s="16">
        <f>IFERROR(__xludf.DUMMYFUNCTION("""COMPUTED_VALUE"""),2.0)</f>
        <v>2</v>
      </c>
      <c r="I95" s="80" t="s">
        <v>554</v>
      </c>
      <c r="J95" s="13" t="s">
        <v>528</v>
      </c>
      <c r="K95" s="13" t="s">
        <v>464</v>
      </c>
      <c r="L95" s="13" t="s">
        <v>464</v>
      </c>
      <c r="M95" s="16"/>
      <c r="N95" s="16"/>
      <c r="O95" s="47">
        <v>20.0</v>
      </c>
      <c r="P95" s="48">
        <v>500.0</v>
      </c>
      <c r="Q95" s="54">
        <f t="shared" si="2"/>
        <v>520</v>
      </c>
      <c r="R95" s="55">
        <f t="shared" si="3"/>
        <v>500</v>
      </c>
      <c r="S95" s="55">
        <f t="shared" si="4"/>
        <v>20</v>
      </c>
      <c r="T95" s="32"/>
      <c r="U95" s="32"/>
      <c r="V95" s="32"/>
      <c r="W95" s="32"/>
      <c r="X95" s="32"/>
      <c r="Y95" s="32"/>
      <c r="Z95" s="32"/>
      <c r="AA95" s="32"/>
      <c r="AB95" s="32"/>
      <c r="AC95" s="32"/>
    </row>
    <row r="96">
      <c r="A96" s="56">
        <v>94.0</v>
      </c>
      <c r="B96" s="13"/>
      <c r="C96" s="16" t="str">
        <f>IFERROR(__xludf.DUMMYFUNCTION("""COMPUTED_VALUE"""),"IC")</f>
        <v>IC</v>
      </c>
      <c r="D96" s="16" t="str">
        <f>IFERROR(__xludf.DUMMYFUNCTION("""COMPUTED_VALUE"""),"Transistor 45V 0.5A")</f>
        <v>Transistor 45V 0.5A</v>
      </c>
      <c r="E96" s="16" t="str">
        <f>IFERROR(__xludf.DUMMYFUNCTION("""COMPUTED_VALUE"""),"BC817-25,215")</f>
        <v>BC817-25,215</v>
      </c>
      <c r="F96" s="16" t="str">
        <f>IFERROR(__xludf.DUMMYFUNCTION("""COMPUTED_VALUE"""),"SMD")</f>
        <v>SMD</v>
      </c>
      <c r="G96" s="16" t="str">
        <f>IFERROR(__xludf.DUMMYFUNCTION("""COMPUTED_VALUE"""),"SOT-23-3")</f>
        <v>SOT-23-3</v>
      </c>
      <c r="H96" s="16">
        <f>IFERROR(__xludf.DUMMYFUNCTION("""COMPUTED_VALUE"""),7.0)</f>
        <v>7</v>
      </c>
      <c r="I96" s="80" t="s">
        <v>532</v>
      </c>
      <c r="J96" s="13" t="s">
        <v>530</v>
      </c>
      <c r="K96" s="13"/>
      <c r="L96" s="13"/>
      <c r="M96" s="16"/>
      <c r="N96" s="16"/>
      <c r="O96" s="47">
        <v>275.0</v>
      </c>
      <c r="P96" s="48">
        <v>2000.0</v>
      </c>
      <c r="Q96" s="54">
        <f t="shared" si="2"/>
        <v>2275</v>
      </c>
      <c r="R96" s="55">
        <f t="shared" si="3"/>
        <v>1750</v>
      </c>
      <c r="S96" s="55">
        <f t="shared" si="4"/>
        <v>525</v>
      </c>
      <c r="T96" s="32"/>
      <c r="U96" s="32"/>
      <c r="V96" s="32"/>
      <c r="W96" s="32"/>
      <c r="X96" s="32"/>
      <c r="Y96" s="32"/>
      <c r="Z96" s="32"/>
      <c r="AA96" s="32"/>
      <c r="AB96" s="32"/>
      <c r="AC96" s="32"/>
    </row>
    <row r="97">
      <c r="A97" s="56">
        <v>95.0</v>
      </c>
      <c r="B97" s="13"/>
      <c r="C97" s="16" t="str">
        <f>IFERROR(__xludf.DUMMYFUNCTION("""COMPUTED_VALUE"""),"IC")</f>
        <v>IC</v>
      </c>
      <c r="D97" s="16" t="str">
        <f>IFERROR(__xludf.DUMMYFUNCTION("""COMPUTED_VALUE"""),"TVS DIODE 5.25VWM 17VC SOT23-6")</f>
        <v>TVS DIODE 5.25VWM 17VC SOT23-6</v>
      </c>
      <c r="E97" s="16" t="str">
        <f>IFERROR(__xludf.DUMMYFUNCTION("""COMPUTED_VALUE"""),"USBLC6-4SC6")</f>
        <v>USBLC6-4SC6</v>
      </c>
      <c r="F97" s="16" t="str">
        <f>IFERROR(__xludf.DUMMYFUNCTION("""COMPUTED_VALUE"""),"SMD")</f>
        <v>SMD</v>
      </c>
      <c r="G97" s="16" t="str">
        <f>IFERROR(__xludf.DUMMYFUNCTION("""COMPUTED_VALUE"""),"SOT-23-6_L2.9-W1.6-P0.95-LS2.8-BL")</f>
        <v>SOT-23-6_L2.9-W1.6-P0.95-LS2.8-BL</v>
      </c>
      <c r="H97" s="16">
        <f>IFERROR(__xludf.DUMMYFUNCTION("""COMPUTED_VALUE"""),2.0)</f>
        <v>2</v>
      </c>
      <c r="I97" s="80" t="s">
        <v>551</v>
      </c>
      <c r="J97" s="13" t="s">
        <v>530</v>
      </c>
      <c r="K97" s="13"/>
      <c r="L97" s="16"/>
      <c r="M97" s="16"/>
      <c r="N97" s="16"/>
      <c r="O97" s="47">
        <v>15.0</v>
      </c>
      <c r="P97" s="48">
        <v>1000.0</v>
      </c>
      <c r="Q97" s="54">
        <f t="shared" si="2"/>
        <v>1015</v>
      </c>
      <c r="R97" s="55">
        <f t="shared" si="3"/>
        <v>500</v>
      </c>
      <c r="S97" s="55">
        <f t="shared" si="4"/>
        <v>515</v>
      </c>
      <c r="T97" s="32"/>
      <c r="U97" s="32"/>
      <c r="V97" s="32"/>
      <c r="W97" s="32"/>
      <c r="X97" s="32"/>
      <c r="Y97" s="32"/>
      <c r="Z97" s="32"/>
      <c r="AA97" s="32"/>
      <c r="AB97" s="32"/>
      <c r="AC97" s="32"/>
    </row>
    <row r="98">
      <c r="A98" s="56">
        <v>96.0</v>
      </c>
      <c r="B98" s="13"/>
      <c r="C98" s="16" t="str">
        <f>IFERROR(__xludf.DUMMYFUNCTION("""COMPUTED_VALUE"""),"IC")</f>
        <v>IC</v>
      </c>
      <c r="D98" s="16" t="str">
        <f>IFERROR(__xludf.DUMMYFUNCTION("""COMPUTED_VALUE"""),"Voltage Level Translator Bidirectional 1 Circuit 8 Channel 100Mbps 20-TSSOP")</f>
        <v>Voltage Level Translator Bidirectional 1 Circuit 8 Channel 100Mbps 20-TSSOP</v>
      </c>
      <c r="E98" s="16" t="str">
        <f>IFERROR(__xludf.DUMMYFUNCTION("""COMPUTED_VALUE"""),"TXB0108PWRG4
")</f>
        <v>TXB0108PWRG4
</v>
      </c>
      <c r="F98" s="16" t="str">
        <f>IFERROR(__xludf.DUMMYFUNCTION("""COMPUTED_VALUE"""),"SMD")</f>
        <v>SMD</v>
      </c>
      <c r="G98" s="16" t="str">
        <f>IFERROR(__xludf.DUMMYFUNCTION("""COMPUTED_VALUE"""),"20-TSSOP (0.173"", 4.40mm Width)")</f>
        <v>20-TSSOP (0.173", 4.40mm Width)</v>
      </c>
      <c r="H98" s="16">
        <f>IFERROR(__xludf.DUMMYFUNCTION("""COMPUTED_VALUE"""),1.0)</f>
        <v>1</v>
      </c>
      <c r="I98" s="80" t="s">
        <v>549</v>
      </c>
      <c r="J98" s="13" t="s">
        <v>530</v>
      </c>
      <c r="K98" s="13"/>
      <c r="L98" s="16"/>
      <c r="M98" s="16"/>
      <c r="N98" s="16"/>
      <c r="O98" s="47">
        <v>120.0</v>
      </c>
      <c r="P98" s="48">
        <v>150.0</v>
      </c>
      <c r="Q98" s="54">
        <f t="shared" si="2"/>
        <v>270</v>
      </c>
      <c r="R98" s="55">
        <f t="shared" si="3"/>
        <v>250</v>
      </c>
      <c r="S98" s="55">
        <f t="shared" si="4"/>
        <v>20</v>
      </c>
      <c r="T98" s="32"/>
      <c r="U98" s="32"/>
      <c r="V98" s="32"/>
      <c r="W98" s="32"/>
      <c r="X98" s="32"/>
      <c r="Y98" s="32"/>
      <c r="Z98" s="32"/>
      <c r="AA98" s="32"/>
      <c r="AB98" s="32"/>
      <c r="AC98" s="32"/>
    </row>
    <row r="99">
      <c r="A99" s="56">
        <v>97.0</v>
      </c>
      <c r="B99" s="13"/>
      <c r="C99" s="16" t="str">
        <f>IFERROR(__xludf.DUMMYFUNCTION("""COMPUTED_VALUE"""),"Inductor")</f>
        <v>Inductor</v>
      </c>
      <c r="D99" s="16" t="str">
        <f>IFERROR(__xludf.DUMMYFUNCTION("""COMPUTED_VALUE"""),"35.5 nH Unshielded Wirewound Inductor 4 A 6.8mOhm Max Nonstandard")</f>
        <v>35.5 nH Unshielded Wirewound Inductor 4 A 6.8mOhm Max Nonstandard</v>
      </c>
      <c r="E99" s="16">
        <f>IFERROR(__xludf.DUMMYFUNCTION("""COMPUTED_VALUE"""),7.44914135E8)</f>
        <v>744914135</v>
      </c>
      <c r="F99" s="16" t="str">
        <f>IFERROR(__xludf.DUMMYFUNCTION("""COMPUTED_VALUE"""),"SMD")</f>
        <v>SMD</v>
      </c>
      <c r="G99" s="16" t="str">
        <f>IFERROR(__xludf.DUMMYFUNCTION("""COMPUTED_VALUE"""),"0.270"" L x 0.120"" W (6.86mm x 3.05mm)")</f>
        <v>0.270" L x 0.120" W (6.86mm x 3.05mm)</v>
      </c>
      <c r="H99" s="16">
        <f>IFERROR(__xludf.DUMMYFUNCTION("""COMPUTED_VALUE"""),1.0)</f>
        <v>1</v>
      </c>
      <c r="I99" s="80" t="s">
        <v>555</v>
      </c>
      <c r="J99" s="13" t="s">
        <v>530</v>
      </c>
      <c r="K99" s="13" t="s">
        <v>464</v>
      </c>
      <c r="L99" s="13" t="s">
        <v>464</v>
      </c>
      <c r="M99" s="16"/>
      <c r="N99" s="16"/>
      <c r="O99" s="47">
        <v>0.0</v>
      </c>
      <c r="P99" s="48">
        <v>400.0</v>
      </c>
      <c r="Q99" s="54">
        <f t="shared" si="2"/>
        <v>400</v>
      </c>
      <c r="R99" s="55">
        <f t="shared" si="3"/>
        <v>250</v>
      </c>
      <c r="S99" s="55">
        <f t="shared" si="4"/>
        <v>150</v>
      </c>
      <c r="T99" s="32"/>
      <c r="U99" s="32"/>
      <c r="V99" s="32"/>
      <c r="W99" s="32"/>
      <c r="X99" s="32"/>
      <c r="Y99" s="32"/>
      <c r="Z99" s="32"/>
      <c r="AA99" s="32"/>
      <c r="AB99" s="32"/>
      <c r="AC99" s="32"/>
    </row>
    <row r="100">
      <c r="A100" s="56">
        <v>98.0</v>
      </c>
      <c r="B100" s="13"/>
      <c r="C100" s="16" t="str">
        <f>IFERROR(__xludf.DUMMYFUNCTION("""COMPUTED_VALUE"""),"LED")</f>
        <v>LED</v>
      </c>
      <c r="D100" s="16" t="str">
        <f>IFERROR(__xludf.DUMMYFUNCTION("""COMPUTED_VALUE"""),"LED RED")</f>
        <v>LED RED</v>
      </c>
      <c r="E100" s="16"/>
      <c r="F100" s="16" t="str">
        <f>IFERROR(__xludf.DUMMYFUNCTION("""COMPUTED_VALUE"""),"DIP")</f>
        <v>DIP</v>
      </c>
      <c r="G100" s="16" t="str">
        <f>IFERROR(__xludf.DUMMYFUNCTION("""COMPUTED_VALUE"""),"LED_3MM TH")</f>
        <v>LED_3MM TH</v>
      </c>
      <c r="H100" s="16">
        <f>IFERROR(__xludf.DUMMYFUNCTION("""COMPUTED_VALUE"""),4.0)</f>
        <v>4</v>
      </c>
      <c r="I100" s="13"/>
      <c r="J100" s="13"/>
      <c r="K100" s="13" t="s">
        <v>556</v>
      </c>
      <c r="L100" s="13"/>
      <c r="M100" s="16"/>
      <c r="N100" s="16"/>
      <c r="O100" s="47">
        <v>2500.0</v>
      </c>
      <c r="P100" s="54"/>
      <c r="Q100" s="54">
        <f t="shared" si="2"/>
        <v>2500</v>
      </c>
      <c r="R100" s="55">
        <f t="shared" si="3"/>
        <v>1000</v>
      </c>
      <c r="S100" s="55">
        <f t="shared" si="4"/>
        <v>1500</v>
      </c>
      <c r="T100" s="32"/>
      <c r="U100" s="32"/>
      <c r="V100" s="32"/>
      <c r="W100" s="32"/>
      <c r="X100" s="32"/>
      <c r="Y100" s="32"/>
      <c r="Z100" s="32"/>
      <c r="AA100" s="32"/>
      <c r="AB100" s="32"/>
      <c r="AC100" s="32"/>
    </row>
    <row r="101">
      <c r="A101" s="56">
        <v>99.0</v>
      </c>
      <c r="B101" s="13"/>
      <c r="C101" s="16" t="str">
        <f>IFERROR(__xludf.DUMMYFUNCTION("""COMPUTED_VALUE"""),"LED")</f>
        <v>LED</v>
      </c>
      <c r="D101" s="16" t="str">
        <f>IFERROR(__xludf.DUMMYFUNCTION("""COMPUTED_VALUE"""),"LED_Red_SMD_0603")</f>
        <v>LED_Red_SMD_0603</v>
      </c>
      <c r="E101" s="16" t="str">
        <f>IFERROR(__xludf.DUMMYFUNCTION("""COMPUTED_VALUE"""),"150060RS55040")</f>
        <v>150060RS55040</v>
      </c>
      <c r="F101" s="16" t="str">
        <f>IFERROR(__xludf.DUMMYFUNCTION("""COMPUTED_VALUE"""),"SMD")</f>
        <v>SMD</v>
      </c>
      <c r="G101" s="16" t="str">
        <f>IFERROR(__xludf.DUMMYFUNCTION("""COMPUTED_VALUE"""),"R0603")</f>
        <v>R0603</v>
      </c>
      <c r="H101" s="16">
        <f>IFERROR(__xludf.DUMMYFUNCTION("""COMPUTED_VALUE"""),16.0)</f>
        <v>16</v>
      </c>
      <c r="I101" s="85" t="s">
        <v>535</v>
      </c>
      <c r="J101" s="13" t="s">
        <v>528</v>
      </c>
      <c r="K101" s="13" t="s">
        <v>524</v>
      </c>
      <c r="L101" s="13" t="s">
        <v>524</v>
      </c>
      <c r="M101" s="16"/>
      <c r="N101" s="16"/>
      <c r="O101" s="47">
        <v>1000.0</v>
      </c>
      <c r="P101" s="48">
        <v>5000.0</v>
      </c>
      <c r="Q101" s="54">
        <f t="shared" si="2"/>
        <v>6000</v>
      </c>
      <c r="R101" s="55">
        <f t="shared" si="3"/>
        <v>4000</v>
      </c>
      <c r="S101" s="55">
        <f t="shared" si="4"/>
        <v>2000</v>
      </c>
      <c r="T101" s="32"/>
      <c r="U101" s="32"/>
      <c r="V101" s="32"/>
      <c r="W101" s="32"/>
      <c r="X101" s="32"/>
      <c r="Y101" s="32"/>
      <c r="Z101" s="32"/>
      <c r="AA101" s="32"/>
      <c r="AB101" s="32"/>
      <c r="AC101" s="32"/>
    </row>
    <row r="102">
      <c r="A102" s="56">
        <v>100.0</v>
      </c>
      <c r="B102" s="13"/>
      <c r="C102" s="16" t="str">
        <f>IFERROR(__xludf.DUMMYFUNCTION("""COMPUTED_VALUE"""),"Mosfet")</f>
        <v>Mosfet</v>
      </c>
      <c r="D102" s="16" t="str">
        <f>IFERROR(__xludf.DUMMYFUNCTION("""COMPUTED_VALUE"""),"Mosfet Array 30V 60A 46W Surface Mount PowerPAK® SO-8 Dual")</f>
        <v>Mosfet Array 30V 60A 46W Surface Mount PowerPAK® SO-8 Dual</v>
      </c>
      <c r="E102" s="16" t="str">
        <f>IFERROR(__xludf.DUMMYFUNCTION("""COMPUTED_VALUE"""),"SI7997DP-T1-GE3")</f>
        <v>SI7997DP-T1-GE3</v>
      </c>
      <c r="F102" s="16" t="str">
        <f>IFERROR(__xludf.DUMMYFUNCTION("""COMPUTED_VALUE"""),"SMD")</f>
        <v>SMD</v>
      </c>
      <c r="G102" s="16" t="str">
        <f>IFERROR(__xludf.DUMMYFUNCTION("""COMPUTED_VALUE"""),"SI7997DP-T1-GE3")</f>
        <v>SI7997DP-T1-GE3</v>
      </c>
      <c r="H102" s="16">
        <f>IFERROR(__xludf.DUMMYFUNCTION("""COMPUTED_VALUE"""),1.0)</f>
        <v>1</v>
      </c>
      <c r="I102" s="80" t="s">
        <v>539</v>
      </c>
      <c r="J102" s="13" t="s">
        <v>530</v>
      </c>
      <c r="K102" s="16"/>
      <c r="L102" s="16"/>
      <c r="M102" s="16"/>
      <c r="N102" s="16"/>
      <c r="O102" s="47">
        <v>20.0</v>
      </c>
      <c r="P102" s="48">
        <v>300.0</v>
      </c>
      <c r="Q102" s="54">
        <f t="shared" si="2"/>
        <v>320</v>
      </c>
      <c r="R102" s="55">
        <f t="shared" si="3"/>
        <v>250</v>
      </c>
      <c r="S102" s="55">
        <f t="shared" si="4"/>
        <v>70</v>
      </c>
      <c r="T102" s="32"/>
      <c r="U102" s="32"/>
      <c r="V102" s="32"/>
      <c r="W102" s="32"/>
      <c r="X102" s="32"/>
      <c r="Y102" s="32"/>
      <c r="Z102" s="32"/>
      <c r="AA102" s="32"/>
      <c r="AB102" s="32"/>
      <c r="AC102" s="32"/>
    </row>
    <row r="103">
      <c r="A103" s="56">
        <v>101.0</v>
      </c>
      <c r="B103" s="13"/>
      <c r="C103" s="16" t="str">
        <f>IFERROR(__xludf.DUMMYFUNCTION("""COMPUTED_VALUE"""),"Mosfet")</f>
        <v>Mosfet</v>
      </c>
      <c r="D103" s="16" t="str">
        <f>IFERROR(__xludf.DUMMYFUNCTION("""COMPUTED_VALUE"""),"N-Channel 30 V 5.8A (Ta) 1.4W (Ta) Surface Mount SOT-23-3")</f>
        <v>N-Channel 30 V 5.8A (Ta) 1.4W (Ta) Surface Mount SOT-23-3</v>
      </c>
      <c r="E103" s="16" t="str">
        <f>IFERROR(__xludf.DUMMYFUNCTION("""COMPUTED_VALUE"""),"AO3400")</f>
        <v>AO3400</v>
      </c>
      <c r="F103" s="16" t="str">
        <f>IFERROR(__xludf.DUMMYFUNCTION("""COMPUTED_VALUE"""),"SMD")</f>
        <v>SMD</v>
      </c>
      <c r="G103" s="16" t="str">
        <f>IFERROR(__xludf.DUMMYFUNCTION("""COMPUTED_VALUE"""),"SOT-23-3")</f>
        <v>SOT-23-3</v>
      </c>
      <c r="H103" s="16">
        <f>IFERROR(__xludf.DUMMYFUNCTION("""COMPUTED_VALUE"""),1.0)</f>
        <v>1</v>
      </c>
      <c r="I103" s="80" t="s">
        <v>539</v>
      </c>
      <c r="J103" s="13" t="s">
        <v>528</v>
      </c>
      <c r="K103" s="13" t="s">
        <v>556</v>
      </c>
      <c r="L103" s="13"/>
      <c r="M103" s="16"/>
      <c r="N103" s="16"/>
      <c r="O103" s="47">
        <v>48.0</v>
      </c>
      <c r="P103" s="48">
        <v>527.0</v>
      </c>
      <c r="Q103" s="54">
        <f t="shared" si="2"/>
        <v>575</v>
      </c>
      <c r="R103" s="55">
        <f t="shared" si="3"/>
        <v>250</v>
      </c>
      <c r="S103" s="55">
        <f t="shared" si="4"/>
        <v>325</v>
      </c>
      <c r="T103" s="32"/>
      <c r="U103" s="32"/>
      <c r="V103" s="32"/>
      <c r="W103" s="32"/>
      <c r="X103" s="32"/>
      <c r="Y103" s="32"/>
      <c r="Z103" s="32"/>
      <c r="AA103" s="32"/>
      <c r="AB103" s="32"/>
      <c r="AC103" s="32"/>
    </row>
    <row r="104">
      <c r="A104" s="56">
        <v>102.0</v>
      </c>
      <c r="B104" s="13"/>
      <c r="C104" s="16" t="str">
        <f>IFERROR(__xludf.DUMMYFUNCTION("""COMPUTED_VALUE"""),"Mosfet")</f>
        <v>Mosfet</v>
      </c>
      <c r="D104" s="16" t="str">
        <f>IFERROR(__xludf.DUMMYFUNCTION("""COMPUTED_VALUE"""),"P-Channel 30 V 4.3A (Ta) 1.4W (Ta) Surface Mount SOT-23-3")</f>
        <v>P-Channel 30 V 4.3A (Ta) 1.4W (Ta) Surface Mount SOT-23-3</v>
      </c>
      <c r="E104" s="16" t="str">
        <f>IFERROR(__xludf.DUMMYFUNCTION("""COMPUTED_VALUE"""),"AO3407A")</f>
        <v>AO3407A</v>
      </c>
      <c r="F104" s="16" t="str">
        <f>IFERROR(__xludf.DUMMYFUNCTION("""COMPUTED_VALUE"""),"SMD")</f>
        <v>SMD</v>
      </c>
      <c r="G104" s="16" t="str">
        <f>IFERROR(__xludf.DUMMYFUNCTION("""COMPUTED_VALUE"""),"SOT-23-3")</f>
        <v>SOT-23-3</v>
      </c>
      <c r="H104" s="16">
        <f>IFERROR(__xludf.DUMMYFUNCTION("""COMPUTED_VALUE"""),1.0)</f>
        <v>1</v>
      </c>
      <c r="I104" s="16"/>
      <c r="J104" s="13"/>
      <c r="K104" s="82"/>
      <c r="L104" s="82"/>
      <c r="O104" s="47">
        <v>0.0</v>
      </c>
      <c r="P104" s="48">
        <v>250.0</v>
      </c>
      <c r="Q104" s="54">
        <f t="shared" si="2"/>
        <v>250</v>
      </c>
      <c r="R104" s="55">
        <f t="shared" si="3"/>
        <v>250</v>
      </c>
      <c r="S104" s="55">
        <f t="shared" si="4"/>
        <v>0</v>
      </c>
      <c r="T104" s="32"/>
      <c r="U104" s="32"/>
      <c r="V104" s="32"/>
      <c r="W104" s="32"/>
      <c r="X104" s="32"/>
      <c r="Y104" s="32"/>
      <c r="Z104" s="32"/>
      <c r="AA104" s="32"/>
      <c r="AB104" s="32"/>
      <c r="AC104" s="32"/>
    </row>
    <row r="105">
      <c r="A105" s="56">
        <v>103.0</v>
      </c>
      <c r="B105" s="13"/>
      <c r="C105" s="16" t="str">
        <f>IFERROR(__xludf.DUMMYFUNCTION("""COMPUTED_VALUE"""),"Mov")</f>
        <v>Mov</v>
      </c>
      <c r="D105" s="16" t="str">
        <f>IFERROR(__xludf.DUMMYFUNCTION("""COMPUTED_VALUE"""),"240pF 100A 65VDC")</f>
        <v>240pF 100A 65VDC</v>
      </c>
      <c r="E105" s="16">
        <f>IFERROR(__xludf.DUMMYFUNCTION("""COMPUTED_VALUE"""),8.25515E7)</f>
        <v>82551500</v>
      </c>
      <c r="F105" s="16" t="str">
        <f>IFERROR(__xludf.DUMMYFUNCTION("""COMPUTED_VALUE"""),"SMD")</f>
        <v>SMD</v>
      </c>
      <c r="G105" s="16" t="str">
        <f>IFERROR(__xludf.DUMMYFUNCTION("""COMPUTED_VALUE"""),"C1206")</f>
        <v>C1206</v>
      </c>
      <c r="H105" s="16">
        <f>IFERROR(__xludf.DUMMYFUNCTION("""COMPUTED_VALUE"""),5.0)</f>
        <v>5</v>
      </c>
      <c r="I105" s="13"/>
      <c r="J105" s="38"/>
      <c r="K105" s="13" t="s">
        <v>464</v>
      </c>
      <c r="L105" s="13" t="s">
        <v>464</v>
      </c>
      <c r="M105" s="16"/>
      <c r="N105" s="16"/>
      <c r="O105" s="47">
        <v>50.0</v>
      </c>
      <c r="P105" s="48">
        <v>1500.0</v>
      </c>
      <c r="Q105" s="54">
        <f t="shared" si="2"/>
        <v>1550</v>
      </c>
      <c r="R105" s="55">
        <f t="shared" si="3"/>
        <v>1250</v>
      </c>
      <c r="S105" s="55">
        <f t="shared" si="4"/>
        <v>300</v>
      </c>
      <c r="T105" s="32"/>
      <c r="U105" s="32"/>
      <c r="V105" s="32"/>
      <c r="W105" s="32"/>
      <c r="X105" s="32"/>
      <c r="Y105" s="32"/>
      <c r="Z105" s="32"/>
      <c r="AA105" s="32"/>
      <c r="AB105" s="32"/>
      <c r="AC105" s="32"/>
    </row>
    <row r="106">
      <c r="A106" s="56">
        <v>104.0</v>
      </c>
      <c r="B106" s="57"/>
      <c r="C106" s="16" t="str">
        <f>IFERROR(__xludf.DUMMYFUNCTION("""COMPUTED_VALUE"""),"Mov")</f>
        <v>Mov</v>
      </c>
      <c r="D106" s="16" t="str">
        <f>IFERROR(__xludf.DUMMYFUNCTION("""COMPUTED_VALUE"""),"MOV")</f>
        <v>MOV</v>
      </c>
      <c r="E106" s="16" t="str">
        <f>IFERROR(__xludf.DUMMYFUNCTION("""COMPUTED_VALUE"""),"14N151K")</f>
        <v>14N151K</v>
      </c>
      <c r="F106" s="16" t="str">
        <f>IFERROR(__xludf.DUMMYFUNCTION("""COMPUTED_VALUE"""),"DIP")</f>
        <v>DIP</v>
      </c>
      <c r="G106" s="16" t="str">
        <f>IFERROR(__xludf.DUMMYFUNCTION("""COMPUTED_VALUE"""),"S14K460")</f>
        <v>S14K460</v>
      </c>
      <c r="H106" s="16">
        <f>IFERROR(__xludf.DUMMYFUNCTION("""COMPUTED_VALUE"""),3.0)</f>
        <v>3</v>
      </c>
      <c r="I106" s="16"/>
      <c r="J106" s="16"/>
      <c r="K106" s="38"/>
      <c r="L106" s="38"/>
      <c r="M106" s="16"/>
      <c r="N106" s="16"/>
      <c r="O106" s="47">
        <v>60.0</v>
      </c>
      <c r="P106" s="48">
        <v>20000.0</v>
      </c>
      <c r="Q106" s="54">
        <f t="shared" si="2"/>
        <v>20060</v>
      </c>
      <c r="R106" s="55">
        <f t="shared" si="3"/>
        <v>750</v>
      </c>
      <c r="S106" s="55">
        <f t="shared" si="4"/>
        <v>19310</v>
      </c>
      <c r="T106" s="32"/>
      <c r="U106" s="32"/>
      <c r="V106" s="32"/>
      <c r="W106" s="32"/>
      <c r="X106" s="32"/>
      <c r="Y106" s="32"/>
      <c r="Z106" s="32"/>
      <c r="AA106" s="32"/>
      <c r="AB106" s="32"/>
      <c r="AC106" s="32"/>
    </row>
    <row r="107">
      <c r="A107" s="56">
        <v>105.0</v>
      </c>
      <c r="B107" s="57"/>
      <c r="C107" s="16" t="str">
        <f>IFERROR(__xludf.DUMMYFUNCTION("""COMPUTED_VALUE"""),"Resistance")</f>
        <v>Resistance</v>
      </c>
      <c r="D107" s="16" t="str">
        <f>IFERROR(__xludf.DUMMYFUNCTION("""COMPUTED_VALUE"""),"0E")</f>
        <v>0E</v>
      </c>
      <c r="E107" s="16" t="str">
        <f>IFERROR(__xludf.DUMMYFUNCTION("""COMPUTED_VALUE"""),"Res2_0603")</f>
        <v>Res2_0603</v>
      </c>
      <c r="F107" s="16" t="str">
        <f>IFERROR(__xludf.DUMMYFUNCTION("""COMPUTED_VALUE"""),"SMD")</f>
        <v>SMD</v>
      </c>
      <c r="G107" s="16" t="str">
        <f>IFERROR(__xludf.DUMMYFUNCTION("""COMPUTED_VALUE"""),"R0603")</f>
        <v>R0603</v>
      </c>
      <c r="H107" s="16">
        <f>IFERROR(__xludf.DUMMYFUNCTION("""COMPUTED_VALUE"""),81.0)</f>
        <v>81</v>
      </c>
      <c r="I107" s="16"/>
      <c r="J107" s="16"/>
      <c r="K107" s="16"/>
      <c r="L107" s="16"/>
      <c r="M107" s="16"/>
      <c r="N107" s="16"/>
      <c r="O107" s="58">
        <v>3100.0</v>
      </c>
      <c r="P107" s="48">
        <v>25000.0</v>
      </c>
      <c r="Q107" s="54">
        <f t="shared" si="2"/>
        <v>28100</v>
      </c>
      <c r="R107" s="55">
        <f t="shared" si="3"/>
        <v>20250</v>
      </c>
      <c r="S107" s="55">
        <f t="shared" si="4"/>
        <v>7850</v>
      </c>
      <c r="T107" s="32"/>
      <c r="U107" s="32"/>
      <c r="V107" s="32"/>
      <c r="W107" s="32"/>
      <c r="X107" s="32"/>
      <c r="Y107" s="32"/>
      <c r="Z107" s="32"/>
      <c r="AA107" s="32"/>
      <c r="AB107" s="32"/>
      <c r="AC107" s="32"/>
    </row>
    <row r="108">
      <c r="A108" s="56">
        <v>106.0</v>
      </c>
      <c r="B108" s="57"/>
      <c r="C108" s="16" t="str">
        <f>IFERROR(__xludf.DUMMYFUNCTION("""COMPUTED_VALUE"""),"Resistance")</f>
        <v>Resistance</v>
      </c>
      <c r="D108" s="16" t="str">
        <f>IFERROR(__xludf.DUMMYFUNCTION("""COMPUTED_VALUE"""),"100E")</f>
        <v>100E</v>
      </c>
      <c r="E108" s="16"/>
      <c r="F108" s="16" t="str">
        <f>IFERROR(__xludf.DUMMYFUNCTION("""COMPUTED_VALUE"""),"SMD")</f>
        <v>SMD</v>
      </c>
      <c r="G108" s="16" t="str">
        <f>IFERROR(__xludf.DUMMYFUNCTION("""COMPUTED_VALUE"""),"R0603")</f>
        <v>R0603</v>
      </c>
      <c r="H108" s="16">
        <f>IFERROR(__xludf.DUMMYFUNCTION("""COMPUTED_VALUE"""),5.0)</f>
        <v>5</v>
      </c>
      <c r="I108" s="13"/>
      <c r="J108" s="13"/>
      <c r="K108" s="16"/>
      <c r="L108" s="16"/>
      <c r="M108" s="16"/>
      <c r="N108" s="16"/>
      <c r="O108" s="58">
        <v>2000.0</v>
      </c>
      <c r="P108" s="54"/>
      <c r="Q108" s="54">
        <f t="shared" si="2"/>
        <v>2000</v>
      </c>
      <c r="R108" s="55">
        <f t="shared" si="3"/>
        <v>1250</v>
      </c>
      <c r="S108" s="55">
        <f t="shared" si="4"/>
        <v>750</v>
      </c>
      <c r="T108" s="32"/>
      <c r="U108" s="32"/>
      <c r="V108" s="32"/>
      <c r="W108" s="32"/>
      <c r="X108" s="32"/>
      <c r="Y108" s="32"/>
      <c r="Z108" s="32"/>
      <c r="AA108" s="32"/>
      <c r="AB108" s="32"/>
      <c r="AC108" s="32"/>
    </row>
    <row r="109">
      <c r="A109" s="56">
        <v>107.0</v>
      </c>
      <c r="B109" s="57"/>
      <c r="C109" s="16" t="str">
        <f>IFERROR(__xludf.DUMMYFUNCTION("""COMPUTED_VALUE"""),"Resistance")</f>
        <v>Resistance</v>
      </c>
      <c r="D109" s="16" t="str">
        <f>IFERROR(__xludf.DUMMYFUNCTION("""COMPUTED_VALUE"""),"100k")</f>
        <v>100k</v>
      </c>
      <c r="E109" s="16"/>
      <c r="F109" s="16" t="str">
        <f>IFERROR(__xludf.DUMMYFUNCTION("""COMPUTED_VALUE"""),"DIP")</f>
        <v>DIP</v>
      </c>
      <c r="G109" s="16" t="str">
        <f>IFERROR(__xludf.DUMMYFUNCTION("""COMPUTED_VALUE"""),"RES-ADJ-TH_P160KN2-0QC20B100K (Trimport)")</f>
        <v>RES-ADJ-TH_P160KN2-0QC20B100K (Trimport)</v>
      </c>
      <c r="H109" s="16">
        <f>IFERROR(__xludf.DUMMYFUNCTION("""COMPUTED_VALUE"""),2.0)</f>
        <v>2</v>
      </c>
      <c r="I109" s="16"/>
      <c r="J109" s="16"/>
      <c r="K109" s="16"/>
      <c r="L109" s="16"/>
      <c r="M109" s="16"/>
      <c r="N109" s="16"/>
      <c r="O109" s="58">
        <v>100.0</v>
      </c>
      <c r="P109" s="48">
        <v>5000.0</v>
      </c>
      <c r="Q109" s="54">
        <f t="shared" si="2"/>
        <v>5100</v>
      </c>
      <c r="R109" s="55">
        <f t="shared" si="3"/>
        <v>500</v>
      </c>
      <c r="S109" s="55">
        <f t="shared" si="4"/>
        <v>4600</v>
      </c>
      <c r="T109" s="32"/>
      <c r="U109" s="32"/>
      <c r="V109" s="32"/>
      <c r="W109" s="32"/>
      <c r="X109" s="32"/>
      <c r="Y109" s="32"/>
      <c r="Z109" s="32"/>
      <c r="AA109" s="32"/>
      <c r="AB109" s="32"/>
      <c r="AC109" s="32"/>
    </row>
    <row r="110">
      <c r="A110" s="56">
        <v>108.0</v>
      </c>
      <c r="B110" s="57"/>
      <c r="C110" s="16" t="str">
        <f>IFERROR(__xludf.DUMMYFUNCTION("""COMPUTED_VALUE"""),"Resistance")</f>
        <v>Resistance</v>
      </c>
      <c r="D110" s="16" t="str">
        <f>IFERROR(__xludf.DUMMYFUNCTION("""COMPUTED_VALUE"""),"100K")</f>
        <v>100K</v>
      </c>
      <c r="E110" s="16"/>
      <c r="F110" s="16" t="str">
        <f>IFERROR(__xludf.DUMMYFUNCTION("""COMPUTED_VALUE"""),"SMD")</f>
        <v>SMD</v>
      </c>
      <c r="G110" s="16" t="str">
        <f>IFERROR(__xludf.DUMMYFUNCTION("""COMPUTED_VALUE"""),"R0603")</f>
        <v>R0603</v>
      </c>
      <c r="H110" s="16">
        <f>IFERROR(__xludf.DUMMYFUNCTION("""COMPUTED_VALUE"""),12.0)</f>
        <v>12</v>
      </c>
      <c r="I110" s="16"/>
      <c r="J110" s="16"/>
      <c r="K110" s="16"/>
      <c r="L110" s="16"/>
      <c r="M110" s="16"/>
      <c r="N110" s="16"/>
      <c r="O110" s="58">
        <v>1500.0</v>
      </c>
      <c r="P110" s="54"/>
      <c r="Q110" s="54">
        <f t="shared" si="2"/>
        <v>1500</v>
      </c>
      <c r="R110" s="55">
        <f t="shared" si="3"/>
        <v>3000</v>
      </c>
      <c r="S110" s="55">
        <f t="shared" si="4"/>
        <v>-1500</v>
      </c>
      <c r="T110" s="32"/>
      <c r="U110" s="32"/>
      <c r="V110" s="32"/>
      <c r="W110" s="32"/>
      <c r="X110" s="32"/>
      <c r="Y110" s="32"/>
      <c r="Z110" s="32"/>
      <c r="AA110" s="32"/>
      <c r="AB110" s="32"/>
      <c r="AC110" s="32"/>
    </row>
    <row r="111">
      <c r="A111" s="56">
        <v>109.0</v>
      </c>
      <c r="B111" s="57"/>
      <c r="C111" s="16" t="str">
        <f>IFERROR(__xludf.DUMMYFUNCTION("""COMPUTED_VALUE"""),"Resistance")</f>
        <v>Resistance</v>
      </c>
      <c r="D111" s="16" t="str">
        <f>IFERROR(__xludf.DUMMYFUNCTION("""COMPUTED_VALUE"""),"10E")</f>
        <v>10E</v>
      </c>
      <c r="E111" s="16"/>
      <c r="F111" s="16" t="str">
        <f>IFERROR(__xludf.DUMMYFUNCTION("""COMPUTED_VALUE"""),"SMD")</f>
        <v>SMD</v>
      </c>
      <c r="G111" s="16" t="str">
        <f>IFERROR(__xludf.DUMMYFUNCTION("""COMPUTED_VALUE"""),"R0603")</f>
        <v>R0603</v>
      </c>
      <c r="H111" s="16">
        <f>IFERROR(__xludf.DUMMYFUNCTION("""COMPUTED_VALUE"""),3.0)</f>
        <v>3</v>
      </c>
      <c r="I111" s="16"/>
      <c r="J111" s="16"/>
      <c r="K111" s="16"/>
      <c r="L111" s="16"/>
      <c r="M111" s="16"/>
      <c r="N111" s="16"/>
      <c r="O111" s="58">
        <v>4000.0</v>
      </c>
      <c r="P111" s="48">
        <v>15000.0</v>
      </c>
      <c r="Q111" s="54">
        <f t="shared" si="2"/>
        <v>19000</v>
      </c>
      <c r="R111" s="55">
        <f t="shared" si="3"/>
        <v>750</v>
      </c>
      <c r="S111" s="55">
        <f t="shared" si="4"/>
        <v>18250</v>
      </c>
      <c r="T111" s="32"/>
      <c r="U111" s="32"/>
      <c r="V111" s="32"/>
      <c r="W111" s="32"/>
      <c r="X111" s="32"/>
      <c r="Y111" s="32"/>
      <c r="Z111" s="32"/>
      <c r="AA111" s="32"/>
      <c r="AB111" s="32"/>
      <c r="AC111" s="32"/>
    </row>
    <row r="112">
      <c r="A112" s="56">
        <v>110.0</v>
      </c>
      <c r="B112" s="57"/>
      <c r="C112" s="16" t="str">
        <f>IFERROR(__xludf.DUMMYFUNCTION("""COMPUTED_VALUE"""),"Resistance")</f>
        <v>Resistance</v>
      </c>
      <c r="D112" s="16" t="str">
        <f>IFERROR(__xludf.DUMMYFUNCTION("""COMPUTED_VALUE"""),"10K")</f>
        <v>10K</v>
      </c>
      <c r="E112" s="16"/>
      <c r="F112" s="16" t="str">
        <f>IFERROR(__xludf.DUMMYFUNCTION("""COMPUTED_VALUE"""),"SMD")</f>
        <v>SMD</v>
      </c>
      <c r="G112" s="16" t="str">
        <f>IFERROR(__xludf.DUMMYFUNCTION("""COMPUTED_VALUE"""),"R0603")</f>
        <v>R0603</v>
      </c>
      <c r="H112" s="16">
        <f>IFERROR(__xludf.DUMMYFUNCTION("""COMPUTED_VALUE"""),63.0)</f>
        <v>63</v>
      </c>
      <c r="I112" s="16"/>
      <c r="J112" s="16"/>
      <c r="K112" s="16"/>
      <c r="L112" s="16"/>
      <c r="M112" s="16"/>
      <c r="N112" s="16"/>
      <c r="O112" s="58">
        <v>3000.0</v>
      </c>
      <c r="P112" s="48">
        <v>15000.0</v>
      </c>
      <c r="Q112" s="54">
        <f t="shared" si="2"/>
        <v>18000</v>
      </c>
      <c r="R112" s="55">
        <f t="shared" si="3"/>
        <v>15750</v>
      </c>
      <c r="S112" s="55">
        <f t="shared" si="4"/>
        <v>2250</v>
      </c>
      <c r="T112" s="32"/>
      <c r="U112" s="32"/>
      <c r="V112" s="32"/>
      <c r="W112" s="32"/>
      <c r="X112" s="32"/>
      <c r="Y112" s="32"/>
      <c r="Z112" s="32"/>
      <c r="AA112" s="32"/>
      <c r="AB112" s="32"/>
      <c r="AC112" s="32"/>
    </row>
    <row r="113">
      <c r="A113" s="56">
        <v>111.0</v>
      </c>
      <c r="B113" s="57"/>
      <c r="C113" s="16" t="str">
        <f>IFERROR(__xludf.DUMMYFUNCTION("""COMPUTED_VALUE"""),"Resistance")</f>
        <v>Resistance</v>
      </c>
      <c r="D113" s="16" t="str">
        <f>IFERROR(__xludf.DUMMYFUNCTION("""COMPUTED_VALUE"""),"15K")</f>
        <v>15K</v>
      </c>
      <c r="E113" s="16"/>
      <c r="F113" s="16" t="str">
        <f>IFERROR(__xludf.DUMMYFUNCTION("""COMPUTED_VALUE"""),"SMD")</f>
        <v>SMD</v>
      </c>
      <c r="G113" s="16" t="str">
        <f>IFERROR(__xludf.DUMMYFUNCTION("""COMPUTED_VALUE"""),"R0603")</f>
        <v>R0603</v>
      </c>
      <c r="H113" s="16">
        <f>IFERROR(__xludf.DUMMYFUNCTION("""COMPUTED_VALUE"""),4.0)</f>
        <v>4</v>
      </c>
      <c r="I113" s="16"/>
      <c r="J113" s="16"/>
      <c r="K113" s="16"/>
      <c r="L113" s="16"/>
      <c r="M113" s="16"/>
      <c r="N113" s="16"/>
      <c r="O113" s="58">
        <v>3000.0</v>
      </c>
      <c r="P113" s="48">
        <v>25000.0</v>
      </c>
      <c r="Q113" s="54">
        <f t="shared" si="2"/>
        <v>28000</v>
      </c>
      <c r="R113" s="55">
        <f t="shared" si="3"/>
        <v>1000</v>
      </c>
      <c r="S113" s="55">
        <f t="shared" si="4"/>
        <v>27000</v>
      </c>
      <c r="T113" s="32"/>
      <c r="U113" s="32"/>
      <c r="V113" s="32"/>
      <c r="W113" s="32"/>
      <c r="X113" s="32"/>
      <c r="Y113" s="32"/>
      <c r="Z113" s="32"/>
      <c r="AA113" s="32"/>
      <c r="AB113" s="32"/>
      <c r="AC113" s="32"/>
    </row>
    <row r="114">
      <c r="A114" s="56">
        <v>112.0</v>
      </c>
      <c r="B114" s="57"/>
      <c r="C114" s="16" t="str">
        <f>IFERROR(__xludf.DUMMYFUNCTION("""COMPUTED_VALUE"""),"Resistance")</f>
        <v>Resistance</v>
      </c>
      <c r="D114" s="16" t="str">
        <f>IFERROR(__xludf.DUMMYFUNCTION("""COMPUTED_VALUE"""),"1K")</f>
        <v>1K</v>
      </c>
      <c r="E114" s="16" t="str">
        <f>IFERROR(__xludf.DUMMYFUNCTION("""COMPUTED_VALUE"""),"Res2_0603")</f>
        <v>Res2_0603</v>
      </c>
      <c r="F114" s="16" t="str">
        <f>IFERROR(__xludf.DUMMYFUNCTION("""COMPUTED_VALUE"""),"SMD")</f>
        <v>SMD</v>
      </c>
      <c r="G114" s="16" t="str">
        <f>IFERROR(__xludf.DUMMYFUNCTION("""COMPUTED_VALUE"""),"R0603")</f>
        <v>R0603</v>
      </c>
      <c r="H114" s="16">
        <f>IFERROR(__xludf.DUMMYFUNCTION("""COMPUTED_VALUE"""),99.0)</f>
        <v>99</v>
      </c>
      <c r="I114" s="16"/>
      <c r="J114" s="16"/>
      <c r="K114" s="16"/>
      <c r="L114" s="16"/>
      <c r="M114" s="16"/>
      <c r="N114" s="16"/>
      <c r="O114" s="58">
        <v>6600.0</v>
      </c>
      <c r="P114" s="48">
        <v>25000.0</v>
      </c>
      <c r="Q114" s="54">
        <f t="shared" si="2"/>
        <v>31600</v>
      </c>
      <c r="R114" s="55">
        <f t="shared" si="3"/>
        <v>24750</v>
      </c>
      <c r="S114" s="55">
        <f t="shared" si="4"/>
        <v>6850</v>
      </c>
      <c r="T114" s="32"/>
      <c r="U114" s="32"/>
      <c r="V114" s="32"/>
      <c r="W114" s="32"/>
      <c r="X114" s="32"/>
      <c r="Y114" s="32"/>
      <c r="Z114" s="32"/>
      <c r="AA114" s="32"/>
      <c r="AB114" s="32"/>
      <c r="AC114" s="32"/>
    </row>
    <row r="115">
      <c r="A115" s="56">
        <v>113.0</v>
      </c>
      <c r="B115" s="57"/>
      <c r="C115" s="16" t="str">
        <f>IFERROR(__xludf.DUMMYFUNCTION("""COMPUTED_VALUE"""),"Resistance")</f>
        <v>Resistance</v>
      </c>
      <c r="D115" s="16" t="str">
        <f>IFERROR(__xludf.DUMMYFUNCTION("""COMPUTED_VALUE"""),"1MOhm")</f>
        <v>1MOhm</v>
      </c>
      <c r="E115" s="16"/>
      <c r="F115" s="16" t="str">
        <f>IFERROR(__xludf.DUMMYFUNCTION("""COMPUTED_VALUE"""),"SMD")</f>
        <v>SMD</v>
      </c>
      <c r="G115" s="16" t="str">
        <f>IFERROR(__xludf.DUMMYFUNCTION("""COMPUTED_VALUE"""),"R0603")</f>
        <v>R0603</v>
      </c>
      <c r="H115" s="16">
        <f>IFERROR(__xludf.DUMMYFUNCTION("""COMPUTED_VALUE"""),6.0)</f>
        <v>6</v>
      </c>
      <c r="I115" s="16"/>
      <c r="J115" s="16"/>
      <c r="K115" s="16"/>
      <c r="L115" s="16"/>
      <c r="M115" s="16"/>
      <c r="N115" s="16"/>
      <c r="O115" s="58">
        <v>3000.0</v>
      </c>
      <c r="P115" s="54"/>
      <c r="Q115" s="54">
        <f t="shared" si="2"/>
        <v>3000</v>
      </c>
      <c r="R115" s="55">
        <f t="shared" si="3"/>
        <v>1500</v>
      </c>
      <c r="S115" s="55">
        <f t="shared" si="4"/>
        <v>1500</v>
      </c>
      <c r="T115" s="32"/>
      <c r="U115" s="32"/>
      <c r="V115" s="32"/>
      <c r="W115" s="32"/>
      <c r="X115" s="32"/>
      <c r="Y115" s="32"/>
      <c r="Z115" s="32"/>
      <c r="AA115" s="32"/>
      <c r="AB115" s="32"/>
      <c r="AC115" s="32"/>
    </row>
    <row r="116">
      <c r="A116" s="56">
        <v>114.0</v>
      </c>
      <c r="B116" s="57"/>
      <c r="C116" s="16" t="str">
        <f>IFERROR(__xludf.DUMMYFUNCTION("""COMPUTED_VALUE"""),"Resistance")</f>
        <v>Resistance</v>
      </c>
      <c r="D116" s="16" t="str">
        <f>IFERROR(__xludf.DUMMYFUNCTION("""COMPUTED_VALUE"""),"2.2K")</f>
        <v>2.2K</v>
      </c>
      <c r="E116" s="16"/>
      <c r="F116" s="16" t="str">
        <f>IFERROR(__xludf.DUMMYFUNCTION("""COMPUTED_VALUE"""),"SMD")</f>
        <v>SMD</v>
      </c>
      <c r="G116" s="16" t="str">
        <f>IFERROR(__xludf.DUMMYFUNCTION("""COMPUTED_VALUE"""),"R0603")</f>
        <v>R0603</v>
      </c>
      <c r="H116" s="16">
        <f>IFERROR(__xludf.DUMMYFUNCTION("""COMPUTED_VALUE"""),20.0)</f>
        <v>20</v>
      </c>
      <c r="I116" s="16"/>
      <c r="J116" s="16"/>
      <c r="K116" s="16"/>
      <c r="L116" s="16"/>
      <c r="M116" s="16"/>
      <c r="N116" s="16"/>
      <c r="O116" s="58">
        <v>1500.0</v>
      </c>
      <c r="P116" s="48">
        <v>5000.0</v>
      </c>
      <c r="Q116" s="54">
        <f t="shared" si="2"/>
        <v>6500</v>
      </c>
      <c r="R116" s="55">
        <f t="shared" si="3"/>
        <v>5000</v>
      </c>
      <c r="S116" s="55">
        <f t="shared" si="4"/>
        <v>1500</v>
      </c>
      <c r="T116" s="32"/>
      <c r="U116" s="32"/>
      <c r="V116" s="32"/>
      <c r="W116" s="32"/>
      <c r="X116" s="32"/>
      <c r="Y116" s="32"/>
      <c r="Z116" s="32"/>
      <c r="AA116" s="32"/>
      <c r="AB116" s="32"/>
      <c r="AC116" s="32"/>
    </row>
    <row r="117">
      <c r="A117" s="56">
        <v>115.0</v>
      </c>
      <c r="B117" s="57"/>
      <c r="C117" s="16" t="str">
        <f>IFERROR(__xludf.DUMMYFUNCTION("""COMPUTED_VALUE"""),"Resistance")</f>
        <v>Resistance</v>
      </c>
      <c r="D117" s="16" t="str">
        <f>IFERROR(__xludf.DUMMYFUNCTION("""COMPUTED_VALUE"""),"220E")</f>
        <v>220E</v>
      </c>
      <c r="E117" s="16"/>
      <c r="F117" s="16" t="str">
        <f>IFERROR(__xludf.DUMMYFUNCTION("""COMPUTED_VALUE"""),"SMD")</f>
        <v>SMD</v>
      </c>
      <c r="G117" s="16" t="str">
        <f>IFERROR(__xludf.DUMMYFUNCTION("""COMPUTED_VALUE"""),"R0603")</f>
        <v>R0603</v>
      </c>
      <c r="H117" s="16">
        <f>IFERROR(__xludf.DUMMYFUNCTION("""COMPUTED_VALUE"""),6.0)</f>
        <v>6</v>
      </c>
      <c r="I117" s="16"/>
      <c r="J117" s="16"/>
      <c r="K117" s="16"/>
      <c r="L117" s="16"/>
      <c r="M117" s="16"/>
      <c r="N117" s="16"/>
      <c r="O117" s="58">
        <v>3000.0</v>
      </c>
      <c r="P117" s="54"/>
      <c r="Q117" s="54">
        <f t="shared" si="2"/>
        <v>3000</v>
      </c>
      <c r="R117" s="55">
        <f t="shared" si="3"/>
        <v>1500</v>
      </c>
      <c r="S117" s="55">
        <f t="shared" si="4"/>
        <v>1500</v>
      </c>
      <c r="T117" s="32"/>
      <c r="U117" s="32"/>
      <c r="V117" s="32"/>
      <c r="W117" s="32"/>
      <c r="X117" s="32"/>
      <c r="Y117" s="32"/>
      <c r="Z117" s="32"/>
      <c r="AA117" s="32"/>
      <c r="AB117" s="32"/>
      <c r="AC117" s="32"/>
    </row>
    <row r="118">
      <c r="A118" s="56">
        <v>116.0</v>
      </c>
      <c r="B118" s="57"/>
      <c r="C118" s="16" t="str">
        <f>IFERROR(__xludf.DUMMYFUNCTION("""COMPUTED_VALUE"""),"Resistance")</f>
        <v>Resistance</v>
      </c>
      <c r="D118" s="16" t="str">
        <f>IFERROR(__xludf.DUMMYFUNCTION("""COMPUTED_VALUE"""),"22E")</f>
        <v>22E</v>
      </c>
      <c r="E118" s="16"/>
      <c r="F118" s="16" t="str">
        <f>IFERROR(__xludf.DUMMYFUNCTION("""COMPUTED_VALUE"""),"SMD")</f>
        <v>SMD</v>
      </c>
      <c r="G118" s="16" t="str">
        <f>IFERROR(__xludf.DUMMYFUNCTION("""COMPUTED_VALUE"""),"R0603")</f>
        <v>R0603</v>
      </c>
      <c r="H118" s="16">
        <f>IFERROR(__xludf.DUMMYFUNCTION("""COMPUTED_VALUE"""),4.0)</f>
        <v>4</v>
      </c>
      <c r="I118" s="16"/>
      <c r="J118" s="16"/>
      <c r="K118" s="16"/>
      <c r="L118" s="16"/>
      <c r="M118" s="16"/>
      <c r="N118" s="16"/>
      <c r="O118" s="58">
        <v>7000.0</v>
      </c>
      <c r="P118" s="54"/>
      <c r="Q118" s="54">
        <f t="shared" si="2"/>
        <v>7000</v>
      </c>
      <c r="R118" s="55">
        <f t="shared" si="3"/>
        <v>1000</v>
      </c>
      <c r="S118" s="55">
        <f t="shared" si="4"/>
        <v>6000</v>
      </c>
      <c r="T118" s="32"/>
      <c r="U118" s="32"/>
      <c r="V118" s="32"/>
      <c r="W118" s="32"/>
      <c r="X118" s="32"/>
      <c r="Y118" s="32"/>
      <c r="Z118" s="32"/>
      <c r="AA118" s="32"/>
      <c r="AB118" s="32"/>
      <c r="AC118" s="32"/>
    </row>
    <row r="119">
      <c r="A119" s="56">
        <v>117.0</v>
      </c>
      <c r="B119" s="57"/>
      <c r="C119" s="16" t="str">
        <f>IFERROR(__xludf.DUMMYFUNCTION("""COMPUTED_VALUE"""),"Resistance")</f>
        <v>Resistance</v>
      </c>
      <c r="D119" s="16" t="str">
        <f>IFERROR(__xludf.DUMMYFUNCTION("""COMPUTED_VALUE"""),"22K/3W")</f>
        <v>22K/3W</v>
      </c>
      <c r="E119" s="16"/>
      <c r="F119" s="16" t="str">
        <f>IFERROR(__xludf.DUMMYFUNCTION("""COMPUTED_VALUE"""),"SMD")</f>
        <v>SMD</v>
      </c>
      <c r="G119" s="16" t="str">
        <f>IFERROR(__xludf.DUMMYFUNCTION("""COMPUTED_VALUE"""),"R2512")</f>
        <v>R2512</v>
      </c>
      <c r="H119" s="16">
        <f>IFERROR(__xludf.DUMMYFUNCTION("""COMPUTED_VALUE"""),6.0)</f>
        <v>6</v>
      </c>
      <c r="I119" s="16"/>
      <c r="J119" s="16"/>
      <c r="K119" s="16"/>
      <c r="L119" s="16"/>
      <c r="M119" s="16"/>
      <c r="N119" s="16"/>
      <c r="O119" s="58">
        <v>500.0</v>
      </c>
      <c r="P119" s="48">
        <v>4000.0</v>
      </c>
      <c r="Q119" s="54">
        <f t="shared" si="2"/>
        <v>4500</v>
      </c>
      <c r="R119" s="55">
        <f t="shared" si="3"/>
        <v>1500</v>
      </c>
      <c r="S119" s="55">
        <f t="shared" si="4"/>
        <v>3000</v>
      </c>
      <c r="T119" s="32"/>
      <c r="U119" s="32"/>
      <c r="V119" s="32"/>
      <c r="W119" s="32"/>
      <c r="X119" s="32"/>
      <c r="Y119" s="32"/>
      <c r="Z119" s="32"/>
      <c r="AA119" s="32"/>
      <c r="AB119" s="32"/>
      <c r="AC119" s="32"/>
    </row>
    <row r="120">
      <c r="A120" s="56">
        <v>118.0</v>
      </c>
      <c r="B120" s="57"/>
      <c r="C120" s="16" t="str">
        <f>IFERROR(__xludf.DUMMYFUNCTION("""COMPUTED_VALUE"""),"Resistance")</f>
        <v>Resistance</v>
      </c>
      <c r="D120" s="16" t="str">
        <f>IFERROR(__xludf.DUMMYFUNCTION("""COMPUTED_VALUE"""),"2K")</f>
        <v>2K</v>
      </c>
      <c r="E120" s="16"/>
      <c r="F120" s="16" t="str">
        <f>IFERROR(__xludf.DUMMYFUNCTION("""COMPUTED_VALUE"""),"SMD")</f>
        <v>SMD</v>
      </c>
      <c r="G120" s="16" t="str">
        <f>IFERROR(__xludf.DUMMYFUNCTION("""COMPUTED_VALUE"""),"R0603")</f>
        <v>R0603</v>
      </c>
      <c r="H120" s="16">
        <f>IFERROR(__xludf.DUMMYFUNCTION("""COMPUTED_VALUE"""),2.0)</f>
        <v>2</v>
      </c>
      <c r="I120" s="16"/>
      <c r="J120" s="16"/>
      <c r="K120" s="16"/>
      <c r="L120" s="16"/>
      <c r="M120" s="16"/>
      <c r="N120" s="16"/>
      <c r="O120" s="58">
        <v>3000.0</v>
      </c>
      <c r="P120" s="54"/>
      <c r="Q120" s="54">
        <f t="shared" si="2"/>
        <v>3000</v>
      </c>
      <c r="R120" s="55">
        <f t="shared" si="3"/>
        <v>500</v>
      </c>
      <c r="S120" s="55">
        <f t="shared" si="4"/>
        <v>2500</v>
      </c>
      <c r="T120" s="32"/>
      <c r="U120" s="32"/>
      <c r="V120" s="32"/>
      <c r="W120" s="32"/>
      <c r="X120" s="32"/>
      <c r="Y120" s="32"/>
      <c r="Z120" s="32"/>
      <c r="AA120" s="32"/>
      <c r="AB120" s="32"/>
      <c r="AC120" s="32"/>
    </row>
    <row r="121">
      <c r="A121" s="56">
        <v>3000.0</v>
      </c>
      <c r="B121" s="57"/>
      <c r="C121" s="16" t="str">
        <f>IFERROR(__xludf.DUMMYFUNCTION("""COMPUTED_VALUE"""),"Resistance")</f>
        <v>Resistance</v>
      </c>
      <c r="D121" s="16" t="str">
        <f>IFERROR(__xludf.DUMMYFUNCTION("""COMPUTED_VALUE"""),"3.30K")</f>
        <v>3.30K</v>
      </c>
      <c r="E121" s="16" t="str">
        <f>IFERROR(__xludf.DUMMYFUNCTION("""COMPUTED_VALUE"""),"Res2_0603")</f>
        <v>Res2_0603</v>
      </c>
      <c r="F121" s="16" t="str">
        <f>IFERROR(__xludf.DUMMYFUNCTION("""COMPUTED_VALUE"""),"SMD")</f>
        <v>SMD</v>
      </c>
      <c r="G121" s="16" t="str">
        <f>IFERROR(__xludf.DUMMYFUNCTION("""COMPUTED_VALUE"""),"R0603")</f>
        <v>R0603</v>
      </c>
      <c r="H121" s="16">
        <f>IFERROR(__xludf.DUMMYFUNCTION("""COMPUTED_VALUE"""),1.0)</f>
        <v>1</v>
      </c>
      <c r="I121" s="16"/>
      <c r="J121" s="16"/>
      <c r="K121" s="16"/>
      <c r="L121" s="16"/>
      <c r="M121" s="16"/>
      <c r="N121" s="16"/>
      <c r="O121" s="58">
        <v>750.0</v>
      </c>
      <c r="P121" s="48">
        <v>3000.0</v>
      </c>
      <c r="Q121" s="54">
        <f t="shared" si="2"/>
        <v>3750</v>
      </c>
      <c r="R121" s="55">
        <f t="shared" si="3"/>
        <v>250</v>
      </c>
      <c r="S121" s="55">
        <f t="shared" si="4"/>
        <v>3500</v>
      </c>
      <c r="T121" s="32"/>
      <c r="U121" s="32"/>
      <c r="V121" s="32"/>
      <c r="W121" s="32"/>
      <c r="X121" s="32"/>
      <c r="Y121" s="32"/>
      <c r="Z121" s="32"/>
      <c r="AA121" s="32"/>
      <c r="AB121" s="32"/>
      <c r="AC121" s="32"/>
    </row>
    <row r="122">
      <c r="A122" s="56">
        <v>120.0</v>
      </c>
      <c r="B122" s="57"/>
      <c r="C122" s="16" t="str">
        <f>IFERROR(__xludf.DUMMYFUNCTION("""COMPUTED_VALUE"""),"Resistance")</f>
        <v>Resistance</v>
      </c>
      <c r="D122" s="16" t="str">
        <f>IFERROR(__xludf.DUMMYFUNCTION("""COMPUTED_VALUE"""),"300K")</f>
        <v>300K</v>
      </c>
      <c r="E122" s="16"/>
      <c r="F122" s="16" t="str">
        <f>IFERROR(__xludf.DUMMYFUNCTION("""COMPUTED_VALUE"""),"SMD")</f>
        <v>SMD</v>
      </c>
      <c r="G122" s="16" t="str">
        <f>IFERROR(__xludf.DUMMYFUNCTION("""COMPUTED_VALUE"""),"R0603")</f>
        <v>R0603</v>
      </c>
      <c r="H122" s="16">
        <f>IFERROR(__xludf.DUMMYFUNCTION("""COMPUTED_VALUE"""),4.0)</f>
        <v>4</v>
      </c>
      <c r="I122" s="16"/>
      <c r="J122" s="16"/>
      <c r="K122" s="16"/>
      <c r="L122" s="16"/>
      <c r="M122" s="16"/>
      <c r="N122" s="16"/>
      <c r="O122" s="58">
        <v>4000.0</v>
      </c>
      <c r="P122" s="54"/>
      <c r="Q122" s="54">
        <f t="shared" si="2"/>
        <v>4000</v>
      </c>
      <c r="R122" s="55">
        <f t="shared" si="3"/>
        <v>1000</v>
      </c>
      <c r="S122" s="55">
        <f t="shared" si="4"/>
        <v>3000</v>
      </c>
      <c r="T122" s="32"/>
      <c r="U122" s="32"/>
      <c r="V122" s="32"/>
      <c r="W122" s="32"/>
      <c r="X122" s="32"/>
      <c r="Y122" s="32"/>
      <c r="Z122" s="32"/>
      <c r="AA122" s="32"/>
      <c r="AB122" s="32"/>
      <c r="AC122" s="32"/>
    </row>
    <row r="123">
      <c r="A123" s="56">
        <v>121.0</v>
      </c>
      <c r="B123" s="57"/>
      <c r="C123" s="16" t="str">
        <f>IFERROR(__xludf.DUMMYFUNCTION("""COMPUTED_VALUE"""),"Resistance")</f>
        <v>Resistance</v>
      </c>
      <c r="D123" s="16" t="str">
        <f>IFERROR(__xludf.DUMMYFUNCTION("""COMPUTED_VALUE"""),"33K")</f>
        <v>33K</v>
      </c>
      <c r="E123" s="16"/>
      <c r="F123" s="16" t="str">
        <f>IFERROR(__xludf.DUMMYFUNCTION("""COMPUTED_VALUE"""),"SMD")</f>
        <v>SMD</v>
      </c>
      <c r="G123" s="16" t="str">
        <f>IFERROR(__xludf.DUMMYFUNCTION("""COMPUTED_VALUE"""),"R0603")</f>
        <v>R0603</v>
      </c>
      <c r="H123" s="16">
        <f>IFERROR(__xludf.DUMMYFUNCTION("""COMPUTED_VALUE"""),7.0)</f>
        <v>7</v>
      </c>
      <c r="I123" s="16"/>
      <c r="J123" s="16"/>
      <c r="K123" s="16"/>
      <c r="L123" s="16"/>
      <c r="M123" s="16"/>
      <c r="N123" s="16"/>
      <c r="O123" s="58">
        <v>3000.0</v>
      </c>
      <c r="P123" s="54"/>
      <c r="Q123" s="54">
        <f t="shared" si="2"/>
        <v>3000</v>
      </c>
      <c r="R123" s="55">
        <f t="shared" si="3"/>
        <v>1750</v>
      </c>
      <c r="S123" s="55">
        <f t="shared" si="4"/>
        <v>1250</v>
      </c>
      <c r="T123" s="32"/>
      <c r="U123" s="32"/>
      <c r="V123" s="32"/>
      <c r="W123" s="32"/>
      <c r="X123" s="32"/>
      <c r="Y123" s="32"/>
      <c r="Z123" s="32"/>
      <c r="AA123" s="32"/>
      <c r="AB123" s="32"/>
      <c r="AC123" s="32"/>
    </row>
    <row r="124">
      <c r="A124" s="56">
        <v>122.0</v>
      </c>
      <c r="B124" s="57"/>
      <c r="C124" s="16" t="str">
        <f>IFERROR(__xludf.DUMMYFUNCTION("""COMPUTED_VALUE"""),"Resistance")</f>
        <v>Resistance</v>
      </c>
      <c r="D124" s="16" t="str">
        <f>IFERROR(__xludf.DUMMYFUNCTION("""COMPUTED_VALUE"""),"39K")</f>
        <v>39K</v>
      </c>
      <c r="E124" s="16"/>
      <c r="F124" s="16" t="str">
        <f>IFERROR(__xludf.DUMMYFUNCTION("""COMPUTED_VALUE"""),"SMD")</f>
        <v>SMD</v>
      </c>
      <c r="G124" s="16" t="str">
        <f>IFERROR(__xludf.DUMMYFUNCTION("""COMPUTED_VALUE"""),"R0603")</f>
        <v>R0603</v>
      </c>
      <c r="H124" s="16">
        <f>IFERROR(__xludf.DUMMYFUNCTION("""COMPUTED_VALUE"""),3.0)</f>
        <v>3</v>
      </c>
      <c r="I124" s="16"/>
      <c r="J124" s="16"/>
      <c r="K124" s="16"/>
      <c r="L124" s="16"/>
      <c r="M124" s="16"/>
      <c r="N124" s="16"/>
      <c r="O124" s="58">
        <v>3000.0</v>
      </c>
      <c r="P124" s="54"/>
      <c r="Q124" s="54">
        <f t="shared" si="2"/>
        <v>3000</v>
      </c>
      <c r="R124" s="55">
        <f t="shared" si="3"/>
        <v>750</v>
      </c>
      <c r="S124" s="55">
        <f t="shared" si="4"/>
        <v>2250</v>
      </c>
      <c r="T124" s="32"/>
      <c r="U124" s="32"/>
      <c r="V124" s="32"/>
      <c r="W124" s="32"/>
      <c r="X124" s="32"/>
      <c r="Y124" s="32"/>
      <c r="Z124" s="32"/>
      <c r="AA124" s="32"/>
      <c r="AB124" s="32"/>
      <c r="AC124" s="32"/>
    </row>
    <row r="125">
      <c r="A125" s="56">
        <v>123.0</v>
      </c>
      <c r="B125" s="57"/>
      <c r="C125" s="16" t="str">
        <f>IFERROR(__xludf.DUMMYFUNCTION("""COMPUTED_VALUE"""),"Resistance")</f>
        <v>Resistance</v>
      </c>
      <c r="D125" s="16" t="str">
        <f>IFERROR(__xludf.DUMMYFUNCTION("""COMPUTED_VALUE"""),"4.12K
")</f>
        <v>4.12K
</v>
      </c>
      <c r="E125" s="16" t="str">
        <f>IFERROR(__xludf.DUMMYFUNCTION("""COMPUTED_VALUE"""),"Res2_0603")</f>
        <v>Res2_0603</v>
      </c>
      <c r="F125" s="16" t="str">
        <f>IFERROR(__xludf.DUMMYFUNCTION("""COMPUTED_VALUE"""),"SMD")</f>
        <v>SMD</v>
      </c>
      <c r="G125" s="16" t="str">
        <f>IFERROR(__xludf.DUMMYFUNCTION("""COMPUTED_VALUE"""),"R0603")</f>
        <v>R0603</v>
      </c>
      <c r="H125" s="16">
        <f>IFERROR(__xludf.DUMMYFUNCTION("""COMPUTED_VALUE"""),1.0)</f>
        <v>1</v>
      </c>
      <c r="I125" s="16"/>
      <c r="J125" s="16"/>
      <c r="K125" s="16"/>
      <c r="L125" s="16"/>
      <c r="M125" s="16"/>
      <c r="N125" s="16"/>
      <c r="O125" s="58">
        <v>750.0</v>
      </c>
      <c r="P125" s="54"/>
      <c r="Q125" s="54">
        <f t="shared" si="2"/>
        <v>750</v>
      </c>
      <c r="R125" s="55">
        <f t="shared" si="3"/>
        <v>250</v>
      </c>
      <c r="S125" s="55">
        <f t="shared" si="4"/>
        <v>500</v>
      </c>
      <c r="T125" s="32"/>
      <c r="U125" s="32"/>
      <c r="V125" s="32"/>
      <c r="W125" s="32"/>
      <c r="X125" s="32"/>
      <c r="Y125" s="32"/>
      <c r="Z125" s="32"/>
      <c r="AA125" s="32"/>
      <c r="AB125" s="32"/>
      <c r="AC125" s="32"/>
    </row>
    <row r="126">
      <c r="A126" s="56">
        <v>124.0</v>
      </c>
      <c r="B126" s="57"/>
      <c r="C126" s="16" t="str">
        <f>IFERROR(__xludf.DUMMYFUNCTION("""COMPUTED_VALUE"""),"Resistance")</f>
        <v>Resistance</v>
      </c>
      <c r="D126" s="16" t="str">
        <f>IFERROR(__xludf.DUMMYFUNCTION("""COMPUTED_VALUE"""),"4.7K")</f>
        <v>4.7K</v>
      </c>
      <c r="E126" s="16" t="str">
        <f>IFERROR(__xludf.DUMMYFUNCTION("""COMPUTED_VALUE"""),"Res2_0603")</f>
        <v>Res2_0603</v>
      </c>
      <c r="F126" s="16" t="str">
        <f>IFERROR(__xludf.DUMMYFUNCTION("""COMPUTED_VALUE"""),"SMD")</f>
        <v>SMD</v>
      </c>
      <c r="G126" s="16" t="str">
        <f>IFERROR(__xludf.DUMMYFUNCTION("""COMPUTED_VALUE"""),"R0603")</f>
        <v>R0603</v>
      </c>
      <c r="H126" s="16">
        <f>IFERROR(__xludf.DUMMYFUNCTION("""COMPUTED_VALUE"""),28.0)</f>
        <v>28</v>
      </c>
      <c r="I126" s="13"/>
      <c r="J126" s="13"/>
      <c r="K126" s="16"/>
      <c r="L126" s="16"/>
      <c r="M126" s="16"/>
      <c r="N126" s="16"/>
      <c r="O126" s="58">
        <v>2000.0</v>
      </c>
      <c r="P126" s="48">
        <v>10000.0</v>
      </c>
      <c r="Q126" s="54">
        <f t="shared" si="2"/>
        <v>12000</v>
      </c>
      <c r="R126" s="55">
        <f t="shared" si="3"/>
        <v>7000</v>
      </c>
      <c r="S126" s="55">
        <f t="shared" si="4"/>
        <v>5000</v>
      </c>
      <c r="T126" s="32"/>
      <c r="U126" s="32"/>
      <c r="V126" s="32"/>
      <c r="W126" s="32"/>
      <c r="X126" s="32"/>
      <c r="Y126" s="32"/>
      <c r="Z126" s="32"/>
      <c r="AA126" s="32"/>
      <c r="AB126" s="32"/>
      <c r="AC126" s="32"/>
    </row>
    <row r="127">
      <c r="A127" s="56">
        <v>125.0</v>
      </c>
      <c r="B127" s="57"/>
      <c r="C127" s="16" t="str">
        <f>IFERROR(__xludf.DUMMYFUNCTION("""COMPUTED_VALUE"""),"Resistance")</f>
        <v>Resistance</v>
      </c>
      <c r="D127" s="16" t="str">
        <f>IFERROR(__xludf.DUMMYFUNCTION("""COMPUTED_VALUE"""),"470K")</f>
        <v>470K</v>
      </c>
      <c r="E127" s="16"/>
      <c r="F127" s="16" t="str">
        <f>IFERROR(__xludf.DUMMYFUNCTION("""COMPUTED_VALUE"""),"SMD")</f>
        <v>SMD</v>
      </c>
      <c r="G127" s="16" t="str">
        <f>IFERROR(__xludf.DUMMYFUNCTION("""COMPUTED_VALUE"""),"R0603")</f>
        <v>R0603</v>
      </c>
      <c r="H127" s="16">
        <f>IFERROR(__xludf.DUMMYFUNCTION("""COMPUTED_VALUE"""),2.0)</f>
        <v>2</v>
      </c>
      <c r="I127" s="16"/>
      <c r="J127" s="16"/>
      <c r="K127" s="13"/>
      <c r="L127" s="13"/>
      <c r="M127" s="16"/>
      <c r="N127" s="16"/>
      <c r="O127" s="58">
        <v>3500.0</v>
      </c>
      <c r="P127" s="54"/>
      <c r="Q127" s="54">
        <f t="shared" si="2"/>
        <v>3500</v>
      </c>
      <c r="R127" s="55">
        <f t="shared" si="3"/>
        <v>500</v>
      </c>
      <c r="S127" s="55">
        <f t="shared" si="4"/>
        <v>3000</v>
      </c>
      <c r="T127" s="32"/>
      <c r="U127" s="32"/>
      <c r="V127" s="32"/>
      <c r="W127" s="32"/>
      <c r="X127" s="32"/>
      <c r="Y127" s="32"/>
      <c r="Z127" s="32"/>
      <c r="AA127" s="32"/>
      <c r="AB127" s="32"/>
      <c r="AC127" s="32"/>
    </row>
    <row r="128">
      <c r="A128" s="56">
        <v>126.0</v>
      </c>
      <c r="B128" s="57"/>
      <c r="C128" s="16" t="str">
        <f>IFERROR(__xludf.DUMMYFUNCTION("""COMPUTED_VALUE"""),"Resistance")</f>
        <v>Resistance</v>
      </c>
      <c r="D128" s="16" t="str">
        <f>IFERROR(__xludf.DUMMYFUNCTION("""COMPUTED_VALUE"""),"47K")</f>
        <v>47K</v>
      </c>
      <c r="E128" s="16" t="str">
        <f>IFERROR(__xludf.DUMMYFUNCTION("""COMPUTED_VALUE"""),"Res2_0603")</f>
        <v>Res2_0603</v>
      </c>
      <c r="F128" s="16" t="str">
        <f>IFERROR(__xludf.DUMMYFUNCTION("""COMPUTED_VALUE"""),"SMD")</f>
        <v>SMD</v>
      </c>
      <c r="G128" s="16" t="str">
        <f>IFERROR(__xludf.DUMMYFUNCTION("""COMPUTED_VALUE"""),"R0603")</f>
        <v>R0603</v>
      </c>
      <c r="H128" s="16">
        <f>IFERROR(__xludf.DUMMYFUNCTION("""COMPUTED_VALUE"""),7.0)</f>
        <v>7</v>
      </c>
      <c r="I128" s="16"/>
      <c r="J128" s="16"/>
      <c r="K128" s="16"/>
      <c r="L128" s="16"/>
      <c r="M128" s="16"/>
      <c r="N128" s="16"/>
      <c r="O128" s="58">
        <v>2000.0</v>
      </c>
      <c r="P128" s="54"/>
      <c r="Q128" s="54">
        <f t="shared" si="2"/>
        <v>2000</v>
      </c>
      <c r="R128" s="55">
        <f t="shared" si="3"/>
        <v>1750</v>
      </c>
      <c r="S128" s="55">
        <f t="shared" si="4"/>
        <v>250</v>
      </c>
      <c r="T128" s="32"/>
      <c r="U128" s="32"/>
      <c r="V128" s="32"/>
      <c r="W128" s="32"/>
      <c r="X128" s="32"/>
      <c r="Y128" s="32"/>
      <c r="Z128" s="32"/>
      <c r="AA128" s="32"/>
      <c r="AB128" s="32"/>
      <c r="AC128" s="32"/>
    </row>
    <row r="129">
      <c r="A129" s="56">
        <v>127.0</v>
      </c>
      <c r="B129" s="57"/>
      <c r="C129" s="16" t="str">
        <f>IFERROR(__xludf.DUMMYFUNCTION("""COMPUTED_VALUE"""),"Resistance")</f>
        <v>Resistance</v>
      </c>
      <c r="D129" s="16" t="str">
        <f>IFERROR(__xludf.DUMMYFUNCTION("""COMPUTED_VALUE"""),"510E")</f>
        <v>510E</v>
      </c>
      <c r="E129" s="16"/>
      <c r="F129" s="16" t="str">
        <f>IFERROR(__xludf.DUMMYFUNCTION("""COMPUTED_VALUE"""),"SMD")</f>
        <v>SMD</v>
      </c>
      <c r="G129" s="16" t="str">
        <f>IFERROR(__xludf.DUMMYFUNCTION("""COMPUTED_VALUE"""),"R0603")</f>
        <v>R0603</v>
      </c>
      <c r="H129" s="16">
        <f>IFERROR(__xludf.DUMMYFUNCTION("""COMPUTED_VALUE"""),2.0)</f>
        <v>2</v>
      </c>
      <c r="I129" s="13"/>
      <c r="J129" s="13"/>
      <c r="K129" s="16"/>
      <c r="L129" s="16"/>
      <c r="M129" s="16"/>
      <c r="N129" s="16"/>
      <c r="O129" s="58">
        <v>4000.0</v>
      </c>
      <c r="P129" s="54"/>
      <c r="Q129" s="54">
        <f t="shared" si="2"/>
        <v>4000</v>
      </c>
      <c r="R129" s="55">
        <f t="shared" si="3"/>
        <v>500</v>
      </c>
      <c r="S129" s="55">
        <f t="shared" si="4"/>
        <v>3500</v>
      </c>
      <c r="T129" s="32"/>
      <c r="U129" s="32"/>
      <c r="V129" s="32"/>
      <c r="W129" s="32"/>
      <c r="X129" s="32"/>
      <c r="Y129" s="32"/>
      <c r="Z129" s="32"/>
      <c r="AA129" s="32"/>
      <c r="AB129" s="32"/>
      <c r="AC129" s="32"/>
    </row>
    <row r="130">
      <c r="A130" s="56">
        <v>128.0</v>
      </c>
      <c r="B130" s="57"/>
      <c r="C130" s="16" t="str">
        <f>IFERROR(__xludf.DUMMYFUNCTION("""COMPUTED_VALUE"""),"Resistance")</f>
        <v>Resistance</v>
      </c>
      <c r="D130" s="16" t="str">
        <f>IFERROR(__xludf.DUMMYFUNCTION("""COMPUTED_VALUE"""),"51E")</f>
        <v>51E</v>
      </c>
      <c r="E130" s="16"/>
      <c r="F130" s="16" t="str">
        <f>IFERROR(__xludf.DUMMYFUNCTION("""COMPUTED_VALUE"""),"SMD")</f>
        <v>SMD</v>
      </c>
      <c r="G130" s="16" t="str">
        <f>IFERROR(__xludf.DUMMYFUNCTION("""COMPUTED_VALUE"""),"R0603")</f>
        <v>R0603</v>
      </c>
      <c r="H130" s="16">
        <f>IFERROR(__xludf.DUMMYFUNCTION("""COMPUTED_VALUE"""),8.0)</f>
        <v>8</v>
      </c>
      <c r="I130" s="16"/>
      <c r="J130" s="16"/>
      <c r="K130" s="13"/>
      <c r="L130" s="13"/>
      <c r="M130" s="16"/>
      <c r="N130" s="16"/>
      <c r="O130" s="58">
        <v>2500.0</v>
      </c>
      <c r="P130" s="54"/>
      <c r="Q130" s="54">
        <f t="shared" si="2"/>
        <v>2500</v>
      </c>
      <c r="R130" s="55">
        <f t="shared" si="3"/>
        <v>2000</v>
      </c>
      <c r="S130" s="55">
        <f t="shared" si="4"/>
        <v>500</v>
      </c>
      <c r="T130" s="32"/>
      <c r="U130" s="32"/>
      <c r="V130" s="32"/>
      <c r="W130" s="32"/>
      <c r="X130" s="32"/>
      <c r="Y130" s="32"/>
      <c r="Z130" s="32"/>
      <c r="AA130" s="32"/>
      <c r="AB130" s="32"/>
      <c r="AC130" s="32"/>
    </row>
    <row r="131">
      <c r="A131" s="56">
        <v>129.0</v>
      </c>
      <c r="B131" s="57"/>
      <c r="C131" s="16" t="str">
        <f>IFERROR(__xludf.DUMMYFUNCTION("""COMPUTED_VALUE"""),"Resistance")</f>
        <v>Resistance</v>
      </c>
      <c r="D131" s="16" t="str">
        <f>IFERROR(__xludf.DUMMYFUNCTION("""COMPUTED_VALUE"""),"56K")</f>
        <v>56K</v>
      </c>
      <c r="E131" s="16"/>
      <c r="F131" s="16" t="str">
        <f>IFERROR(__xludf.DUMMYFUNCTION("""COMPUTED_VALUE"""),"SMD")</f>
        <v>SMD</v>
      </c>
      <c r="G131" s="16" t="str">
        <f>IFERROR(__xludf.DUMMYFUNCTION("""COMPUTED_VALUE"""),"R0603")</f>
        <v>R0603</v>
      </c>
      <c r="H131" s="16">
        <f>IFERROR(__xludf.DUMMYFUNCTION("""COMPUTED_VALUE"""),9.0)</f>
        <v>9</v>
      </c>
      <c r="I131" s="16"/>
      <c r="J131" s="16"/>
      <c r="K131" s="16"/>
      <c r="L131" s="16"/>
      <c r="M131" s="16"/>
      <c r="N131" s="16"/>
      <c r="O131" s="58">
        <v>3000.0</v>
      </c>
      <c r="P131" s="54"/>
      <c r="Q131" s="54">
        <f t="shared" si="2"/>
        <v>3000</v>
      </c>
      <c r="R131" s="55">
        <f t="shared" si="3"/>
        <v>2250</v>
      </c>
      <c r="S131" s="55">
        <f t="shared" si="4"/>
        <v>750</v>
      </c>
      <c r="T131" s="32"/>
      <c r="U131" s="32"/>
      <c r="V131" s="32"/>
      <c r="W131" s="32"/>
      <c r="X131" s="32"/>
      <c r="Y131" s="32"/>
      <c r="Z131" s="32"/>
      <c r="AA131" s="32"/>
      <c r="AB131" s="32"/>
      <c r="AC131" s="32"/>
    </row>
    <row r="132">
      <c r="A132" s="56">
        <v>130.0</v>
      </c>
      <c r="B132" s="57"/>
      <c r="C132" s="16" t="str">
        <f>IFERROR(__xludf.DUMMYFUNCTION("""COMPUTED_VALUE"""),"Resistance")</f>
        <v>Resistance</v>
      </c>
      <c r="D132" s="16" t="str">
        <f>IFERROR(__xludf.DUMMYFUNCTION("""COMPUTED_VALUE"""),"680K")</f>
        <v>680K</v>
      </c>
      <c r="E132" s="16" t="str">
        <f>IFERROR(__xludf.DUMMYFUNCTION("""COMPUTED_VALUE"""),"Res2_0603")</f>
        <v>Res2_0603</v>
      </c>
      <c r="F132" s="16" t="str">
        <f>IFERROR(__xludf.DUMMYFUNCTION("""COMPUTED_VALUE"""),"SMD")</f>
        <v>SMD</v>
      </c>
      <c r="G132" s="16" t="str">
        <f>IFERROR(__xludf.DUMMYFUNCTION("""COMPUTED_VALUE"""),"R0603")</f>
        <v>R0603</v>
      </c>
      <c r="H132" s="16">
        <f>IFERROR(__xludf.DUMMYFUNCTION("""COMPUTED_VALUE"""),1.0)</f>
        <v>1</v>
      </c>
      <c r="I132" s="16"/>
      <c r="J132" s="16"/>
      <c r="K132" s="16"/>
      <c r="L132" s="16"/>
      <c r="M132" s="16"/>
      <c r="N132" s="16"/>
      <c r="O132" s="58">
        <v>3900.0</v>
      </c>
      <c r="P132" s="54"/>
      <c r="Q132" s="54">
        <f t="shared" si="2"/>
        <v>3900</v>
      </c>
      <c r="R132" s="55">
        <f t="shared" si="3"/>
        <v>250</v>
      </c>
      <c r="S132" s="55">
        <f t="shared" si="4"/>
        <v>3650</v>
      </c>
      <c r="T132" s="32"/>
      <c r="U132" s="32"/>
      <c r="V132" s="32"/>
      <c r="W132" s="32"/>
      <c r="X132" s="32"/>
      <c r="Y132" s="32"/>
      <c r="Z132" s="32"/>
      <c r="AA132" s="32"/>
      <c r="AB132" s="32"/>
      <c r="AC132" s="32"/>
    </row>
    <row r="133">
      <c r="A133" s="56">
        <v>131.0</v>
      </c>
      <c r="B133" s="57"/>
      <c r="C133" s="16" t="str">
        <f>IFERROR(__xludf.DUMMYFUNCTION("""COMPUTED_VALUE"""),"Resistance")</f>
        <v>Resistance</v>
      </c>
      <c r="D133" s="16" t="str">
        <f>IFERROR(__xludf.DUMMYFUNCTION("""COMPUTED_VALUE"""),"75E")</f>
        <v>75E</v>
      </c>
      <c r="E133" s="16"/>
      <c r="F133" s="16" t="str">
        <f>IFERROR(__xludf.DUMMYFUNCTION("""COMPUTED_VALUE"""),"SMD")</f>
        <v>SMD</v>
      </c>
      <c r="G133" s="16" t="str">
        <f>IFERROR(__xludf.DUMMYFUNCTION("""COMPUTED_VALUE"""),"R0603")</f>
        <v>R0603</v>
      </c>
      <c r="H133" s="16">
        <f>IFERROR(__xludf.DUMMYFUNCTION("""COMPUTED_VALUE"""),4.0)</f>
        <v>4</v>
      </c>
      <c r="I133" s="16"/>
      <c r="J133" s="16"/>
      <c r="K133" s="16"/>
      <c r="L133" s="16"/>
      <c r="M133" s="16"/>
      <c r="N133" s="16"/>
      <c r="O133" s="58">
        <v>3800.0</v>
      </c>
      <c r="P133" s="54"/>
      <c r="Q133" s="54">
        <f t="shared" si="2"/>
        <v>3800</v>
      </c>
      <c r="R133" s="55">
        <f t="shared" si="3"/>
        <v>1000</v>
      </c>
      <c r="S133" s="55">
        <f t="shared" si="4"/>
        <v>2800</v>
      </c>
      <c r="T133" s="32"/>
      <c r="U133" s="32"/>
      <c r="V133" s="32"/>
      <c r="W133" s="32"/>
      <c r="X133" s="32"/>
      <c r="Y133" s="32"/>
      <c r="Z133" s="32"/>
      <c r="AA133" s="32"/>
      <c r="AB133" s="32"/>
      <c r="AC133" s="32"/>
    </row>
    <row r="134">
      <c r="A134" s="56">
        <v>132.0</v>
      </c>
      <c r="B134" s="57"/>
      <c r="C134" s="16" t="str">
        <f>IFERROR(__xludf.DUMMYFUNCTION("""COMPUTED_VALUE"""),"Resistance")</f>
        <v>Resistance</v>
      </c>
      <c r="D134" s="16" t="str">
        <f>IFERROR(__xludf.DUMMYFUNCTION("""COMPUTED_VALUE"""),"8.87K_1%")</f>
        <v>8.87K_1%</v>
      </c>
      <c r="E134" s="16">
        <f>IFERROR(__xludf.DUMMYFUNCTION("""COMPUTED_VALUE"""),5.60112116137E11)</f>
        <v>560112116137</v>
      </c>
      <c r="F134" s="16" t="str">
        <f>IFERROR(__xludf.DUMMYFUNCTION("""COMPUTED_VALUE"""),"SMD")</f>
        <v>SMD</v>
      </c>
      <c r="G134" s="16" t="str">
        <f>IFERROR(__xludf.DUMMYFUNCTION("""COMPUTED_VALUE"""),"R0603")</f>
        <v>R0603</v>
      </c>
      <c r="H134" s="16">
        <f>IFERROR(__xludf.DUMMYFUNCTION("""COMPUTED_VALUE"""),4.0)</f>
        <v>4</v>
      </c>
      <c r="I134" s="16"/>
      <c r="J134" s="16"/>
      <c r="K134" s="13" t="s">
        <v>464</v>
      </c>
      <c r="L134" s="13" t="s">
        <v>464</v>
      </c>
      <c r="M134" s="16"/>
      <c r="N134" s="16"/>
      <c r="O134" s="58">
        <v>250.0</v>
      </c>
      <c r="P134" s="48">
        <v>1500.0</v>
      </c>
      <c r="Q134" s="54">
        <f t="shared" si="2"/>
        <v>1750</v>
      </c>
      <c r="R134" s="55">
        <f t="shared" si="3"/>
        <v>1000</v>
      </c>
      <c r="S134" s="55">
        <f t="shared" si="4"/>
        <v>750</v>
      </c>
      <c r="T134" s="32"/>
      <c r="U134" s="32"/>
      <c r="V134" s="32"/>
      <c r="W134" s="32"/>
      <c r="X134" s="32"/>
      <c r="Y134" s="32"/>
      <c r="Z134" s="32"/>
      <c r="AA134" s="32"/>
      <c r="AB134" s="32"/>
      <c r="AC134" s="32"/>
    </row>
    <row r="135">
      <c r="A135" s="56">
        <v>133.0</v>
      </c>
      <c r="B135" s="16"/>
      <c r="C135" s="16" t="str">
        <f>IFERROR(__xludf.DUMMYFUNCTION("""COMPUTED_VALUE"""),"Transformer")</f>
        <v>Transformer</v>
      </c>
      <c r="D135" s="16" t="str">
        <f>IFERROR(__xludf.DUMMYFUNCTION("""COMPUTED_VALUE"""),"P4501-0055")</f>
        <v>P4501-0055</v>
      </c>
      <c r="E135" s="16"/>
      <c r="F135" s="16" t="str">
        <f>IFERROR(__xludf.DUMMYFUNCTION("""COMPUTED_VALUE"""),"DIP")</f>
        <v>DIP</v>
      </c>
      <c r="G135" s="16" t="str">
        <f>IFERROR(__xludf.DUMMYFUNCTION("""COMPUTED_VALUE"""),"XFMR-TH")</f>
        <v>XFMR-TH</v>
      </c>
      <c r="H135" s="16">
        <f>IFERROR(__xludf.DUMMYFUNCTION("""COMPUTED_VALUE"""),3.0)</f>
        <v>3</v>
      </c>
      <c r="I135" s="13"/>
      <c r="J135" s="13"/>
      <c r="K135" s="13" t="s">
        <v>557</v>
      </c>
      <c r="L135" s="13" t="s">
        <v>557</v>
      </c>
      <c r="M135" s="16"/>
      <c r="N135" s="16"/>
      <c r="O135" s="58">
        <v>400.0</v>
      </c>
      <c r="P135" s="48">
        <v>1000.0</v>
      </c>
      <c r="Q135" s="54">
        <f t="shared" si="2"/>
        <v>1400</v>
      </c>
      <c r="R135" s="55">
        <f t="shared" si="3"/>
        <v>750</v>
      </c>
      <c r="S135" s="55">
        <f t="shared" si="4"/>
        <v>650</v>
      </c>
      <c r="T135" s="32"/>
      <c r="U135" s="32"/>
      <c r="V135" s="32"/>
      <c r="W135" s="32"/>
      <c r="X135" s="32"/>
      <c r="Y135" s="32"/>
      <c r="Z135" s="32"/>
      <c r="AA135" s="32"/>
      <c r="AB135" s="32"/>
      <c r="AC135" s="32"/>
    </row>
    <row r="136">
      <c r="A136" s="5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54"/>
      <c r="P136" s="54"/>
      <c r="Q136" s="54"/>
      <c r="R136" s="55"/>
      <c r="S136" s="55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</row>
    <row r="137">
      <c r="A137" s="5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54"/>
      <c r="P137" s="54"/>
      <c r="Q137" s="54"/>
      <c r="R137" s="55"/>
      <c r="S137" s="55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</row>
    <row r="138">
      <c r="A138" s="5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54"/>
      <c r="P138" s="54"/>
      <c r="Q138" s="54"/>
      <c r="R138" s="55"/>
      <c r="S138" s="55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</row>
    <row r="139">
      <c r="A139" s="5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54"/>
      <c r="P139" s="54"/>
      <c r="Q139" s="54"/>
      <c r="R139" s="55"/>
      <c r="S139" s="55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</row>
    <row r="140">
      <c r="A140" s="5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54"/>
      <c r="P140" s="54"/>
      <c r="Q140" s="54"/>
      <c r="R140" s="55"/>
      <c r="S140" s="55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</row>
    <row r="141">
      <c r="A141" s="5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54"/>
      <c r="P141" s="54"/>
      <c r="Q141" s="54"/>
      <c r="R141" s="55"/>
      <c r="S141" s="55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</row>
    <row r="142">
      <c r="A142" s="5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54"/>
      <c r="P142" s="54"/>
      <c r="Q142" s="54"/>
      <c r="R142" s="55"/>
      <c r="S142" s="55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</row>
    <row r="143">
      <c r="A143" s="5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54"/>
      <c r="P143" s="54"/>
      <c r="Q143" s="54"/>
      <c r="R143" s="55"/>
      <c r="S143" s="55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</row>
    <row r="144">
      <c r="A144" s="5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54"/>
      <c r="P144" s="54"/>
      <c r="Q144" s="54"/>
      <c r="R144" s="55"/>
      <c r="S144" s="55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</row>
    <row r="145">
      <c r="A145" s="5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54"/>
      <c r="P145" s="54"/>
      <c r="Q145" s="54"/>
      <c r="R145" s="55"/>
      <c r="S145" s="55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</row>
    <row r="146">
      <c r="A146" s="5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54"/>
      <c r="P146" s="54"/>
      <c r="Q146" s="54"/>
      <c r="R146" s="55"/>
      <c r="S146" s="55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</row>
    <row r="147">
      <c r="A147" s="5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54"/>
      <c r="P147" s="54"/>
      <c r="Q147" s="54"/>
      <c r="R147" s="55"/>
      <c r="S147" s="55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</row>
    <row r="148">
      <c r="A148" s="32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54"/>
      <c r="P148" s="54"/>
      <c r="Q148" s="54"/>
      <c r="R148" s="55"/>
      <c r="S148" s="55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</row>
    <row r="149">
      <c r="A149" s="32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54"/>
      <c r="P149" s="54"/>
      <c r="Q149" s="54"/>
      <c r="R149" s="55"/>
      <c r="S149" s="55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</row>
    <row r="150">
      <c r="A150" s="32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54"/>
      <c r="P150" s="54"/>
      <c r="Q150" s="54"/>
      <c r="R150" s="55"/>
      <c r="S150" s="55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</row>
    <row r="151">
      <c r="A151" s="32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54"/>
      <c r="P151" s="54"/>
      <c r="Q151" s="54"/>
      <c r="R151" s="55"/>
      <c r="S151" s="55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</row>
    <row r="152">
      <c r="A152" s="32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54"/>
      <c r="P152" s="54"/>
      <c r="Q152" s="54"/>
      <c r="R152" s="55"/>
      <c r="S152" s="55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</row>
    <row r="153">
      <c r="A153" s="32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54"/>
      <c r="P153" s="54"/>
      <c r="Q153" s="54"/>
      <c r="R153" s="55"/>
      <c r="S153" s="55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</row>
    <row r="154">
      <c r="A154" s="32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54"/>
      <c r="P154" s="54"/>
      <c r="Q154" s="54"/>
      <c r="R154" s="55"/>
      <c r="S154" s="55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</row>
    <row r="155">
      <c r="A155" s="32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54"/>
      <c r="P155" s="54"/>
      <c r="Q155" s="54"/>
      <c r="R155" s="55"/>
      <c r="S155" s="55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</row>
    <row r="156">
      <c r="A156" s="32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54"/>
      <c r="P156" s="54"/>
      <c r="Q156" s="54"/>
      <c r="R156" s="55"/>
      <c r="S156" s="55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</row>
    <row r="157">
      <c r="A157" s="32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54"/>
      <c r="P157" s="54"/>
      <c r="Q157" s="54"/>
      <c r="R157" s="55"/>
      <c r="S157" s="55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</row>
    <row r="158">
      <c r="A158" s="32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84"/>
      <c r="P158" s="54"/>
      <c r="Q158" s="54"/>
      <c r="R158" s="55"/>
      <c r="S158" s="55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</row>
    <row r="159">
      <c r="A159" s="32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84"/>
      <c r="P159" s="54"/>
      <c r="Q159" s="54"/>
      <c r="R159" s="55"/>
      <c r="S159" s="55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</row>
    <row r="160">
      <c r="A160" s="32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84"/>
      <c r="P160" s="54"/>
      <c r="Q160" s="54"/>
      <c r="R160" s="55"/>
      <c r="S160" s="55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</row>
    <row r="161">
      <c r="A161" s="32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84"/>
      <c r="P161" s="54"/>
      <c r="Q161" s="54"/>
      <c r="R161" s="55"/>
      <c r="S161" s="55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</row>
    <row r="162">
      <c r="A162" s="32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84"/>
      <c r="P162" s="54"/>
      <c r="Q162" s="54"/>
      <c r="R162" s="55"/>
      <c r="S162" s="55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</row>
    <row r="163">
      <c r="A163" s="32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84"/>
      <c r="P163" s="54"/>
      <c r="Q163" s="54"/>
      <c r="R163" s="55"/>
      <c r="S163" s="55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</row>
    <row r="164">
      <c r="A164" s="32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84"/>
      <c r="P164" s="54"/>
      <c r="Q164" s="54"/>
      <c r="R164" s="55"/>
      <c r="S164" s="55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</row>
    <row r="165">
      <c r="A165" s="32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84"/>
      <c r="P165" s="54"/>
      <c r="Q165" s="54"/>
      <c r="R165" s="55"/>
      <c r="S165" s="55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</row>
    <row r="166">
      <c r="A166" s="32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84"/>
      <c r="P166" s="54"/>
      <c r="Q166" s="54"/>
      <c r="R166" s="55"/>
      <c r="S166" s="55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</row>
    <row r="167">
      <c r="A167" s="32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84"/>
      <c r="P167" s="54"/>
      <c r="Q167" s="54"/>
      <c r="R167" s="55"/>
      <c r="S167" s="55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</row>
    <row r="168">
      <c r="A168" s="32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84"/>
      <c r="P168" s="54"/>
      <c r="Q168" s="54"/>
      <c r="R168" s="55"/>
      <c r="S168" s="55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</row>
    <row r="169">
      <c r="A169" s="32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84"/>
      <c r="P169" s="54"/>
      <c r="Q169" s="54"/>
      <c r="R169" s="55"/>
      <c r="S169" s="55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</row>
    <row r="170">
      <c r="A170" s="32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84"/>
      <c r="P170" s="54"/>
      <c r="Q170" s="54"/>
      <c r="R170" s="55"/>
      <c r="S170" s="55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</row>
    <row r="171">
      <c r="A171" s="32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84"/>
      <c r="P171" s="54"/>
      <c r="Q171" s="54"/>
      <c r="R171" s="55"/>
      <c r="S171" s="55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</row>
    <row r="172">
      <c r="A172" s="32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84"/>
      <c r="P172" s="54"/>
      <c r="Q172" s="54"/>
      <c r="R172" s="55"/>
      <c r="S172" s="55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</row>
    <row r="173">
      <c r="A173" s="32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84"/>
      <c r="P173" s="54"/>
      <c r="Q173" s="54"/>
      <c r="R173" s="55"/>
      <c r="S173" s="55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</row>
    <row r="174">
      <c r="A174" s="32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84"/>
      <c r="P174" s="54"/>
      <c r="Q174" s="54"/>
      <c r="R174" s="55"/>
      <c r="S174" s="55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</row>
    <row r="175">
      <c r="A175" s="32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84"/>
      <c r="P175" s="54"/>
      <c r="Q175" s="54"/>
      <c r="R175" s="55"/>
      <c r="S175" s="55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</row>
    <row r="176">
      <c r="A176" s="32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84"/>
      <c r="P176" s="54"/>
      <c r="Q176" s="54"/>
      <c r="R176" s="55"/>
      <c r="S176" s="55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</row>
    <row r="177">
      <c r="A177" s="32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84"/>
      <c r="P177" s="54"/>
      <c r="Q177" s="54"/>
      <c r="R177" s="55"/>
      <c r="S177" s="55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</row>
    <row r="178">
      <c r="A178" s="32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84"/>
      <c r="P178" s="54"/>
      <c r="Q178" s="54"/>
      <c r="R178" s="55"/>
      <c r="S178" s="55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</row>
    <row r="179">
      <c r="A179" s="32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84"/>
      <c r="P179" s="54"/>
      <c r="Q179" s="54"/>
      <c r="R179" s="55"/>
      <c r="S179" s="55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</row>
    <row r="180">
      <c r="A180" s="32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84"/>
      <c r="P180" s="54"/>
      <c r="Q180" s="54"/>
      <c r="R180" s="55"/>
      <c r="S180" s="55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</row>
    <row r="181">
      <c r="A181" s="32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84"/>
      <c r="P181" s="54"/>
      <c r="Q181" s="54"/>
      <c r="R181" s="55"/>
      <c r="S181" s="55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</row>
    <row r="182">
      <c r="A182" s="32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84"/>
      <c r="P182" s="54"/>
      <c r="Q182" s="54"/>
      <c r="R182" s="55"/>
      <c r="S182" s="55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</row>
    <row r="183">
      <c r="A183" s="32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84"/>
      <c r="P183" s="54"/>
      <c r="Q183" s="54"/>
      <c r="R183" s="55"/>
      <c r="S183" s="55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</row>
    <row r="184">
      <c r="A184" s="32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84"/>
      <c r="P184" s="54"/>
      <c r="Q184" s="54"/>
      <c r="R184" s="55"/>
      <c r="S184" s="55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</row>
    <row r="185">
      <c r="A185" s="32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84"/>
      <c r="P185" s="54"/>
      <c r="Q185" s="54"/>
      <c r="R185" s="55"/>
      <c r="S185" s="55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</row>
    <row r="186">
      <c r="A186" s="32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84"/>
      <c r="P186" s="54"/>
      <c r="Q186" s="54"/>
      <c r="R186" s="55"/>
      <c r="S186" s="55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</row>
    <row r="187">
      <c r="A187" s="32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84"/>
      <c r="P187" s="54"/>
      <c r="Q187" s="54"/>
      <c r="R187" s="55"/>
      <c r="S187" s="55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</row>
    <row r="188">
      <c r="A188" s="32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84"/>
      <c r="P188" s="54"/>
      <c r="Q188" s="54"/>
      <c r="R188" s="55"/>
      <c r="S188" s="55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</row>
    <row r="189">
      <c r="A189" s="32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84"/>
      <c r="P189" s="54"/>
      <c r="Q189" s="54"/>
      <c r="R189" s="55"/>
      <c r="S189" s="55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</row>
    <row r="190">
      <c r="A190" s="32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84"/>
      <c r="P190" s="54"/>
      <c r="Q190" s="54"/>
      <c r="R190" s="55"/>
      <c r="S190" s="55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</row>
    <row r="191">
      <c r="A191" s="32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84"/>
      <c r="P191" s="54"/>
      <c r="Q191" s="54"/>
      <c r="R191" s="55"/>
      <c r="S191" s="55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</row>
    <row r="192">
      <c r="A192" s="32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84"/>
      <c r="P192" s="54"/>
      <c r="Q192" s="54"/>
      <c r="R192" s="55"/>
      <c r="S192" s="55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</row>
    <row r="193">
      <c r="A193" s="32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84"/>
      <c r="P193" s="54"/>
      <c r="Q193" s="54"/>
      <c r="R193" s="55"/>
      <c r="S193" s="55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</row>
    <row r="194">
      <c r="A194" s="32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84"/>
      <c r="P194" s="54"/>
      <c r="Q194" s="54"/>
      <c r="R194" s="55"/>
      <c r="S194" s="55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</row>
    <row r="195">
      <c r="A195" s="32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84"/>
      <c r="P195" s="54"/>
      <c r="Q195" s="54"/>
      <c r="R195" s="55"/>
      <c r="S195" s="55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</row>
    <row r="196">
      <c r="A196" s="32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84"/>
      <c r="P196" s="54"/>
      <c r="Q196" s="54"/>
      <c r="R196" s="55"/>
      <c r="S196" s="55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</row>
    <row r="197">
      <c r="A197" s="32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84"/>
      <c r="P197" s="54"/>
      <c r="Q197" s="54"/>
      <c r="R197" s="55"/>
      <c r="S197" s="55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</row>
    <row r="198">
      <c r="A198" s="32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84"/>
      <c r="P198" s="54"/>
      <c r="Q198" s="54"/>
      <c r="R198" s="55"/>
      <c r="S198" s="55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</row>
    <row r="199">
      <c r="A199" s="32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84"/>
      <c r="P199" s="54"/>
      <c r="Q199" s="54"/>
      <c r="R199" s="55"/>
      <c r="S199" s="55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</row>
    <row r="200">
      <c r="A200" s="32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84"/>
      <c r="P200" s="54"/>
      <c r="Q200" s="54"/>
      <c r="R200" s="55"/>
      <c r="S200" s="55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</row>
    <row r="201">
      <c r="A201" s="32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84"/>
      <c r="P201" s="54"/>
      <c r="Q201" s="54"/>
      <c r="R201" s="55"/>
      <c r="S201" s="55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</row>
    <row r="202">
      <c r="A202" s="32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84"/>
      <c r="P202" s="54"/>
      <c r="Q202" s="54"/>
      <c r="R202" s="55"/>
      <c r="S202" s="55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</row>
    <row r="203">
      <c r="A203" s="32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84"/>
      <c r="P203" s="54"/>
      <c r="Q203" s="54"/>
      <c r="R203" s="55"/>
      <c r="S203" s="55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</row>
    <row r="204">
      <c r="A204" s="32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84"/>
      <c r="P204" s="54"/>
      <c r="Q204" s="54"/>
      <c r="R204" s="55"/>
      <c r="S204" s="55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</row>
    <row r="205">
      <c r="A205" s="32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84"/>
      <c r="P205" s="54"/>
      <c r="Q205" s="54"/>
      <c r="R205" s="55"/>
      <c r="S205" s="55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</row>
    <row r="206">
      <c r="A206" s="32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84"/>
      <c r="P206" s="54"/>
      <c r="Q206" s="54"/>
      <c r="R206" s="55"/>
      <c r="S206" s="55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</row>
    <row r="207">
      <c r="A207" s="32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84"/>
      <c r="P207" s="54"/>
      <c r="Q207" s="54"/>
      <c r="R207" s="55"/>
      <c r="S207" s="55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</row>
    <row r="208">
      <c r="A208" s="32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84"/>
      <c r="P208" s="54"/>
      <c r="Q208" s="54"/>
      <c r="R208" s="55"/>
      <c r="S208" s="55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</row>
    <row r="209">
      <c r="A209" s="32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84"/>
      <c r="P209" s="54"/>
      <c r="Q209" s="54"/>
      <c r="R209" s="55"/>
      <c r="S209" s="55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</row>
    <row r="210">
      <c r="A210" s="32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84"/>
      <c r="P210" s="54"/>
      <c r="Q210" s="54"/>
      <c r="R210" s="55"/>
      <c r="S210" s="55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</row>
    <row r="211">
      <c r="A211" s="32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84"/>
      <c r="P211" s="54"/>
      <c r="Q211" s="54"/>
      <c r="R211" s="55"/>
      <c r="S211" s="55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</row>
    <row r="212">
      <c r="A212" s="32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84"/>
      <c r="P212" s="54"/>
      <c r="Q212" s="54"/>
      <c r="R212" s="55"/>
      <c r="S212" s="55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</row>
    <row r="213">
      <c r="A213" s="32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84"/>
      <c r="P213" s="54"/>
      <c r="Q213" s="54"/>
      <c r="R213" s="55"/>
      <c r="S213" s="55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</row>
    <row r="214">
      <c r="A214" s="32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84"/>
      <c r="P214" s="54"/>
      <c r="Q214" s="54"/>
      <c r="R214" s="55"/>
      <c r="S214" s="55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</row>
    <row r="215">
      <c r="A215" s="32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84"/>
      <c r="P215" s="54"/>
      <c r="Q215" s="54"/>
      <c r="R215" s="55"/>
      <c r="S215" s="55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</row>
    <row r="216">
      <c r="A216" s="32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84"/>
      <c r="P216" s="54"/>
      <c r="Q216" s="54"/>
      <c r="R216" s="55"/>
      <c r="S216" s="55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</row>
    <row r="217">
      <c r="A217" s="32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84"/>
      <c r="P217" s="54"/>
      <c r="Q217" s="54"/>
      <c r="R217" s="55"/>
      <c r="S217" s="55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</row>
    <row r="218">
      <c r="A218" s="32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84"/>
      <c r="P218" s="54"/>
      <c r="Q218" s="54"/>
      <c r="R218" s="55"/>
      <c r="S218" s="55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</row>
    <row r="219">
      <c r="A219" s="32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84"/>
      <c r="P219" s="54"/>
      <c r="Q219" s="54"/>
      <c r="R219" s="55"/>
      <c r="S219" s="55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</row>
    <row r="220">
      <c r="A220" s="32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84"/>
      <c r="P220" s="54"/>
      <c r="Q220" s="54"/>
      <c r="R220" s="55"/>
      <c r="S220" s="55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</row>
    <row r="221">
      <c r="A221" s="32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84"/>
      <c r="P221" s="54"/>
      <c r="Q221" s="54"/>
      <c r="R221" s="55"/>
      <c r="S221" s="55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</row>
    <row r="222">
      <c r="A222" s="32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84"/>
      <c r="P222" s="54"/>
      <c r="Q222" s="54"/>
      <c r="R222" s="55"/>
      <c r="S222" s="55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</row>
    <row r="223">
      <c r="A223" s="32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84"/>
      <c r="P223" s="54"/>
      <c r="Q223" s="54"/>
      <c r="R223" s="55"/>
      <c r="S223" s="55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</row>
    <row r="224">
      <c r="A224" s="32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84"/>
      <c r="P224" s="54"/>
      <c r="Q224" s="54"/>
      <c r="R224" s="55"/>
      <c r="S224" s="55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</row>
    <row r="225">
      <c r="A225" s="32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84"/>
      <c r="P225" s="54"/>
      <c r="Q225" s="54"/>
      <c r="R225" s="55"/>
      <c r="S225" s="55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</row>
    <row r="226">
      <c r="A226" s="32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84"/>
      <c r="P226" s="54"/>
      <c r="Q226" s="54"/>
      <c r="R226" s="55"/>
      <c r="S226" s="55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</row>
    <row r="227">
      <c r="A227" s="32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84"/>
      <c r="P227" s="54"/>
      <c r="Q227" s="54"/>
      <c r="R227" s="55"/>
      <c r="S227" s="55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</row>
    <row r="228">
      <c r="A228" s="32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84"/>
      <c r="P228" s="54"/>
      <c r="Q228" s="54"/>
      <c r="R228" s="55"/>
      <c r="S228" s="55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</row>
    <row r="229">
      <c r="A229" s="32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84"/>
      <c r="P229" s="54"/>
      <c r="Q229" s="54"/>
      <c r="R229" s="55"/>
      <c r="S229" s="55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</row>
    <row r="230">
      <c r="A230" s="32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84"/>
      <c r="P230" s="54"/>
      <c r="Q230" s="54"/>
      <c r="R230" s="55"/>
      <c r="S230" s="55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</row>
    <row r="231">
      <c r="A231" s="32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84"/>
      <c r="P231" s="54"/>
      <c r="Q231" s="54"/>
      <c r="R231" s="55"/>
      <c r="S231" s="55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</row>
    <row r="232">
      <c r="A232" s="32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84"/>
      <c r="P232" s="54"/>
      <c r="Q232" s="54"/>
      <c r="R232" s="55"/>
      <c r="S232" s="55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</row>
    <row r="233">
      <c r="A233" s="32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84"/>
      <c r="P233" s="54"/>
      <c r="Q233" s="54"/>
      <c r="R233" s="55"/>
      <c r="S233" s="55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</row>
    <row r="234">
      <c r="A234" s="32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84"/>
      <c r="P234" s="54"/>
      <c r="Q234" s="54"/>
      <c r="R234" s="55"/>
      <c r="S234" s="55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</row>
    <row r="235">
      <c r="A235" s="32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84"/>
      <c r="P235" s="54"/>
      <c r="Q235" s="54"/>
      <c r="R235" s="55"/>
      <c r="S235" s="55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</row>
    <row r="236">
      <c r="A236" s="32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84"/>
      <c r="P236" s="54"/>
      <c r="Q236" s="54"/>
      <c r="R236" s="55"/>
      <c r="S236" s="55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</row>
    <row r="237">
      <c r="A237" s="32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84"/>
      <c r="P237" s="54"/>
      <c r="Q237" s="54"/>
      <c r="R237" s="55"/>
      <c r="S237" s="55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</row>
    <row r="238">
      <c r="A238" s="32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84"/>
      <c r="P238" s="54"/>
      <c r="Q238" s="54"/>
      <c r="R238" s="55"/>
      <c r="S238" s="55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</row>
    <row r="239">
      <c r="A239" s="32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84"/>
      <c r="P239" s="54"/>
      <c r="Q239" s="54"/>
      <c r="R239" s="55"/>
      <c r="S239" s="55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</row>
    <row r="240">
      <c r="A240" s="32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84"/>
      <c r="P240" s="54"/>
      <c r="Q240" s="54"/>
      <c r="R240" s="55"/>
      <c r="S240" s="55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</row>
    <row r="241">
      <c r="A241" s="32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84"/>
      <c r="P241" s="54"/>
      <c r="Q241" s="54"/>
      <c r="R241" s="55"/>
      <c r="S241" s="55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</row>
    <row r="242">
      <c r="A242" s="32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84"/>
      <c r="P242" s="54"/>
      <c r="Q242" s="54"/>
      <c r="R242" s="55"/>
      <c r="S242" s="55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</row>
    <row r="243">
      <c r="A243" s="32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84"/>
      <c r="P243" s="54"/>
      <c r="Q243" s="54"/>
      <c r="R243" s="55"/>
      <c r="S243" s="55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</row>
    <row r="244">
      <c r="A244" s="32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84"/>
      <c r="P244" s="54"/>
      <c r="Q244" s="54"/>
      <c r="R244" s="55"/>
      <c r="S244" s="55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</row>
    <row r="245">
      <c r="A245" s="32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84"/>
      <c r="P245" s="54"/>
      <c r="Q245" s="54"/>
      <c r="R245" s="55"/>
      <c r="S245" s="55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</row>
    <row r="246">
      <c r="A246" s="32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84"/>
      <c r="P246" s="54"/>
      <c r="Q246" s="54"/>
      <c r="R246" s="55"/>
      <c r="S246" s="55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</row>
    <row r="247">
      <c r="A247" s="32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84"/>
      <c r="P247" s="54"/>
      <c r="Q247" s="54"/>
      <c r="R247" s="55"/>
      <c r="S247" s="55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</row>
    <row r="248">
      <c r="A248" s="32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84"/>
      <c r="P248" s="54"/>
      <c r="Q248" s="54"/>
      <c r="R248" s="55"/>
      <c r="S248" s="55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</row>
    <row r="249">
      <c r="A249" s="32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84"/>
      <c r="P249" s="54"/>
      <c r="Q249" s="54"/>
      <c r="R249" s="55"/>
      <c r="S249" s="55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</row>
    <row r="250">
      <c r="A250" s="32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84"/>
      <c r="P250" s="54"/>
      <c r="Q250" s="54"/>
      <c r="R250" s="55"/>
      <c r="S250" s="55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</row>
    <row r="251">
      <c r="A251" s="32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84"/>
      <c r="P251" s="54"/>
      <c r="Q251" s="54"/>
      <c r="R251" s="55"/>
      <c r="S251" s="55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</row>
    <row r="252">
      <c r="A252" s="32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84"/>
      <c r="P252" s="54"/>
      <c r="Q252" s="54"/>
      <c r="R252" s="55"/>
      <c r="S252" s="55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</row>
    <row r="253">
      <c r="A253" s="32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84"/>
      <c r="P253" s="54"/>
      <c r="Q253" s="54"/>
      <c r="R253" s="55"/>
      <c r="S253" s="55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</row>
    <row r="254">
      <c r="A254" s="32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84"/>
      <c r="P254" s="54"/>
      <c r="Q254" s="54"/>
      <c r="R254" s="55"/>
      <c r="S254" s="55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</row>
    <row r="255">
      <c r="A255" s="32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84"/>
      <c r="P255" s="54"/>
      <c r="Q255" s="54"/>
      <c r="R255" s="55"/>
      <c r="S255" s="55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</row>
    <row r="256">
      <c r="A256" s="32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84"/>
      <c r="P256" s="54"/>
      <c r="Q256" s="54"/>
      <c r="R256" s="55"/>
      <c r="S256" s="55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</row>
    <row r="257">
      <c r="A257" s="32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84"/>
      <c r="P257" s="54"/>
      <c r="Q257" s="54"/>
      <c r="R257" s="55"/>
      <c r="S257" s="55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</row>
    <row r="258">
      <c r="A258" s="32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84"/>
      <c r="P258" s="54"/>
      <c r="Q258" s="54"/>
      <c r="R258" s="55"/>
      <c r="S258" s="55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</row>
    <row r="259">
      <c r="A259" s="32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84"/>
      <c r="P259" s="54"/>
      <c r="Q259" s="54"/>
      <c r="R259" s="55"/>
      <c r="S259" s="55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</row>
    <row r="260">
      <c r="A260" s="32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84"/>
      <c r="P260" s="54"/>
      <c r="Q260" s="54"/>
      <c r="R260" s="55"/>
      <c r="S260" s="55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</row>
    <row r="261">
      <c r="A261" s="32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84"/>
      <c r="P261" s="54"/>
      <c r="Q261" s="54"/>
      <c r="R261" s="55"/>
      <c r="S261" s="55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</row>
    <row r="262">
      <c r="A262" s="32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84"/>
      <c r="P262" s="54"/>
      <c r="Q262" s="54"/>
      <c r="R262" s="55"/>
      <c r="S262" s="55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</row>
    <row r="263">
      <c r="A263" s="32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84"/>
      <c r="P263" s="54"/>
      <c r="Q263" s="54"/>
      <c r="R263" s="55"/>
      <c r="S263" s="55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</row>
    <row r="264">
      <c r="A264" s="32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84"/>
      <c r="P264" s="54"/>
      <c r="Q264" s="54"/>
      <c r="R264" s="55"/>
      <c r="S264" s="55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</row>
    <row r="265">
      <c r="A265" s="32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84"/>
      <c r="P265" s="54"/>
      <c r="Q265" s="54"/>
      <c r="R265" s="55"/>
      <c r="S265" s="55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</row>
    <row r="266">
      <c r="A266" s="32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84"/>
      <c r="P266" s="54"/>
      <c r="Q266" s="54"/>
      <c r="R266" s="55"/>
      <c r="S266" s="55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</row>
    <row r="267">
      <c r="A267" s="32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84"/>
      <c r="P267" s="54"/>
      <c r="Q267" s="54"/>
      <c r="R267" s="55"/>
      <c r="S267" s="55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</row>
    <row r="268">
      <c r="A268" s="32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84"/>
      <c r="P268" s="54"/>
      <c r="Q268" s="54"/>
      <c r="R268" s="55"/>
      <c r="S268" s="55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</row>
    <row r="269">
      <c r="A269" s="32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84"/>
      <c r="P269" s="54"/>
      <c r="Q269" s="54"/>
      <c r="R269" s="55"/>
      <c r="S269" s="55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</row>
    <row r="270">
      <c r="A270" s="32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84"/>
      <c r="P270" s="54"/>
      <c r="Q270" s="54"/>
      <c r="R270" s="55"/>
      <c r="S270" s="55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</row>
    <row r="271">
      <c r="A271" s="32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84"/>
      <c r="P271" s="54"/>
      <c r="Q271" s="54"/>
      <c r="R271" s="55"/>
      <c r="S271" s="55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</row>
    <row r="272">
      <c r="A272" s="32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84"/>
      <c r="P272" s="54"/>
      <c r="Q272" s="54"/>
      <c r="R272" s="55"/>
      <c r="S272" s="55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</row>
    <row r="273">
      <c r="A273" s="32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84"/>
      <c r="P273" s="54"/>
      <c r="Q273" s="54"/>
      <c r="R273" s="55"/>
      <c r="S273" s="55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</row>
    <row r="274">
      <c r="A274" s="32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84"/>
      <c r="P274" s="54"/>
      <c r="Q274" s="54"/>
      <c r="R274" s="55"/>
      <c r="S274" s="55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</row>
    <row r="275">
      <c r="A275" s="32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84"/>
      <c r="P275" s="54"/>
      <c r="Q275" s="54"/>
      <c r="R275" s="55"/>
      <c r="S275" s="55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</row>
    <row r="276">
      <c r="A276" s="32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84"/>
      <c r="P276" s="54"/>
      <c r="Q276" s="54"/>
      <c r="R276" s="55"/>
      <c r="S276" s="55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</row>
    <row r="277">
      <c r="A277" s="32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84"/>
      <c r="P277" s="54"/>
      <c r="Q277" s="54"/>
      <c r="R277" s="55"/>
      <c r="S277" s="55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</row>
    <row r="278">
      <c r="A278" s="32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84"/>
      <c r="P278" s="54"/>
      <c r="Q278" s="54"/>
      <c r="R278" s="55"/>
      <c r="S278" s="55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</row>
    <row r="279">
      <c r="A279" s="32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84"/>
      <c r="P279" s="54"/>
      <c r="Q279" s="54"/>
      <c r="R279" s="55"/>
      <c r="S279" s="55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</row>
    <row r="280">
      <c r="A280" s="32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84"/>
      <c r="P280" s="54"/>
      <c r="Q280" s="54"/>
      <c r="R280" s="55"/>
      <c r="S280" s="55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</row>
    <row r="281">
      <c r="A281" s="32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84"/>
      <c r="P281" s="54"/>
      <c r="Q281" s="54"/>
      <c r="R281" s="55"/>
      <c r="S281" s="55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</row>
    <row r="282">
      <c r="A282" s="32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84"/>
      <c r="P282" s="54"/>
      <c r="Q282" s="54"/>
      <c r="R282" s="55"/>
      <c r="S282" s="55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</row>
    <row r="283">
      <c r="A283" s="32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84"/>
      <c r="P283" s="54"/>
      <c r="Q283" s="54"/>
      <c r="R283" s="55"/>
      <c r="S283" s="55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</row>
    <row r="284">
      <c r="A284" s="32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84"/>
      <c r="P284" s="54"/>
      <c r="Q284" s="54"/>
      <c r="R284" s="55"/>
      <c r="S284" s="55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</row>
    <row r="285">
      <c r="A285" s="32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84"/>
      <c r="P285" s="54"/>
      <c r="Q285" s="54"/>
      <c r="R285" s="55"/>
      <c r="S285" s="55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</row>
    <row r="286">
      <c r="A286" s="32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84"/>
      <c r="P286" s="54"/>
      <c r="Q286" s="54"/>
      <c r="R286" s="55"/>
      <c r="S286" s="55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</row>
    <row r="287">
      <c r="A287" s="32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84"/>
      <c r="P287" s="54"/>
      <c r="Q287" s="54"/>
      <c r="R287" s="55"/>
      <c r="S287" s="55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</row>
    <row r="288">
      <c r="A288" s="32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84"/>
      <c r="P288" s="54"/>
      <c r="Q288" s="54"/>
      <c r="R288" s="55"/>
      <c r="S288" s="55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</row>
    <row r="289">
      <c r="A289" s="32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84"/>
      <c r="P289" s="54"/>
      <c r="Q289" s="54"/>
      <c r="R289" s="55"/>
      <c r="S289" s="55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</row>
    <row r="290">
      <c r="A290" s="32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84"/>
      <c r="P290" s="54"/>
      <c r="Q290" s="54"/>
      <c r="R290" s="55"/>
      <c r="S290" s="55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</row>
    <row r="291">
      <c r="A291" s="32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84"/>
      <c r="P291" s="54"/>
      <c r="Q291" s="54"/>
      <c r="R291" s="55"/>
      <c r="S291" s="55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</row>
    <row r="292">
      <c r="A292" s="32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84"/>
      <c r="P292" s="54"/>
      <c r="Q292" s="54"/>
      <c r="R292" s="55"/>
      <c r="S292" s="55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</row>
    <row r="293">
      <c r="A293" s="32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84"/>
      <c r="P293" s="54"/>
      <c r="Q293" s="54"/>
      <c r="R293" s="55"/>
      <c r="S293" s="55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</row>
    <row r="294">
      <c r="A294" s="32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84"/>
      <c r="P294" s="54"/>
      <c r="Q294" s="54"/>
      <c r="R294" s="55"/>
      <c r="S294" s="55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</row>
    <row r="295">
      <c r="A295" s="32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84"/>
      <c r="P295" s="54"/>
      <c r="Q295" s="54"/>
      <c r="R295" s="55"/>
      <c r="S295" s="55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</row>
    <row r="296">
      <c r="A296" s="32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84"/>
      <c r="P296" s="54"/>
      <c r="Q296" s="54"/>
      <c r="R296" s="55"/>
      <c r="S296" s="55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</row>
    <row r="297">
      <c r="A297" s="32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84"/>
      <c r="P297" s="54"/>
      <c r="Q297" s="54"/>
      <c r="R297" s="55"/>
      <c r="S297" s="55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</row>
    <row r="298">
      <c r="A298" s="32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84"/>
      <c r="P298" s="54"/>
      <c r="Q298" s="54"/>
      <c r="R298" s="55"/>
      <c r="S298" s="55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</row>
    <row r="299">
      <c r="A299" s="32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84"/>
      <c r="P299" s="54"/>
      <c r="Q299" s="54"/>
      <c r="R299" s="55"/>
      <c r="S299" s="55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</row>
    <row r="300">
      <c r="A300" s="32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84"/>
      <c r="P300" s="54"/>
      <c r="Q300" s="54"/>
      <c r="R300" s="55"/>
      <c r="S300" s="55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</row>
    <row r="301">
      <c r="A301" s="32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84"/>
      <c r="P301" s="54"/>
      <c r="Q301" s="54"/>
      <c r="R301" s="55"/>
      <c r="S301" s="55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</row>
    <row r="302">
      <c r="A302" s="32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84"/>
      <c r="P302" s="54"/>
      <c r="Q302" s="54"/>
      <c r="R302" s="55"/>
      <c r="S302" s="55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</row>
    <row r="303">
      <c r="A303" s="32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84"/>
      <c r="P303" s="54"/>
      <c r="Q303" s="54"/>
      <c r="R303" s="55"/>
      <c r="S303" s="55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</row>
    <row r="304">
      <c r="A304" s="32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84"/>
      <c r="P304" s="54"/>
      <c r="Q304" s="54"/>
      <c r="R304" s="55"/>
      <c r="S304" s="55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</row>
    <row r="305">
      <c r="A305" s="32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84"/>
      <c r="P305" s="54"/>
      <c r="Q305" s="54"/>
      <c r="R305" s="55"/>
      <c r="S305" s="55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</row>
    <row r="306">
      <c r="A306" s="32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84"/>
      <c r="P306" s="54"/>
      <c r="Q306" s="54"/>
      <c r="R306" s="55"/>
      <c r="S306" s="55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</row>
    <row r="307">
      <c r="A307" s="32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84"/>
      <c r="P307" s="54"/>
      <c r="Q307" s="54"/>
      <c r="R307" s="55"/>
      <c r="S307" s="55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</row>
    <row r="308">
      <c r="A308" s="32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84"/>
      <c r="P308" s="54"/>
      <c r="Q308" s="54"/>
      <c r="R308" s="55"/>
      <c r="S308" s="55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</row>
    <row r="309">
      <c r="A309" s="32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84"/>
      <c r="P309" s="54"/>
      <c r="Q309" s="54"/>
      <c r="R309" s="55"/>
      <c r="S309" s="55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</row>
    <row r="310">
      <c r="A310" s="32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84"/>
      <c r="P310" s="54"/>
      <c r="Q310" s="54"/>
      <c r="R310" s="55"/>
      <c r="S310" s="55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</row>
    <row r="311">
      <c r="A311" s="32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84"/>
      <c r="P311" s="54"/>
      <c r="Q311" s="54"/>
      <c r="R311" s="55"/>
      <c r="S311" s="55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</row>
    <row r="312">
      <c r="A312" s="32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84"/>
      <c r="P312" s="54"/>
      <c r="Q312" s="54"/>
      <c r="R312" s="55"/>
      <c r="S312" s="55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</row>
    <row r="313">
      <c r="A313" s="32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84"/>
      <c r="P313" s="54"/>
      <c r="Q313" s="54"/>
      <c r="R313" s="55"/>
      <c r="S313" s="55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</row>
    <row r="314">
      <c r="A314" s="32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84"/>
      <c r="P314" s="54"/>
      <c r="Q314" s="54"/>
      <c r="R314" s="55"/>
      <c r="S314" s="55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</row>
    <row r="315">
      <c r="A315" s="32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84"/>
      <c r="P315" s="54"/>
      <c r="Q315" s="54"/>
      <c r="R315" s="55"/>
      <c r="S315" s="55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</row>
    <row r="316">
      <c r="A316" s="32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84"/>
      <c r="P316" s="54"/>
      <c r="Q316" s="54"/>
      <c r="R316" s="55"/>
      <c r="S316" s="55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</row>
    <row r="317">
      <c r="A317" s="32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84"/>
      <c r="P317" s="54"/>
      <c r="Q317" s="54"/>
      <c r="R317" s="55"/>
      <c r="S317" s="55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</row>
    <row r="318">
      <c r="A318" s="32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84"/>
      <c r="P318" s="54"/>
      <c r="Q318" s="54"/>
      <c r="R318" s="55"/>
      <c r="S318" s="55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</row>
    <row r="319">
      <c r="A319" s="32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84"/>
      <c r="P319" s="54"/>
      <c r="Q319" s="54"/>
      <c r="R319" s="55"/>
      <c r="S319" s="55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</row>
    <row r="320">
      <c r="A320" s="32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84"/>
      <c r="P320" s="54"/>
      <c r="Q320" s="54"/>
      <c r="R320" s="55"/>
      <c r="S320" s="55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</row>
    <row r="321">
      <c r="A321" s="32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84"/>
      <c r="P321" s="54"/>
      <c r="Q321" s="54"/>
      <c r="R321" s="55"/>
      <c r="S321" s="55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</row>
    <row r="322">
      <c r="A322" s="32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84"/>
      <c r="P322" s="54"/>
      <c r="Q322" s="54"/>
      <c r="R322" s="55"/>
      <c r="S322" s="55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</row>
    <row r="323">
      <c r="A323" s="32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84"/>
      <c r="P323" s="54"/>
      <c r="Q323" s="54"/>
      <c r="R323" s="55"/>
      <c r="S323" s="55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</row>
    <row r="324">
      <c r="A324" s="32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84"/>
      <c r="P324" s="54"/>
      <c r="Q324" s="54"/>
      <c r="R324" s="55"/>
      <c r="S324" s="55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</row>
    <row r="325">
      <c r="A325" s="32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84"/>
      <c r="P325" s="54"/>
      <c r="Q325" s="54"/>
      <c r="R325" s="55"/>
      <c r="S325" s="55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</row>
    <row r="326">
      <c r="A326" s="32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84"/>
      <c r="P326" s="54"/>
      <c r="Q326" s="54"/>
      <c r="R326" s="55"/>
      <c r="S326" s="55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</row>
    <row r="327">
      <c r="A327" s="32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84"/>
      <c r="P327" s="54"/>
      <c r="Q327" s="54"/>
      <c r="R327" s="55"/>
      <c r="S327" s="55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</row>
    <row r="328">
      <c r="A328" s="32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84"/>
      <c r="P328" s="54"/>
      <c r="Q328" s="54"/>
      <c r="R328" s="55"/>
      <c r="S328" s="55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</row>
    <row r="329">
      <c r="A329" s="32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84"/>
      <c r="P329" s="54"/>
      <c r="Q329" s="54"/>
      <c r="R329" s="55"/>
      <c r="S329" s="55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</row>
    <row r="330">
      <c r="A330" s="32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84"/>
      <c r="P330" s="54"/>
      <c r="Q330" s="54"/>
      <c r="R330" s="55"/>
      <c r="S330" s="55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</row>
    <row r="331">
      <c r="A331" s="32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84"/>
      <c r="P331" s="54"/>
      <c r="Q331" s="54"/>
      <c r="R331" s="55"/>
      <c r="S331" s="55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</row>
    <row r="332">
      <c r="A332" s="32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84"/>
      <c r="P332" s="54"/>
      <c r="Q332" s="54"/>
      <c r="R332" s="55"/>
      <c r="S332" s="55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</row>
    <row r="333">
      <c r="A333" s="32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84"/>
      <c r="P333" s="54"/>
      <c r="Q333" s="54"/>
      <c r="R333" s="55"/>
      <c r="S333" s="55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</row>
    <row r="334">
      <c r="A334" s="32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84"/>
      <c r="P334" s="54"/>
      <c r="Q334" s="54"/>
      <c r="R334" s="55"/>
      <c r="S334" s="55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</row>
    <row r="335">
      <c r="A335" s="32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84"/>
      <c r="P335" s="54"/>
      <c r="Q335" s="54"/>
      <c r="R335" s="55"/>
      <c r="S335" s="55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</row>
    <row r="336">
      <c r="A336" s="32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84"/>
      <c r="P336" s="54"/>
      <c r="Q336" s="54"/>
      <c r="R336" s="55"/>
      <c r="S336" s="55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</row>
    <row r="337">
      <c r="A337" s="32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84"/>
      <c r="P337" s="54"/>
      <c r="Q337" s="54"/>
      <c r="R337" s="55"/>
      <c r="S337" s="55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</row>
    <row r="338">
      <c r="A338" s="32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84"/>
      <c r="P338" s="54"/>
      <c r="Q338" s="54"/>
      <c r="R338" s="55"/>
      <c r="S338" s="55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</row>
    <row r="339">
      <c r="A339" s="32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84"/>
      <c r="P339" s="54"/>
      <c r="Q339" s="54"/>
      <c r="R339" s="55"/>
      <c r="S339" s="55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</row>
    <row r="340">
      <c r="A340" s="32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84"/>
      <c r="P340" s="54"/>
      <c r="Q340" s="54"/>
      <c r="R340" s="55"/>
      <c r="S340" s="55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</row>
    <row r="341">
      <c r="A341" s="32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84"/>
      <c r="P341" s="54"/>
      <c r="Q341" s="54"/>
      <c r="R341" s="55"/>
      <c r="S341" s="55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</row>
    <row r="342">
      <c r="A342" s="32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84"/>
      <c r="P342" s="54"/>
      <c r="Q342" s="54"/>
      <c r="R342" s="55"/>
      <c r="S342" s="55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</row>
    <row r="343">
      <c r="A343" s="32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84"/>
      <c r="P343" s="54"/>
      <c r="Q343" s="54"/>
      <c r="R343" s="55"/>
      <c r="S343" s="55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</row>
    <row r="344">
      <c r="A344" s="32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84"/>
      <c r="P344" s="54"/>
      <c r="Q344" s="54"/>
      <c r="R344" s="55"/>
      <c r="S344" s="55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</row>
    <row r="345">
      <c r="A345" s="32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84"/>
      <c r="P345" s="54"/>
      <c r="Q345" s="54"/>
      <c r="R345" s="55"/>
      <c r="S345" s="55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</row>
    <row r="346">
      <c r="A346" s="32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84"/>
      <c r="P346" s="54"/>
      <c r="Q346" s="54"/>
      <c r="R346" s="55"/>
      <c r="S346" s="55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</row>
    <row r="347">
      <c r="A347" s="32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84"/>
      <c r="P347" s="54"/>
      <c r="Q347" s="54"/>
      <c r="R347" s="55"/>
      <c r="S347" s="55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</row>
    <row r="348">
      <c r="A348" s="32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84"/>
      <c r="P348" s="54"/>
      <c r="Q348" s="54"/>
      <c r="R348" s="55"/>
      <c r="S348" s="55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</row>
    <row r="349">
      <c r="A349" s="32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84"/>
      <c r="P349" s="54"/>
      <c r="Q349" s="54"/>
      <c r="R349" s="55"/>
      <c r="S349" s="55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</row>
    <row r="350">
      <c r="A350" s="32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84"/>
      <c r="P350" s="54"/>
      <c r="Q350" s="54"/>
      <c r="R350" s="55"/>
      <c r="S350" s="55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</row>
    <row r="351">
      <c r="A351" s="32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84"/>
      <c r="P351" s="54"/>
      <c r="Q351" s="54"/>
      <c r="R351" s="55"/>
      <c r="S351" s="55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</row>
    <row r="352">
      <c r="A352" s="32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84"/>
      <c r="P352" s="54"/>
      <c r="Q352" s="54"/>
      <c r="R352" s="55"/>
      <c r="S352" s="55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</row>
    <row r="353">
      <c r="A353" s="32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84"/>
      <c r="P353" s="54"/>
      <c r="Q353" s="54"/>
      <c r="R353" s="55"/>
      <c r="S353" s="55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</row>
    <row r="354">
      <c r="A354" s="32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84"/>
      <c r="P354" s="54"/>
      <c r="Q354" s="54"/>
      <c r="R354" s="55"/>
      <c r="S354" s="55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</row>
    <row r="355">
      <c r="A355" s="32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84"/>
      <c r="P355" s="54"/>
      <c r="Q355" s="54"/>
      <c r="R355" s="55"/>
      <c r="S355" s="55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</row>
    <row r="356">
      <c r="A356" s="32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84"/>
      <c r="P356" s="54"/>
      <c r="Q356" s="54"/>
      <c r="R356" s="55"/>
      <c r="S356" s="55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</row>
    <row r="357">
      <c r="A357" s="32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84"/>
      <c r="P357" s="54"/>
      <c r="Q357" s="54"/>
      <c r="R357" s="55"/>
      <c r="S357" s="55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</row>
    <row r="358">
      <c r="A358" s="32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84"/>
      <c r="P358" s="54"/>
      <c r="Q358" s="54"/>
      <c r="R358" s="55"/>
      <c r="S358" s="55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</row>
    <row r="359">
      <c r="A359" s="32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84"/>
      <c r="P359" s="54"/>
      <c r="Q359" s="54"/>
      <c r="R359" s="55"/>
      <c r="S359" s="55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</row>
    <row r="360">
      <c r="A360" s="32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84"/>
      <c r="P360" s="54"/>
      <c r="Q360" s="54"/>
      <c r="R360" s="55"/>
      <c r="S360" s="55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</row>
    <row r="361">
      <c r="A361" s="32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84"/>
      <c r="P361" s="54"/>
      <c r="Q361" s="54"/>
      <c r="R361" s="55"/>
      <c r="S361" s="55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</row>
    <row r="362">
      <c r="A362" s="32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84"/>
      <c r="P362" s="54"/>
      <c r="Q362" s="54"/>
      <c r="R362" s="55"/>
      <c r="S362" s="55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</row>
    <row r="363">
      <c r="A363" s="32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84"/>
      <c r="P363" s="54"/>
      <c r="Q363" s="54"/>
      <c r="R363" s="55"/>
      <c r="S363" s="55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</row>
    <row r="364">
      <c r="A364" s="32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84"/>
      <c r="P364" s="54"/>
      <c r="Q364" s="54"/>
      <c r="R364" s="55"/>
      <c r="S364" s="55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</row>
    <row r="365">
      <c r="A365" s="32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84"/>
      <c r="P365" s="54"/>
      <c r="Q365" s="54"/>
      <c r="R365" s="55"/>
      <c r="S365" s="55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</row>
    <row r="366">
      <c r="A366" s="32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84"/>
      <c r="P366" s="54"/>
      <c r="Q366" s="54"/>
      <c r="R366" s="55"/>
      <c r="S366" s="55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</row>
    <row r="367">
      <c r="A367" s="32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84"/>
      <c r="P367" s="54"/>
      <c r="Q367" s="54"/>
      <c r="R367" s="55"/>
      <c r="S367" s="55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</row>
    <row r="368">
      <c r="A368" s="32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84"/>
      <c r="P368" s="54"/>
      <c r="Q368" s="54"/>
      <c r="R368" s="55"/>
      <c r="S368" s="55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</row>
    <row r="369">
      <c r="A369" s="32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84"/>
      <c r="P369" s="54"/>
      <c r="Q369" s="54"/>
      <c r="R369" s="55"/>
      <c r="S369" s="55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</row>
    <row r="370">
      <c r="A370" s="32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84"/>
      <c r="P370" s="54"/>
      <c r="Q370" s="54"/>
      <c r="R370" s="55"/>
      <c r="S370" s="55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</row>
    <row r="371">
      <c r="A371" s="32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84"/>
      <c r="P371" s="54"/>
      <c r="Q371" s="54"/>
      <c r="R371" s="55"/>
      <c r="S371" s="55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</row>
    <row r="372">
      <c r="A372" s="32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84"/>
      <c r="P372" s="54"/>
      <c r="Q372" s="54"/>
      <c r="R372" s="55"/>
      <c r="S372" s="55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</row>
    <row r="373">
      <c r="A373" s="32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84"/>
      <c r="P373" s="54"/>
      <c r="Q373" s="54"/>
      <c r="R373" s="55"/>
      <c r="S373" s="55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</row>
    <row r="374">
      <c r="A374" s="32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84"/>
      <c r="P374" s="54"/>
      <c r="Q374" s="54"/>
      <c r="R374" s="55"/>
      <c r="S374" s="55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</row>
    <row r="375">
      <c r="A375" s="32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84"/>
      <c r="P375" s="54"/>
      <c r="Q375" s="54"/>
      <c r="R375" s="55"/>
      <c r="S375" s="55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</row>
    <row r="376">
      <c r="A376" s="32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84"/>
      <c r="P376" s="54"/>
      <c r="Q376" s="54"/>
      <c r="R376" s="55"/>
      <c r="S376" s="55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</row>
    <row r="377">
      <c r="A377" s="32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84"/>
      <c r="P377" s="54"/>
      <c r="Q377" s="54"/>
      <c r="R377" s="55"/>
      <c r="S377" s="55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</row>
    <row r="378">
      <c r="A378" s="32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84"/>
      <c r="P378" s="54"/>
      <c r="Q378" s="54"/>
      <c r="R378" s="55"/>
      <c r="S378" s="55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</row>
    <row r="379">
      <c r="A379" s="32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84"/>
      <c r="P379" s="54"/>
      <c r="Q379" s="54"/>
      <c r="R379" s="55"/>
      <c r="S379" s="55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</row>
    <row r="380">
      <c r="A380" s="32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84"/>
      <c r="P380" s="54"/>
      <c r="Q380" s="54"/>
      <c r="R380" s="55"/>
      <c r="S380" s="55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</row>
    <row r="381">
      <c r="A381" s="32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84"/>
      <c r="P381" s="54"/>
      <c r="Q381" s="54"/>
      <c r="R381" s="55"/>
      <c r="S381" s="55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</row>
    <row r="382">
      <c r="A382" s="32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84"/>
      <c r="P382" s="54"/>
      <c r="Q382" s="54"/>
      <c r="R382" s="55"/>
      <c r="S382" s="55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</row>
    <row r="383">
      <c r="A383" s="32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84"/>
      <c r="P383" s="54"/>
      <c r="Q383" s="54"/>
      <c r="R383" s="55"/>
      <c r="S383" s="55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</row>
    <row r="384">
      <c r="A384" s="32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84"/>
      <c r="P384" s="54"/>
      <c r="Q384" s="54"/>
      <c r="R384" s="55"/>
      <c r="S384" s="55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</row>
    <row r="385">
      <c r="A385" s="32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84"/>
      <c r="P385" s="54"/>
      <c r="Q385" s="54"/>
      <c r="R385" s="55"/>
      <c r="S385" s="55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</row>
    <row r="386">
      <c r="A386" s="32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84"/>
      <c r="P386" s="54"/>
      <c r="Q386" s="54"/>
      <c r="R386" s="55"/>
      <c r="S386" s="55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</row>
    <row r="387">
      <c r="A387" s="32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84"/>
      <c r="P387" s="54"/>
      <c r="Q387" s="54"/>
      <c r="R387" s="55"/>
      <c r="S387" s="55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</row>
    <row r="388">
      <c r="A388" s="32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84"/>
      <c r="P388" s="54"/>
      <c r="Q388" s="54"/>
      <c r="R388" s="55"/>
      <c r="S388" s="55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</row>
    <row r="389">
      <c r="A389" s="32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84"/>
      <c r="P389" s="54"/>
      <c r="Q389" s="54"/>
      <c r="R389" s="55"/>
      <c r="S389" s="55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</row>
    <row r="390">
      <c r="A390" s="32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84"/>
      <c r="P390" s="54"/>
      <c r="Q390" s="54"/>
      <c r="R390" s="55"/>
      <c r="S390" s="55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</row>
    <row r="391">
      <c r="A391" s="32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84"/>
      <c r="P391" s="54"/>
      <c r="Q391" s="54"/>
      <c r="R391" s="55"/>
      <c r="S391" s="55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</row>
    <row r="392">
      <c r="A392" s="32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84"/>
      <c r="P392" s="54"/>
      <c r="Q392" s="54"/>
      <c r="R392" s="55"/>
      <c r="S392" s="55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</row>
    <row r="393">
      <c r="A393" s="32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84"/>
      <c r="P393" s="54"/>
      <c r="Q393" s="54"/>
      <c r="R393" s="55"/>
      <c r="S393" s="55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</row>
    <row r="394">
      <c r="A394" s="32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84"/>
      <c r="P394" s="54"/>
      <c r="Q394" s="54"/>
      <c r="R394" s="55"/>
      <c r="S394" s="55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</row>
    <row r="395">
      <c r="A395" s="32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84"/>
      <c r="P395" s="54"/>
      <c r="Q395" s="54"/>
      <c r="R395" s="55"/>
      <c r="S395" s="55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</row>
    <row r="396">
      <c r="A396" s="32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84"/>
      <c r="P396" s="54"/>
      <c r="Q396" s="54"/>
      <c r="R396" s="55"/>
      <c r="S396" s="55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</row>
    <row r="397">
      <c r="A397" s="32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84"/>
      <c r="P397" s="54"/>
      <c r="Q397" s="54"/>
      <c r="R397" s="55"/>
      <c r="S397" s="55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</row>
    <row r="398">
      <c r="A398" s="32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84"/>
      <c r="P398" s="54"/>
      <c r="Q398" s="54"/>
      <c r="R398" s="55"/>
      <c r="S398" s="55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</row>
    <row r="399">
      <c r="A399" s="32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84"/>
      <c r="P399" s="54"/>
      <c r="Q399" s="54"/>
      <c r="R399" s="55"/>
      <c r="S399" s="55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</row>
    <row r="400">
      <c r="A400" s="32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84"/>
      <c r="P400" s="54"/>
      <c r="Q400" s="54"/>
      <c r="R400" s="55"/>
      <c r="S400" s="55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</row>
    <row r="401">
      <c r="A401" s="32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84"/>
      <c r="P401" s="54"/>
      <c r="Q401" s="54"/>
      <c r="R401" s="55"/>
      <c r="S401" s="55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</row>
    <row r="402">
      <c r="A402" s="32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84"/>
      <c r="P402" s="54"/>
      <c r="Q402" s="54"/>
      <c r="R402" s="55"/>
      <c r="S402" s="55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</row>
    <row r="403">
      <c r="A403" s="32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84"/>
      <c r="P403" s="54"/>
      <c r="Q403" s="54"/>
      <c r="R403" s="55"/>
      <c r="S403" s="55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</row>
    <row r="404">
      <c r="A404" s="32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84"/>
      <c r="P404" s="54"/>
      <c r="Q404" s="54"/>
      <c r="R404" s="55"/>
      <c r="S404" s="55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</row>
    <row r="405">
      <c r="A405" s="32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84"/>
      <c r="P405" s="54"/>
      <c r="Q405" s="54"/>
      <c r="R405" s="55"/>
      <c r="S405" s="55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</row>
    <row r="406">
      <c r="A406" s="32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84"/>
      <c r="P406" s="54"/>
      <c r="Q406" s="54"/>
      <c r="R406" s="55"/>
      <c r="S406" s="55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</row>
    <row r="407">
      <c r="A407" s="32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84"/>
      <c r="P407" s="54"/>
      <c r="Q407" s="54"/>
      <c r="R407" s="55"/>
      <c r="S407" s="55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</row>
    <row r="408">
      <c r="A408" s="32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84"/>
      <c r="P408" s="54"/>
      <c r="Q408" s="54"/>
      <c r="R408" s="55"/>
      <c r="S408" s="55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</row>
    <row r="409">
      <c r="A409" s="32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84"/>
      <c r="P409" s="54"/>
      <c r="Q409" s="54"/>
      <c r="R409" s="55"/>
      <c r="S409" s="55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</row>
    <row r="410">
      <c r="A410" s="32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84"/>
      <c r="P410" s="54"/>
      <c r="Q410" s="54"/>
      <c r="R410" s="55"/>
      <c r="S410" s="55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</row>
    <row r="411">
      <c r="A411" s="32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84"/>
      <c r="P411" s="54"/>
      <c r="Q411" s="54"/>
      <c r="R411" s="55"/>
      <c r="S411" s="55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</row>
    <row r="412">
      <c r="A412" s="32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84"/>
      <c r="P412" s="54"/>
      <c r="Q412" s="54"/>
      <c r="R412" s="55"/>
      <c r="S412" s="55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</row>
    <row r="413">
      <c r="A413" s="32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84"/>
      <c r="P413" s="54"/>
      <c r="Q413" s="54"/>
      <c r="R413" s="55"/>
      <c r="S413" s="55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</row>
    <row r="414">
      <c r="A414" s="32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84"/>
      <c r="P414" s="54"/>
      <c r="Q414" s="54"/>
      <c r="R414" s="55"/>
      <c r="S414" s="55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</row>
    <row r="415">
      <c r="A415" s="32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84"/>
      <c r="P415" s="54"/>
      <c r="Q415" s="54"/>
      <c r="R415" s="55"/>
      <c r="S415" s="55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</row>
    <row r="416">
      <c r="A416" s="32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84"/>
      <c r="P416" s="54"/>
      <c r="Q416" s="54"/>
      <c r="R416" s="55"/>
      <c r="S416" s="55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</row>
    <row r="417">
      <c r="A417" s="32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84"/>
      <c r="P417" s="54"/>
      <c r="Q417" s="54"/>
      <c r="R417" s="55"/>
      <c r="S417" s="55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</row>
    <row r="418">
      <c r="A418" s="32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84"/>
      <c r="P418" s="54"/>
      <c r="Q418" s="54"/>
      <c r="R418" s="55"/>
      <c r="S418" s="55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</row>
    <row r="419">
      <c r="A419" s="32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84"/>
      <c r="P419" s="54"/>
      <c r="Q419" s="54"/>
      <c r="R419" s="55"/>
      <c r="S419" s="55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</row>
    <row r="420">
      <c r="A420" s="32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84"/>
      <c r="P420" s="54"/>
      <c r="Q420" s="54"/>
      <c r="R420" s="55"/>
      <c r="S420" s="55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</row>
    <row r="421">
      <c r="A421" s="32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84"/>
      <c r="P421" s="54"/>
      <c r="Q421" s="54"/>
      <c r="R421" s="55"/>
      <c r="S421" s="55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</row>
    <row r="422">
      <c r="A422" s="32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84"/>
      <c r="P422" s="54"/>
      <c r="Q422" s="54"/>
      <c r="R422" s="55"/>
      <c r="S422" s="55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</row>
    <row r="423">
      <c r="A423" s="32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84"/>
      <c r="P423" s="54"/>
      <c r="Q423" s="54"/>
      <c r="R423" s="55"/>
      <c r="S423" s="55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</row>
    <row r="424">
      <c r="A424" s="32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84"/>
      <c r="P424" s="54"/>
      <c r="Q424" s="54"/>
      <c r="R424" s="55"/>
      <c r="S424" s="55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</row>
    <row r="425">
      <c r="A425" s="32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84"/>
      <c r="P425" s="54"/>
      <c r="Q425" s="54"/>
      <c r="R425" s="55"/>
      <c r="S425" s="55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</row>
    <row r="426">
      <c r="A426" s="32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84"/>
      <c r="P426" s="54"/>
      <c r="Q426" s="54"/>
      <c r="R426" s="55"/>
      <c r="S426" s="55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</row>
    <row r="427">
      <c r="A427" s="32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84"/>
      <c r="P427" s="54"/>
      <c r="Q427" s="54"/>
      <c r="R427" s="55"/>
      <c r="S427" s="55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</row>
    <row r="428">
      <c r="A428" s="32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84"/>
      <c r="P428" s="54"/>
      <c r="Q428" s="54"/>
      <c r="R428" s="55"/>
      <c r="S428" s="55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</row>
    <row r="429">
      <c r="A429" s="32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84"/>
      <c r="P429" s="54"/>
      <c r="Q429" s="54"/>
      <c r="R429" s="55"/>
      <c r="S429" s="55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</row>
    <row r="430">
      <c r="A430" s="32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84"/>
      <c r="P430" s="54"/>
      <c r="Q430" s="54"/>
      <c r="R430" s="55"/>
      <c r="S430" s="55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</row>
    <row r="431">
      <c r="A431" s="32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84"/>
      <c r="P431" s="54"/>
      <c r="Q431" s="54"/>
      <c r="R431" s="55"/>
      <c r="S431" s="55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</row>
    <row r="432">
      <c r="A432" s="32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84"/>
      <c r="P432" s="54"/>
      <c r="Q432" s="54"/>
      <c r="R432" s="55"/>
      <c r="S432" s="55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</row>
    <row r="433">
      <c r="A433" s="32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84"/>
      <c r="P433" s="54"/>
      <c r="Q433" s="54"/>
      <c r="R433" s="55"/>
      <c r="S433" s="55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</row>
    <row r="434">
      <c r="A434" s="32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84"/>
      <c r="P434" s="54"/>
      <c r="Q434" s="54"/>
      <c r="R434" s="55"/>
      <c r="S434" s="55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</row>
    <row r="435">
      <c r="A435" s="32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84"/>
      <c r="P435" s="54"/>
      <c r="Q435" s="54"/>
      <c r="R435" s="55"/>
      <c r="S435" s="55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</row>
    <row r="436">
      <c r="A436" s="32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84"/>
      <c r="P436" s="54"/>
      <c r="Q436" s="54"/>
      <c r="R436" s="55"/>
      <c r="S436" s="55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</row>
    <row r="437">
      <c r="A437" s="32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84"/>
      <c r="P437" s="54"/>
      <c r="Q437" s="54"/>
      <c r="R437" s="55"/>
      <c r="S437" s="55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</row>
    <row r="438">
      <c r="A438" s="32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84"/>
      <c r="P438" s="54"/>
      <c r="Q438" s="54"/>
      <c r="R438" s="55"/>
      <c r="S438" s="55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</row>
    <row r="439">
      <c r="A439" s="32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84"/>
      <c r="P439" s="54"/>
      <c r="Q439" s="54"/>
      <c r="R439" s="55"/>
      <c r="S439" s="55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</row>
    <row r="440">
      <c r="A440" s="32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84"/>
      <c r="P440" s="54"/>
      <c r="Q440" s="54"/>
      <c r="R440" s="55"/>
      <c r="S440" s="55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</row>
    <row r="441">
      <c r="A441" s="32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84"/>
      <c r="P441" s="54"/>
      <c r="Q441" s="54"/>
      <c r="R441" s="55"/>
      <c r="S441" s="55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</row>
    <row r="442">
      <c r="A442" s="32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84"/>
      <c r="P442" s="54"/>
      <c r="Q442" s="54"/>
      <c r="R442" s="55"/>
      <c r="S442" s="55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</row>
    <row r="443">
      <c r="A443" s="32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84"/>
      <c r="P443" s="54"/>
      <c r="Q443" s="54"/>
      <c r="R443" s="55"/>
      <c r="S443" s="55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</row>
    <row r="444">
      <c r="A444" s="32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84"/>
      <c r="P444" s="54"/>
      <c r="Q444" s="54"/>
      <c r="R444" s="55"/>
      <c r="S444" s="55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</row>
    <row r="445">
      <c r="A445" s="32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84"/>
      <c r="P445" s="54"/>
      <c r="Q445" s="54"/>
      <c r="R445" s="55"/>
      <c r="S445" s="55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</row>
    <row r="446">
      <c r="A446" s="32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84"/>
      <c r="P446" s="54"/>
      <c r="Q446" s="54"/>
      <c r="R446" s="55"/>
      <c r="S446" s="55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</row>
    <row r="447">
      <c r="A447" s="32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84"/>
      <c r="P447" s="54"/>
      <c r="Q447" s="54"/>
      <c r="R447" s="55"/>
      <c r="S447" s="55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</row>
    <row r="448">
      <c r="A448" s="32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84"/>
      <c r="P448" s="54"/>
      <c r="Q448" s="54"/>
      <c r="R448" s="55"/>
      <c r="S448" s="55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</row>
    <row r="449">
      <c r="A449" s="32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84"/>
      <c r="P449" s="54"/>
      <c r="Q449" s="54"/>
      <c r="R449" s="55"/>
      <c r="S449" s="55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</row>
    <row r="450">
      <c r="A450" s="32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84"/>
      <c r="P450" s="54"/>
      <c r="Q450" s="54"/>
      <c r="R450" s="55"/>
      <c r="S450" s="55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</row>
    <row r="451">
      <c r="A451" s="32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84"/>
      <c r="P451" s="54"/>
      <c r="Q451" s="54"/>
      <c r="R451" s="55"/>
      <c r="S451" s="55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</row>
    <row r="452">
      <c r="A452" s="32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84"/>
      <c r="P452" s="54"/>
      <c r="Q452" s="54"/>
      <c r="R452" s="55"/>
      <c r="S452" s="55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</row>
    <row r="453">
      <c r="A453" s="32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84"/>
      <c r="P453" s="54"/>
      <c r="Q453" s="54"/>
      <c r="R453" s="55"/>
      <c r="S453" s="55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</row>
    <row r="454">
      <c r="A454" s="32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84"/>
      <c r="P454" s="54"/>
      <c r="Q454" s="54"/>
      <c r="R454" s="55"/>
      <c r="S454" s="55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</row>
    <row r="455">
      <c r="A455" s="32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84"/>
      <c r="P455" s="54"/>
      <c r="Q455" s="54"/>
      <c r="R455" s="55"/>
      <c r="S455" s="55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</row>
    <row r="456">
      <c r="A456" s="32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84"/>
      <c r="P456" s="54"/>
      <c r="Q456" s="54"/>
      <c r="R456" s="55"/>
      <c r="S456" s="55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</row>
    <row r="457">
      <c r="A457" s="32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84"/>
      <c r="P457" s="54"/>
      <c r="Q457" s="54"/>
      <c r="R457" s="55"/>
      <c r="S457" s="55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</row>
    <row r="458">
      <c r="A458" s="32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84"/>
      <c r="P458" s="54"/>
      <c r="Q458" s="54"/>
      <c r="R458" s="55"/>
      <c r="S458" s="55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</row>
    <row r="459">
      <c r="A459" s="32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84"/>
      <c r="P459" s="54"/>
      <c r="Q459" s="54"/>
      <c r="R459" s="55"/>
      <c r="S459" s="55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</row>
    <row r="460">
      <c r="A460" s="32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84"/>
      <c r="P460" s="54"/>
      <c r="Q460" s="54"/>
      <c r="R460" s="55"/>
      <c r="S460" s="55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</row>
    <row r="461">
      <c r="A461" s="32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84"/>
      <c r="P461" s="54"/>
      <c r="Q461" s="54"/>
      <c r="R461" s="55"/>
      <c r="S461" s="55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</row>
    <row r="462">
      <c r="A462" s="32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84"/>
      <c r="P462" s="54"/>
      <c r="Q462" s="54"/>
      <c r="R462" s="55"/>
      <c r="S462" s="55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</row>
    <row r="463">
      <c r="A463" s="32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84"/>
      <c r="P463" s="54"/>
      <c r="Q463" s="54"/>
      <c r="R463" s="55"/>
      <c r="S463" s="55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</row>
    <row r="464">
      <c r="A464" s="32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84"/>
      <c r="P464" s="54"/>
      <c r="Q464" s="54"/>
      <c r="R464" s="55"/>
      <c r="S464" s="55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</row>
    <row r="465">
      <c r="A465" s="32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84"/>
      <c r="P465" s="54"/>
      <c r="Q465" s="54"/>
      <c r="R465" s="55"/>
      <c r="S465" s="55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</row>
    <row r="466">
      <c r="A466" s="32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84"/>
      <c r="P466" s="54"/>
      <c r="Q466" s="54"/>
      <c r="R466" s="55"/>
      <c r="S466" s="55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</row>
    <row r="467">
      <c r="A467" s="32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84"/>
      <c r="P467" s="54"/>
      <c r="Q467" s="54"/>
      <c r="R467" s="55"/>
      <c r="S467" s="55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</row>
    <row r="468">
      <c r="A468" s="32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84"/>
      <c r="P468" s="54"/>
      <c r="Q468" s="54"/>
      <c r="R468" s="55"/>
      <c r="S468" s="55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</row>
    <row r="469">
      <c r="A469" s="32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84"/>
      <c r="P469" s="54"/>
      <c r="Q469" s="54"/>
      <c r="R469" s="55"/>
      <c r="S469" s="55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</row>
    <row r="470">
      <c r="A470" s="32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84"/>
      <c r="P470" s="54"/>
      <c r="Q470" s="54"/>
      <c r="R470" s="55"/>
      <c r="S470" s="55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</row>
    <row r="471">
      <c r="A471" s="32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84"/>
      <c r="P471" s="54"/>
      <c r="Q471" s="54"/>
      <c r="R471" s="55"/>
      <c r="S471" s="55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</row>
    <row r="472">
      <c r="A472" s="32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84"/>
      <c r="P472" s="54"/>
      <c r="Q472" s="54"/>
      <c r="R472" s="55"/>
      <c r="S472" s="55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</row>
    <row r="473">
      <c r="A473" s="32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84"/>
      <c r="P473" s="54"/>
      <c r="Q473" s="54"/>
      <c r="R473" s="55"/>
      <c r="S473" s="55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</row>
    <row r="474">
      <c r="A474" s="32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84"/>
      <c r="P474" s="54"/>
      <c r="Q474" s="54"/>
      <c r="R474" s="55"/>
      <c r="S474" s="55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</row>
    <row r="475">
      <c r="A475" s="32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84"/>
      <c r="P475" s="54"/>
      <c r="Q475" s="54"/>
      <c r="R475" s="55"/>
      <c r="S475" s="55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</row>
    <row r="476">
      <c r="A476" s="32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84"/>
      <c r="P476" s="54"/>
      <c r="Q476" s="54"/>
      <c r="R476" s="55"/>
      <c r="S476" s="55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</row>
    <row r="477">
      <c r="A477" s="32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84"/>
      <c r="P477" s="54"/>
      <c r="Q477" s="54"/>
      <c r="R477" s="55"/>
      <c r="S477" s="55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</row>
    <row r="478">
      <c r="A478" s="32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84"/>
      <c r="P478" s="54"/>
      <c r="Q478" s="54"/>
      <c r="R478" s="55"/>
      <c r="S478" s="55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</row>
    <row r="479">
      <c r="A479" s="32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84"/>
      <c r="P479" s="54"/>
      <c r="Q479" s="54"/>
      <c r="R479" s="55"/>
      <c r="S479" s="55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</row>
    <row r="480">
      <c r="A480" s="32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84"/>
      <c r="P480" s="54"/>
      <c r="Q480" s="54"/>
      <c r="R480" s="55"/>
      <c r="S480" s="55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</row>
    <row r="481">
      <c r="A481" s="32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84"/>
      <c r="P481" s="54"/>
      <c r="Q481" s="54"/>
      <c r="R481" s="55"/>
      <c r="S481" s="55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</row>
    <row r="482">
      <c r="A482" s="32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84"/>
      <c r="P482" s="54"/>
      <c r="Q482" s="54"/>
      <c r="R482" s="55"/>
      <c r="S482" s="55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</row>
    <row r="483">
      <c r="A483" s="32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84"/>
      <c r="P483" s="54"/>
      <c r="Q483" s="54"/>
      <c r="R483" s="55"/>
      <c r="S483" s="55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</row>
    <row r="484">
      <c r="A484" s="32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84"/>
      <c r="P484" s="54"/>
      <c r="Q484" s="54"/>
      <c r="R484" s="55"/>
      <c r="S484" s="55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</row>
    <row r="485">
      <c r="A485" s="32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84"/>
      <c r="P485" s="54"/>
      <c r="Q485" s="54"/>
      <c r="R485" s="55"/>
      <c r="S485" s="55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</row>
    <row r="486">
      <c r="A486" s="32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84"/>
      <c r="P486" s="54"/>
      <c r="Q486" s="54"/>
      <c r="R486" s="55"/>
      <c r="S486" s="55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</row>
    <row r="487">
      <c r="A487" s="32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84"/>
      <c r="P487" s="54"/>
      <c r="Q487" s="54"/>
      <c r="R487" s="55"/>
      <c r="S487" s="55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</row>
    <row r="488">
      <c r="A488" s="32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84"/>
      <c r="P488" s="54"/>
      <c r="Q488" s="54"/>
      <c r="R488" s="55"/>
      <c r="S488" s="55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</row>
    <row r="489">
      <c r="A489" s="32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84"/>
      <c r="P489" s="54"/>
      <c r="Q489" s="54"/>
      <c r="R489" s="55"/>
      <c r="S489" s="55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</row>
    <row r="490">
      <c r="A490" s="32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84"/>
      <c r="P490" s="54"/>
      <c r="Q490" s="54"/>
      <c r="R490" s="55"/>
      <c r="S490" s="55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</row>
    <row r="491">
      <c r="A491" s="32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84"/>
      <c r="P491" s="54"/>
      <c r="Q491" s="54"/>
      <c r="R491" s="55"/>
      <c r="S491" s="55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</row>
    <row r="492">
      <c r="A492" s="32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84"/>
      <c r="P492" s="54"/>
      <c r="Q492" s="54"/>
      <c r="R492" s="55"/>
      <c r="S492" s="55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</row>
    <row r="493">
      <c r="A493" s="32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84"/>
      <c r="P493" s="54"/>
      <c r="Q493" s="54"/>
      <c r="R493" s="55"/>
      <c r="S493" s="55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</row>
    <row r="494">
      <c r="A494" s="32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84"/>
      <c r="P494" s="54"/>
      <c r="Q494" s="54"/>
      <c r="R494" s="55"/>
      <c r="S494" s="55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</row>
    <row r="495">
      <c r="A495" s="32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84"/>
      <c r="P495" s="54"/>
      <c r="Q495" s="54"/>
      <c r="R495" s="55"/>
      <c r="S495" s="55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</row>
    <row r="496">
      <c r="A496" s="32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84"/>
      <c r="P496" s="54"/>
      <c r="Q496" s="54"/>
      <c r="R496" s="55"/>
      <c r="S496" s="55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</row>
    <row r="497">
      <c r="A497" s="32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84"/>
      <c r="P497" s="54"/>
      <c r="Q497" s="54"/>
      <c r="R497" s="55"/>
      <c r="S497" s="55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</row>
    <row r="498">
      <c r="A498" s="32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84"/>
      <c r="P498" s="54"/>
      <c r="Q498" s="54"/>
      <c r="R498" s="55"/>
      <c r="S498" s="55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</row>
    <row r="499">
      <c r="A499" s="32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84"/>
      <c r="P499" s="54"/>
      <c r="Q499" s="54"/>
      <c r="R499" s="55"/>
      <c r="S499" s="55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</row>
    <row r="500">
      <c r="A500" s="32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84"/>
      <c r="P500" s="54"/>
      <c r="Q500" s="54"/>
      <c r="R500" s="55"/>
      <c r="S500" s="55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</row>
    <row r="501">
      <c r="A501" s="32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84"/>
      <c r="P501" s="54"/>
      <c r="Q501" s="54"/>
      <c r="R501" s="55"/>
      <c r="S501" s="55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</row>
    <row r="502">
      <c r="A502" s="32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84"/>
      <c r="P502" s="54"/>
      <c r="Q502" s="54"/>
      <c r="R502" s="55"/>
      <c r="S502" s="55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</row>
    <row r="503">
      <c r="A503" s="32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84"/>
      <c r="P503" s="54"/>
      <c r="Q503" s="54"/>
      <c r="R503" s="55"/>
      <c r="S503" s="55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</row>
    <row r="504">
      <c r="A504" s="32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84"/>
      <c r="P504" s="54"/>
      <c r="Q504" s="54"/>
      <c r="R504" s="55"/>
      <c r="S504" s="55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</row>
    <row r="505">
      <c r="A505" s="32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84"/>
      <c r="P505" s="54"/>
      <c r="Q505" s="54"/>
      <c r="R505" s="55"/>
      <c r="S505" s="55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</row>
    <row r="506">
      <c r="A506" s="32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84"/>
      <c r="P506" s="54"/>
      <c r="Q506" s="54"/>
      <c r="R506" s="55"/>
      <c r="S506" s="55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</row>
    <row r="507">
      <c r="A507" s="32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84"/>
      <c r="P507" s="54"/>
      <c r="Q507" s="54"/>
      <c r="R507" s="55"/>
      <c r="S507" s="55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</row>
    <row r="508">
      <c r="A508" s="32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84"/>
      <c r="P508" s="54"/>
      <c r="Q508" s="54"/>
      <c r="R508" s="55"/>
      <c r="S508" s="55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</row>
    <row r="509">
      <c r="A509" s="32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84"/>
      <c r="P509" s="54"/>
      <c r="Q509" s="54"/>
      <c r="R509" s="55"/>
      <c r="S509" s="55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</row>
    <row r="510">
      <c r="A510" s="32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84"/>
      <c r="P510" s="54"/>
      <c r="Q510" s="54"/>
      <c r="R510" s="55"/>
      <c r="S510" s="55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</row>
    <row r="511">
      <c r="A511" s="32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84"/>
      <c r="P511" s="54"/>
      <c r="Q511" s="54"/>
      <c r="R511" s="55"/>
      <c r="S511" s="55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</row>
    <row r="512">
      <c r="A512" s="32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84"/>
      <c r="P512" s="54"/>
      <c r="Q512" s="54"/>
      <c r="R512" s="55"/>
      <c r="S512" s="55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</row>
    <row r="513">
      <c r="A513" s="32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84"/>
      <c r="P513" s="54"/>
      <c r="Q513" s="54"/>
      <c r="R513" s="55"/>
      <c r="S513" s="55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</row>
    <row r="514">
      <c r="A514" s="32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84"/>
      <c r="P514" s="54"/>
      <c r="Q514" s="54"/>
      <c r="R514" s="55"/>
      <c r="S514" s="55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</row>
    <row r="515">
      <c r="A515" s="32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84"/>
      <c r="P515" s="54"/>
      <c r="Q515" s="54"/>
      <c r="R515" s="55"/>
      <c r="S515" s="55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</row>
    <row r="516">
      <c r="A516" s="32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84"/>
      <c r="P516" s="54"/>
      <c r="Q516" s="54"/>
      <c r="R516" s="55"/>
      <c r="S516" s="55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</row>
    <row r="517">
      <c r="A517" s="32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84"/>
      <c r="P517" s="54"/>
      <c r="Q517" s="54"/>
      <c r="R517" s="55"/>
      <c r="S517" s="55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</row>
    <row r="518">
      <c r="A518" s="32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84"/>
      <c r="P518" s="54"/>
      <c r="Q518" s="54"/>
      <c r="R518" s="55"/>
      <c r="S518" s="55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</row>
    <row r="519">
      <c r="A519" s="32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84"/>
      <c r="P519" s="54"/>
      <c r="Q519" s="54"/>
      <c r="R519" s="55"/>
      <c r="S519" s="55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</row>
    <row r="520">
      <c r="A520" s="32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84"/>
      <c r="P520" s="54"/>
      <c r="Q520" s="54"/>
      <c r="R520" s="55"/>
      <c r="S520" s="55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</row>
    <row r="521">
      <c r="A521" s="32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84"/>
      <c r="P521" s="54"/>
      <c r="Q521" s="54"/>
      <c r="R521" s="55"/>
      <c r="S521" s="55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</row>
    <row r="522">
      <c r="A522" s="32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84"/>
      <c r="P522" s="54"/>
      <c r="Q522" s="54"/>
      <c r="R522" s="55"/>
      <c r="S522" s="55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</row>
    <row r="523">
      <c r="A523" s="32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84"/>
      <c r="P523" s="54"/>
      <c r="Q523" s="54"/>
      <c r="R523" s="55"/>
      <c r="S523" s="55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</row>
    <row r="524">
      <c r="A524" s="32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84"/>
      <c r="P524" s="54"/>
      <c r="Q524" s="54"/>
      <c r="R524" s="55"/>
      <c r="S524" s="55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</row>
    <row r="525">
      <c r="A525" s="32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84"/>
      <c r="P525" s="54"/>
      <c r="Q525" s="54"/>
      <c r="R525" s="55"/>
      <c r="S525" s="55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</row>
    <row r="526">
      <c r="A526" s="32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84"/>
      <c r="P526" s="54"/>
      <c r="Q526" s="54"/>
      <c r="R526" s="55"/>
      <c r="S526" s="55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</row>
    <row r="527">
      <c r="A527" s="32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84"/>
      <c r="P527" s="54"/>
      <c r="Q527" s="54"/>
      <c r="R527" s="55"/>
      <c r="S527" s="55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</row>
    <row r="528">
      <c r="A528" s="32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84"/>
      <c r="P528" s="54"/>
      <c r="Q528" s="54"/>
      <c r="R528" s="55"/>
      <c r="S528" s="55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</row>
    <row r="529">
      <c r="A529" s="32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84"/>
      <c r="P529" s="54"/>
      <c r="Q529" s="54"/>
      <c r="R529" s="55"/>
      <c r="S529" s="55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</row>
    <row r="530">
      <c r="A530" s="32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84"/>
      <c r="P530" s="54"/>
      <c r="Q530" s="54"/>
      <c r="R530" s="55"/>
      <c r="S530" s="55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</row>
    <row r="531">
      <c r="A531" s="32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84"/>
      <c r="P531" s="54"/>
      <c r="Q531" s="54"/>
      <c r="R531" s="55"/>
      <c r="S531" s="55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</row>
    <row r="532">
      <c r="A532" s="32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84"/>
      <c r="P532" s="54"/>
      <c r="Q532" s="54"/>
      <c r="R532" s="55"/>
      <c r="S532" s="55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</row>
    <row r="533">
      <c r="A533" s="32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84"/>
      <c r="P533" s="54"/>
      <c r="Q533" s="54"/>
      <c r="R533" s="55"/>
      <c r="S533" s="55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</row>
    <row r="534">
      <c r="A534" s="32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84"/>
      <c r="P534" s="54"/>
      <c r="Q534" s="54"/>
      <c r="R534" s="55"/>
      <c r="S534" s="55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</row>
    <row r="535">
      <c r="A535" s="32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84"/>
      <c r="P535" s="54"/>
      <c r="Q535" s="54"/>
      <c r="R535" s="55"/>
      <c r="S535" s="55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</row>
    <row r="536">
      <c r="A536" s="32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84"/>
      <c r="P536" s="54"/>
      <c r="Q536" s="54"/>
      <c r="R536" s="55"/>
      <c r="S536" s="55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</row>
    <row r="537">
      <c r="A537" s="32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84"/>
      <c r="P537" s="54"/>
      <c r="Q537" s="54"/>
      <c r="R537" s="55"/>
      <c r="S537" s="55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</row>
    <row r="538">
      <c r="A538" s="32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84"/>
      <c r="P538" s="54"/>
      <c r="Q538" s="54"/>
      <c r="R538" s="55"/>
      <c r="S538" s="55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</row>
    <row r="539">
      <c r="A539" s="32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84"/>
      <c r="P539" s="54"/>
      <c r="Q539" s="54"/>
      <c r="R539" s="55"/>
      <c r="S539" s="55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</row>
    <row r="540">
      <c r="A540" s="32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84"/>
      <c r="P540" s="54"/>
      <c r="Q540" s="54"/>
      <c r="R540" s="55"/>
      <c r="S540" s="55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</row>
    <row r="541">
      <c r="A541" s="32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84"/>
      <c r="P541" s="54"/>
      <c r="Q541" s="54"/>
      <c r="R541" s="55"/>
      <c r="S541" s="55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</row>
    <row r="542">
      <c r="A542" s="32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84"/>
      <c r="P542" s="54"/>
      <c r="Q542" s="54"/>
      <c r="R542" s="55"/>
      <c r="S542" s="55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</row>
    <row r="543">
      <c r="A543" s="32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84"/>
      <c r="P543" s="54"/>
      <c r="Q543" s="54"/>
      <c r="R543" s="55"/>
      <c r="S543" s="55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</row>
    <row r="544">
      <c r="A544" s="32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84"/>
      <c r="P544" s="54"/>
      <c r="Q544" s="54"/>
      <c r="R544" s="55"/>
      <c r="S544" s="55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</row>
    <row r="545">
      <c r="A545" s="32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84"/>
      <c r="P545" s="54"/>
      <c r="Q545" s="54"/>
      <c r="R545" s="55"/>
      <c r="S545" s="55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</row>
    <row r="546">
      <c r="A546" s="32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84"/>
      <c r="P546" s="54"/>
      <c r="Q546" s="54"/>
      <c r="R546" s="55"/>
      <c r="S546" s="55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</row>
    <row r="547">
      <c r="A547" s="32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84"/>
      <c r="P547" s="54"/>
      <c r="Q547" s="54"/>
      <c r="R547" s="55"/>
      <c r="S547" s="55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</row>
    <row r="548">
      <c r="A548" s="32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84"/>
      <c r="P548" s="54"/>
      <c r="Q548" s="54"/>
      <c r="R548" s="55"/>
      <c r="S548" s="55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</row>
    <row r="549">
      <c r="A549" s="32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84"/>
      <c r="P549" s="54"/>
      <c r="Q549" s="54"/>
      <c r="R549" s="55"/>
      <c r="S549" s="55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</row>
    <row r="550">
      <c r="A550" s="32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84"/>
      <c r="P550" s="54"/>
      <c r="Q550" s="54"/>
      <c r="R550" s="55"/>
      <c r="S550" s="55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</row>
    <row r="551">
      <c r="A551" s="32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84"/>
      <c r="P551" s="54"/>
      <c r="Q551" s="54"/>
      <c r="R551" s="55"/>
      <c r="S551" s="55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</row>
    <row r="552">
      <c r="A552" s="32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84"/>
      <c r="P552" s="54"/>
      <c r="Q552" s="54"/>
      <c r="R552" s="55"/>
      <c r="S552" s="55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</row>
    <row r="553">
      <c r="A553" s="32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84"/>
      <c r="P553" s="54"/>
      <c r="Q553" s="54"/>
      <c r="R553" s="55"/>
      <c r="S553" s="55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</row>
    <row r="554">
      <c r="A554" s="32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84"/>
      <c r="P554" s="54"/>
      <c r="Q554" s="54"/>
      <c r="R554" s="55"/>
      <c r="S554" s="55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</row>
    <row r="555">
      <c r="A555" s="32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84"/>
      <c r="P555" s="54"/>
      <c r="Q555" s="54"/>
      <c r="R555" s="55"/>
      <c r="S555" s="55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</row>
    <row r="556">
      <c r="A556" s="32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84"/>
      <c r="P556" s="54"/>
      <c r="Q556" s="54"/>
      <c r="R556" s="55"/>
      <c r="S556" s="55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</row>
    <row r="557">
      <c r="A557" s="32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84"/>
      <c r="P557" s="54"/>
      <c r="Q557" s="54"/>
      <c r="R557" s="55"/>
      <c r="S557" s="55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</row>
    <row r="558">
      <c r="A558" s="32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84"/>
      <c r="P558" s="54"/>
      <c r="Q558" s="54"/>
      <c r="R558" s="55"/>
      <c r="S558" s="55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</row>
    <row r="559">
      <c r="A559" s="32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84"/>
      <c r="P559" s="54"/>
      <c r="Q559" s="54"/>
      <c r="R559" s="55"/>
      <c r="S559" s="55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</row>
    <row r="560">
      <c r="A560" s="32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84"/>
      <c r="P560" s="54"/>
      <c r="Q560" s="54"/>
      <c r="R560" s="55"/>
      <c r="S560" s="55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</row>
    <row r="561">
      <c r="A561" s="32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84"/>
      <c r="P561" s="54"/>
      <c r="Q561" s="54"/>
      <c r="R561" s="55"/>
      <c r="S561" s="55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</row>
    <row r="562">
      <c r="A562" s="32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84"/>
      <c r="P562" s="54"/>
      <c r="Q562" s="54"/>
      <c r="R562" s="55"/>
      <c r="S562" s="55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</row>
    <row r="563">
      <c r="A563" s="32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84"/>
      <c r="P563" s="54"/>
      <c r="Q563" s="54"/>
      <c r="R563" s="55"/>
      <c r="S563" s="55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</row>
    <row r="564">
      <c r="A564" s="32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84"/>
      <c r="P564" s="54"/>
      <c r="Q564" s="54"/>
      <c r="R564" s="55"/>
      <c r="S564" s="55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</row>
    <row r="565">
      <c r="A565" s="32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84"/>
      <c r="P565" s="54"/>
      <c r="Q565" s="54"/>
      <c r="R565" s="55"/>
      <c r="S565" s="55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</row>
    <row r="566">
      <c r="A566" s="32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84"/>
      <c r="P566" s="54"/>
      <c r="Q566" s="54"/>
      <c r="R566" s="55"/>
      <c r="S566" s="55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</row>
    <row r="567">
      <c r="A567" s="32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84"/>
      <c r="P567" s="54"/>
      <c r="Q567" s="54"/>
      <c r="R567" s="55"/>
      <c r="S567" s="55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</row>
    <row r="568">
      <c r="A568" s="32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84"/>
      <c r="P568" s="54"/>
      <c r="Q568" s="54"/>
      <c r="R568" s="55"/>
      <c r="S568" s="55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</row>
    <row r="569">
      <c r="A569" s="32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84"/>
      <c r="P569" s="54"/>
      <c r="Q569" s="54"/>
      <c r="R569" s="55"/>
      <c r="S569" s="55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</row>
    <row r="570">
      <c r="A570" s="32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84"/>
      <c r="P570" s="54"/>
      <c r="Q570" s="54"/>
      <c r="R570" s="55"/>
      <c r="S570" s="55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</row>
    <row r="571">
      <c r="A571" s="32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84"/>
      <c r="P571" s="54"/>
      <c r="Q571" s="54"/>
      <c r="R571" s="55"/>
      <c r="S571" s="55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</row>
    <row r="572">
      <c r="A572" s="32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84"/>
      <c r="P572" s="54"/>
      <c r="Q572" s="54"/>
      <c r="R572" s="55"/>
      <c r="S572" s="55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</row>
    <row r="573">
      <c r="A573" s="32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84"/>
      <c r="P573" s="54"/>
      <c r="Q573" s="54"/>
      <c r="R573" s="55"/>
      <c r="S573" s="55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</row>
    <row r="574">
      <c r="A574" s="32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84"/>
      <c r="P574" s="54"/>
      <c r="Q574" s="54"/>
      <c r="R574" s="55"/>
      <c r="S574" s="55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</row>
    <row r="575">
      <c r="A575" s="32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84"/>
      <c r="P575" s="54"/>
      <c r="Q575" s="54"/>
      <c r="R575" s="55"/>
      <c r="S575" s="55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</row>
    <row r="576">
      <c r="A576" s="32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84"/>
      <c r="P576" s="54"/>
      <c r="Q576" s="54"/>
      <c r="R576" s="55"/>
      <c r="S576" s="55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</row>
    <row r="577">
      <c r="A577" s="32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84"/>
      <c r="P577" s="54"/>
      <c r="Q577" s="54"/>
      <c r="R577" s="55"/>
      <c r="S577" s="55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</row>
    <row r="578">
      <c r="A578" s="32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84"/>
      <c r="P578" s="54"/>
      <c r="Q578" s="54"/>
      <c r="R578" s="55"/>
      <c r="S578" s="55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</row>
    <row r="579">
      <c r="A579" s="32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84"/>
      <c r="P579" s="54"/>
      <c r="Q579" s="54"/>
      <c r="R579" s="55"/>
      <c r="S579" s="55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</row>
    <row r="580">
      <c r="A580" s="32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84"/>
      <c r="P580" s="54"/>
      <c r="Q580" s="54"/>
      <c r="R580" s="55"/>
      <c r="S580" s="55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</row>
    <row r="581">
      <c r="A581" s="32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84"/>
      <c r="P581" s="54"/>
      <c r="Q581" s="54"/>
      <c r="R581" s="55"/>
      <c r="S581" s="55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</row>
    <row r="582">
      <c r="A582" s="32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84"/>
      <c r="P582" s="54"/>
      <c r="Q582" s="54"/>
      <c r="R582" s="55"/>
      <c r="S582" s="55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</row>
    <row r="583">
      <c r="A583" s="32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84"/>
      <c r="P583" s="54"/>
      <c r="Q583" s="54"/>
      <c r="R583" s="55"/>
      <c r="S583" s="55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</row>
    <row r="584">
      <c r="A584" s="32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84"/>
      <c r="P584" s="54"/>
      <c r="Q584" s="54"/>
      <c r="R584" s="55"/>
      <c r="S584" s="55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</row>
    <row r="585">
      <c r="A585" s="32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84"/>
      <c r="P585" s="54"/>
      <c r="Q585" s="54"/>
      <c r="R585" s="55"/>
      <c r="S585" s="55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</row>
    <row r="586">
      <c r="A586" s="32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84"/>
      <c r="P586" s="54"/>
      <c r="Q586" s="54"/>
      <c r="R586" s="55"/>
      <c r="S586" s="55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</row>
    <row r="587">
      <c r="A587" s="32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84"/>
      <c r="P587" s="54"/>
      <c r="Q587" s="54"/>
      <c r="R587" s="55"/>
      <c r="S587" s="55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</row>
    <row r="588">
      <c r="A588" s="32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84"/>
      <c r="P588" s="54"/>
      <c r="Q588" s="54"/>
      <c r="R588" s="55"/>
      <c r="S588" s="55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</row>
    <row r="589">
      <c r="A589" s="32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84"/>
      <c r="P589" s="54"/>
      <c r="Q589" s="54"/>
      <c r="R589" s="55"/>
      <c r="S589" s="55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</row>
    <row r="590">
      <c r="A590" s="32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84"/>
      <c r="P590" s="54"/>
      <c r="Q590" s="54"/>
      <c r="R590" s="55"/>
      <c r="S590" s="55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</row>
    <row r="591">
      <c r="A591" s="32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84"/>
      <c r="P591" s="54"/>
      <c r="Q591" s="54"/>
      <c r="R591" s="55"/>
      <c r="S591" s="55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</row>
    <row r="592">
      <c r="A592" s="32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84"/>
      <c r="P592" s="54"/>
      <c r="Q592" s="54"/>
      <c r="R592" s="55"/>
      <c r="S592" s="55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</row>
    <row r="593">
      <c r="A593" s="32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84"/>
      <c r="P593" s="54"/>
      <c r="Q593" s="54"/>
      <c r="R593" s="55"/>
      <c r="S593" s="55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</row>
    <row r="594">
      <c r="A594" s="32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84"/>
      <c r="P594" s="54"/>
      <c r="Q594" s="54"/>
      <c r="R594" s="55"/>
      <c r="S594" s="55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</row>
    <row r="595">
      <c r="A595" s="32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84"/>
      <c r="P595" s="54"/>
      <c r="Q595" s="54"/>
      <c r="R595" s="55"/>
      <c r="S595" s="55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</row>
    <row r="596">
      <c r="A596" s="32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84"/>
      <c r="P596" s="54"/>
      <c r="Q596" s="54"/>
      <c r="R596" s="55"/>
      <c r="S596" s="55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</row>
    <row r="597">
      <c r="A597" s="32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84"/>
      <c r="P597" s="54"/>
      <c r="Q597" s="54"/>
      <c r="R597" s="55"/>
      <c r="S597" s="55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</row>
    <row r="598">
      <c r="A598" s="32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84"/>
      <c r="P598" s="54"/>
      <c r="Q598" s="54"/>
      <c r="R598" s="55"/>
      <c r="S598" s="55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</row>
    <row r="599">
      <c r="A599" s="32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84"/>
      <c r="P599" s="54"/>
      <c r="Q599" s="54"/>
      <c r="R599" s="55"/>
      <c r="S599" s="55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</row>
    <row r="600">
      <c r="A600" s="32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84"/>
      <c r="P600" s="54"/>
      <c r="Q600" s="54"/>
      <c r="R600" s="55"/>
      <c r="S600" s="55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</row>
    <row r="601">
      <c r="A601" s="32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84"/>
      <c r="P601" s="54"/>
      <c r="Q601" s="54"/>
      <c r="R601" s="55"/>
      <c r="S601" s="55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</row>
    <row r="602">
      <c r="A602" s="32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84"/>
      <c r="P602" s="54"/>
      <c r="Q602" s="54"/>
      <c r="R602" s="55"/>
      <c r="S602" s="55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</row>
    <row r="603">
      <c r="A603" s="32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84"/>
      <c r="P603" s="54"/>
      <c r="Q603" s="54"/>
      <c r="R603" s="55"/>
      <c r="S603" s="55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</row>
    <row r="604">
      <c r="A604" s="32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84"/>
      <c r="P604" s="54"/>
      <c r="Q604" s="54"/>
      <c r="R604" s="55"/>
      <c r="S604" s="55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</row>
    <row r="605">
      <c r="A605" s="32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84"/>
      <c r="P605" s="54"/>
      <c r="Q605" s="54"/>
      <c r="R605" s="55"/>
      <c r="S605" s="55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</row>
    <row r="606">
      <c r="A606" s="32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84"/>
      <c r="P606" s="54"/>
      <c r="Q606" s="54"/>
      <c r="R606" s="55"/>
      <c r="S606" s="55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</row>
    <row r="607">
      <c r="A607" s="32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84"/>
      <c r="P607" s="54"/>
      <c r="Q607" s="54"/>
      <c r="R607" s="55"/>
      <c r="S607" s="55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</row>
    <row r="608">
      <c r="A608" s="32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84"/>
      <c r="P608" s="54"/>
      <c r="Q608" s="54"/>
      <c r="R608" s="55"/>
      <c r="S608" s="55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</row>
    <row r="609">
      <c r="A609" s="32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84"/>
      <c r="P609" s="54"/>
      <c r="Q609" s="54"/>
      <c r="R609" s="55"/>
      <c r="S609" s="55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</row>
    <row r="610">
      <c r="A610" s="32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84"/>
      <c r="P610" s="54"/>
      <c r="Q610" s="54"/>
      <c r="R610" s="55"/>
      <c r="S610" s="55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</row>
    <row r="611">
      <c r="A611" s="32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84"/>
      <c r="P611" s="54"/>
      <c r="Q611" s="54"/>
      <c r="R611" s="55"/>
      <c r="S611" s="55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</row>
    <row r="612">
      <c r="A612" s="32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84"/>
      <c r="P612" s="54"/>
      <c r="Q612" s="54"/>
      <c r="R612" s="55"/>
      <c r="S612" s="55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</row>
    <row r="613">
      <c r="A613" s="32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84"/>
      <c r="P613" s="54"/>
      <c r="Q613" s="54"/>
      <c r="R613" s="55"/>
      <c r="S613" s="55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</row>
    <row r="614">
      <c r="A614" s="32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84"/>
      <c r="P614" s="54"/>
      <c r="Q614" s="54"/>
      <c r="R614" s="55"/>
      <c r="S614" s="55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</row>
    <row r="615">
      <c r="A615" s="32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84"/>
      <c r="P615" s="54"/>
      <c r="Q615" s="54"/>
      <c r="R615" s="55"/>
      <c r="S615" s="55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</row>
    <row r="616">
      <c r="A616" s="32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84"/>
      <c r="P616" s="54"/>
      <c r="Q616" s="54"/>
      <c r="R616" s="55"/>
      <c r="S616" s="55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</row>
    <row r="617">
      <c r="A617" s="32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84"/>
      <c r="P617" s="54"/>
      <c r="Q617" s="54"/>
      <c r="R617" s="55"/>
      <c r="S617" s="55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</row>
    <row r="618">
      <c r="A618" s="32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84"/>
      <c r="P618" s="54"/>
      <c r="Q618" s="54"/>
      <c r="R618" s="55"/>
      <c r="S618" s="55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</row>
    <row r="619">
      <c r="A619" s="32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84"/>
      <c r="P619" s="54"/>
      <c r="Q619" s="54"/>
      <c r="R619" s="55"/>
      <c r="S619" s="55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</row>
    <row r="620">
      <c r="A620" s="32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84"/>
      <c r="P620" s="54"/>
      <c r="Q620" s="54"/>
      <c r="R620" s="55"/>
      <c r="S620" s="55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</row>
    <row r="621">
      <c r="A621" s="32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84"/>
      <c r="P621" s="54"/>
      <c r="Q621" s="54"/>
      <c r="R621" s="55"/>
      <c r="S621" s="55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</row>
    <row r="622">
      <c r="A622" s="32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84"/>
      <c r="P622" s="54"/>
      <c r="Q622" s="54"/>
      <c r="R622" s="55"/>
      <c r="S622" s="55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</row>
    <row r="623">
      <c r="A623" s="32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84"/>
      <c r="P623" s="54"/>
      <c r="Q623" s="54"/>
      <c r="R623" s="55"/>
      <c r="S623" s="55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</row>
    <row r="624">
      <c r="A624" s="32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84"/>
      <c r="P624" s="54"/>
      <c r="Q624" s="54"/>
      <c r="R624" s="55"/>
      <c r="S624" s="55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</row>
    <row r="625">
      <c r="A625" s="32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84"/>
      <c r="P625" s="54"/>
      <c r="Q625" s="54"/>
      <c r="R625" s="55"/>
      <c r="S625" s="55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</row>
    <row r="626">
      <c r="A626" s="32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84"/>
      <c r="P626" s="54"/>
      <c r="Q626" s="54"/>
      <c r="R626" s="55"/>
      <c r="S626" s="55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</row>
    <row r="627">
      <c r="A627" s="32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84"/>
      <c r="P627" s="54"/>
      <c r="Q627" s="54"/>
      <c r="R627" s="55"/>
      <c r="S627" s="55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</row>
    <row r="628">
      <c r="A628" s="32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84"/>
      <c r="P628" s="54"/>
      <c r="Q628" s="54"/>
      <c r="R628" s="55"/>
      <c r="S628" s="55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</row>
    <row r="629">
      <c r="A629" s="32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84"/>
      <c r="P629" s="54"/>
      <c r="Q629" s="54"/>
      <c r="R629" s="55"/>
      <c r="S629" s="55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</row>
    <row r="630">
      <c r="A630" s="32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84"/>
      <c r="P630" s="54"/>
      <c r="Q630" s="54"/>
      <c r="R630" s="55"/>
      <c r="S630" s="55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</row>
    <row r="631">
      <c r="A631" s="32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84"/>
      <c r="P631" s="54"/>
      <c r="Q631" s="54"/>
      <c r="R631" s="55"/>
      <c r="S631" s="55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</row>
    <row r="632">
      <c r="A632" s="32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84"/>
      <c r="P632" s="54"/>
      <c r="Q632" s="54"/>
      <c r="R632" s="55"/>
      <c r="S632" s="55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</row>
    <row r="633">
      <c r="A633" s="32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84"/>
      <c r="P633" s="54"/>
      <c r="Q633" s="54"/>
      <c r="R633" s="55"/>
      <c r="S633" s="55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</row>
    <row r="634">
      <c r="A634" s="32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84"/>
      <c r="P634" s="54"/>
      <c r="Q634" s="54"/>
      <c r="R634" s="55"/>
      <c r="S634" s="55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</row>
    <row r="635">
      <c r="A635" s="32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84"/>
      <c r="P635" s="54"/>
      <c r="Q635" s="54"/>
      <c r="R635" s="55"/>
      <c r="S635" s="55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</row>
    <row r="636">
      <c r="A636" s="32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84"/>
      <c r="P636" s="54"/>
      <c r="Q636" s="54"/>
      <c r="R636" s="55"/>
      <c r="S636" s="55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</row>
    <row r="637">
      <c r="A637" s="32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84"/>
      <c r="P637" s="54"/>
      <c r="Q637" s="54"/>
      <c r="R637" s="55"/>
      <c r="S637" s="55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</row>
    <row r="638">
      <c r="A638" s="32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84"/>
      <c r="P638" s="54"/>
      <c r="Q638" s="54"/>
      <c r="R638" s="55"/>
      <c r="S638" s="55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</row>
    <row r="639">
      <c r="A639" s="32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84"/>
      <c r="P639" s="54"/>
      <c r="Q639" s="54"/>
      <c r="R639" s="55"/>
      <c r="S639" s="55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</row>
    <row r="640">
      <c r="A640" s="32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84"/>
      <c r="P640" s="54"/>
      <c r="Q640" s="54"/>
      <c r="R640" s="55"/>
      <c r="S640" s="55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</row>
    <row r="641">
      <c r="A641" s="32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84"/>
      <c r="P641" s="54"/>
      <c r="Q641" s="54"/>
      <c r="R641" s="55"/>
      <c r="S641" s="55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</row>
    <row r="642">
      <c r="A642" s="32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84"/>
      <c r="P642" s="54"/>
      <c r="Q642" s="54"/>
      <c r="R642" s="55"/>
      <c r="S642" s="55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</row>
    <row r="643">
      <c r="A643" s="32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84"/>
      <c r="P643" s="54"/>
      <c r="Q643" s="54"/>
      <c r="R643" s="55"/>
      <c r="S643" s="55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</row>
    <row r="644">
      <c r="A644" s="32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84"/>
      <c r="P644" s="54"/>
      <c r="Q644" s="54"/>
      <c r="R644" s="55"/>
      <c r="S644" s="55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</row>
    <row r="645">
      <c r="A645" s="32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84"/>
      <c r="P645" s="54"/>
      <c r="Q645" s="54"/>
      <c r="R645" s="55"/>
      <c r="S645" s="55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</row>
    <row r="646">
      <c r="A646" s="32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84"/>
      <c r="P646" s="54"/>
      <c r="Q646" s="54"/>
      <c r="R646" s="55"/>
      <c r="S646" s="55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</row>
    <row r="647">
      <c r="A647" s="32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84"/>
      <c r="P647" s="54"/>
      <c r="Q647" s="54"/>
      <c r="R647" s="55"/>
      <c r="S647" s="55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</row>
    <row r="648">
      <c r="A648" s="32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84"/>
      <c r="P648" s="54"/>
      <c r="Q648" s="54"/>
      <c r="R648" s="55"/>
      <c r="S648" s="55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</row>
    <row r="649">
      <c r="A649" s="32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84"/>
      <c r="P649" s="54"/>
      <c r="Q649" s="54"/>
      <c r="R649" s="55"/>
      <c r="S649" s="55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</row>
    <row r="650">
      <c r="A650" s="32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84"/>
      <c r="P650" s="54"/>
      <c r="Q650" s="54"/>
      <c r="R650" s="55"/>
      <c r="S650" s="55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</row>
    <row r="651">
      <c r="A651" s="32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84"/>
      <c r="P651" s="54"/>
      <c r="Q651" s="54"/>
      <c r="R651" s="55"/>
      <c r="S651" s="55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</row>
    <row r="652">
      <c r="A652" s="32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84"/>
      <c r="P652" s="54"/>
      <c r="Q652" s="54"/>
      <c r="R652" s="55"/>
      <c r="S652" s="55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</row>
    <row r="653">
      <c r="A653" s="32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84"/>
      <c r="P653" s="54"/>
      <c r="Q653" s="54"/>
      <c r="R653" s="55"/>
      <c r="S653" s="55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</row>
    <row r="654">
      <c r="A654" s="32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84"/>
      <c r="P654" s="54"/>
      <c r="Q654" s="54"/>
      <c r="R654" s="55"/>
      <c r="S654" s="55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</row>
    <row r="655">
      <c r="A655" s="32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84"/>
      <c r="P655" s="54"/>
      <c r="Q655" s="54"/>
      <c r="R655" s="55"/>
      <c r="S655" s="55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</row>
    <row r="656">
      <c r="A656" s="32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84"/>
      <c r="P656" s="54"/>
      <c r="Q656" s="54"/>
      <c r="R656" s="55"/>
      <c r="S656" s="55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</row>
    <row r="657">
      <c r="A657" s="32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84"/>
      <c r="P657" s="54"/>
      <c r="Q657" s="54"/>
      <c r="R657" s="55"/>
      <c r="S657" s="55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</row>
    <row r="658">
      <c r="A658" s="32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84"/>
      <c r="P658" s="54"/>
      <c r="Q658" s="54"/>
      <c r="R658" s="55"/>
      <c r="S658" s="55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</row>
    <row r="659">
      <c r="A659" s="32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84"/>
      <c r="P659" s="54"/>
      <c r="Q659" s="54"/>
      <c r="R659" s="55"/>
      <c r="S659" s="55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</row>
    <row r="660">
      <c r="A660" s="32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84"/>
      <c r="P660" s="54"/>
      <c r="Q660" s="54"/>
      <c r="R660" s="55"/>
      <c r="S660" s="55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</row>
    <row r="661">
      <c r="A661" s="32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84"/>
      <c r="P661" s="54"/>
      <c r="Q661" s="54"/>
      <c r="R661" s="55"/>
      <c r="S661" s="55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</row>
    <row r="662">
      <c r="A662" s="32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84"/>
      <c r="P662" s="54"/>
      <c r="Q662" s="54"/>
      <c r="R662" s="55"/>
      <c r="S662" s="55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</row>
    <row r="663">
      <c r="A663" s="32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84"/>
      <c r="P663" s="54"/>
      <c r="Q663" s="54"/>
      <c r="R663" s="55"/>
      <c r="S663" s="55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</row>
    <row r="664">
      <c r="A664" s="32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84"/>
      <c r="P664" s="54"/>
      <c r="Q664" s="54"/>
      <c r="R664" s="55"/>
      <c r="S664" s="55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</row>
    <row r="665">
      <c r="A665" s="32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84"/>
      <c r="P665" s="54"/>
      <c r="Q665" s="54"/>
      <c r="R665" s="55"/>
      <c r="S665" s="55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</row>
    <row r="666">
      <c r="A666" s="32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84"/>
      <c r="P666" s="54"/>
      <c r="Q666" s="54"/>
      <c r="R666" s="55"/>
      <c r="S666" s="55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</row>
    <row r="667">
      <c r="A667" s="32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84"/>
      <c r="P667" s="54"/>
      <c r="Q667" s="54"/>
      <c r="R667" s="55"/>
      <c r="S667" s="55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</row>
    <row r="668">
      <c r="A668" s="32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84"/>
      <c r="P668" s="54"/>
      <c r="Q668" s="54"/>
      <c r="R668" s="55"/>
      <c r="S668" s="55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</row>
    <row r="669">
      <c r="A669" s="32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84"/>
      <c r="P669" s="54"/>
      <c r="Q669" s="54"/>
      <c r="R669" s="55"/>
      <c r="S669" s="55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</row>
    <row r="670">
      <c r="A670" s="32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84"/>
      <c r="P670" s="54"/>
      <c r="Q670" s="54"/>
      <c r="R670" s="55"/>
      <c r="S670" s="55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</row>
    <row r="671">
      <c r="A671" s="32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84"/>
      <c r="P671" s="54"/>
      <c r="Q671" s="54"/>
      <c r="R671" s="55"/>
      <c r="S671" s="55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</row>
    <row r="672">
      <c r="A672" s="32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84"/>
      <c r="P672" s="54"/>
      <c r="Q672" s="54"/>
      <c r="R672" s="55"/>
      <c r="S672" s="55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</row>
    <row r="673">
      <c r="A673" s="32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84"/>
      <c r="P673" s="54"/>
      <c r="Q673" s="54"/>
      <c r="R673" s="55"/>
      <c r="S673" s="55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</row>
    <row r="674">
      <c r="A674" s="32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84"/>
      <c r="P674" s="54"/>
      <c r="Q674" s="54"/>
      <c r="R674" s="55"/>
      <c r="S674" s="55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</row>
    <row r="675">
      <c r="A675" s="32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84"/>
      <c r="P675" s="54"/>
      <c r="Q675" s="54"/>
      <c r="R675" s="55"/>
      <c r="S675" s="55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</row>
    <row r="676">
      <c r="A676" s="32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84"/>
      <c r="P676" s="54"/>
      <c r="Q676" s="54"/>
      <c r="R676" s="55"/>
      <c r="S676" s="55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</row>
    <row r="677">
      <c r="A677" s="32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84"/>
      <c r="P677" s="54"/>
      <c r="Q677" s="54"/>
      <c r="R677" s="55"/>
      <c r="S677" s="55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</row>
    <row r="678">
      <c r="A678" s="32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84"/>
      <c r="P678" s="54"/>
      <c r="Q678" s="54"/>
      <c r="R678" s="55"/>
      <c r="S678" s="55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</row>
    <row r="679">
      <c r="A679" s="32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84"/>
      <c r="P679" s="54"/>
      <c r="Q679" s="54"/>
      <c r="R679" s="55"/>
      <c r="S679" s="55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</row>
    <row r="680">
      <c r="A680" s="32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84"/>
      <c r="P680" s="54"/>
      <c r="Q680" s="54"/>
      <c r="R680" s="55"/>
      <c r="S680" s="55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</row>
    <row r="681">
      <c r="A681" s="32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84"/>
      <c r="P681" s="54"/>
      <c r="Q681" s="54"/>
      <c r="R681" s="55"/>
      <c r="S681" s="55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</row>
    <row r="682">
      <c r="A682" s="32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84"/>
      <c r="P682" s="54"/>
      <c r="Q682" s="54"/>
      <c r="R682" s="55"/>
      <c r="S682" s="55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</row>
    <row r="683">
      <c r="A683" s="32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84"/>
      <c r="P683" s="54"/>
      <c r="Q683" s="54"/>
      <c r="R683" s="55"/>
      <c r="S683" s="55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</row>
    <row r="684">
      <c r="A684" s="32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84"/>
      <c r="P684" s="54"/>
      <c r="Q684" s="54"/>
      <c r="R684" s="55"/>
      <c r="S684" s="55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</row>
    <row r="685">
      <c r="A685" s="32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84"/>
      <c r="P685" s="54"/>
      <c r="Q685" s="54"/>
      <c r="R685" s="55"/>
      <c r="S685" s="55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</row>
    <row r="686">
      <c r="A686" s="32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84"/>
      <c r="P686" s="54"/>
      <c r="Q686" s="54"/>
      <c r="R686" s="55"/>
      <c r="S686" s="55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</row>
    <row r="687">
      <c r="A687" s="32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84"/>
      <c r="P687" s="54"/>
      <c r="Q687" s="54"/>
      <c r="R687" s="55"/>
      <c r="S687" s="55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</row>
    <row r="688">
      <c r="A688" s="32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84"/>
      <c r="P688" s="54"/>
      <c r="Q688" s="54"/>
      <c r="R688" s="55"/>
      <c r="S688" s="55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</row>
    <row r="689">
      <c r="A689" s="32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84"/>
      <c r="P689" s="54"/>
      <c r="Q689" s="54"/>
      <c r="R689" s="55"/>
      <c r="S689" s="55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</row>
    <row r="690">
      <c r="A690" s="32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84"/>
      <c r="P690" s="54"/>
      <c r="Q690" s="54"/>
      <c r="R690" s="55"/>
      <c r="S690" s="55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</row>
    <row r="691">
      <c r="A691" s="32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84"/>
      <c r="P691" s="54"/>
      <c r="Q691" s="54"/>
      <c r="R691" s="55"/>
      <c r="S691" s="55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</row>
    <row r="692">
      <c r="A692" s="32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84"/>
      <c r="P692" s="54"/>
      <c r="Q692" s="54"/>
      <c r="R692" s="55"/>
      <c r="S692" s="55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</row>
    <row r="693">
      <c r="A693" s="32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84"/>
      <c r="P693" s="54"/>
      <c r="Q693" s="54"/>
      <c r="R693" s="55"/>
      <c r="S693" s="55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</row>
    <row r="694">
      <c r="A694" s="32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84"/>
      <c r="P694" s="54"/>
      <c r="Q694" s="54"/>
      <c r="R694" s="55"/>
      <c r="S694" s="55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</row>
    <row r="695">
      <c r="A695" s="32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84"/>
      <c r="P695" s="54"/>
      <c r="Q695" s="54"/>
      <c r="R695" s="55"/>
      <c r="S695" s="55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</row>
    <row r="696">
      <c r="A696" s="32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84"/>
      <c r="P696" s="54"/>
      <c r="Q696" s="54"/>
      <c r="R696" s="55"/>
      <c r="S696" s="55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</row>
    <row r="697">
      <c r="A697" s="32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84"/>
      <c r="P697" s="54"/>
      <c r="Q697" s="54"/>
      <c r="R697" s="55"/>
      <c r="S697" s="55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</row>
    <row r="698">
      <c r="A698" s="32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84"/>
      <c r="P698" s="54"/>
      <c r="Q698" s="54"/>
      <c r="R698" s="55"/>
      <c r="S698" s="55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</row>
    <row r="699">
      <c r="A699" s="32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84"/>
      <c r="P699" s="54"/>
      <c r="Q699" s="54"/>
      <c r="R699" s="55"/>
      <c r="S699" s="55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</row>
    <row r="700">
      <c r="A700" s="32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84"/>
      <c r="P700" s="54"/>
      <c r="Q700" s="54"/>
      <c r="R700" s="55"/>
      <c r="S700" s="55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</row>
    <row r="701">
      <c r="A701" s="32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84"/>
      <c r="P701" s="54"/>
      <c r="Q701" s="54"/>
      <c r="R701" s="55"/>
      <c r="S701" s="55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</row>
    <row r="702">
      <c r="A702" s="32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84"/>
      <c r="P702" s="54"/>
      <c r="Q702" s="54"/>
      <c r="R702" s="55"/>
      <c r="S702" s="55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</row>
    <row r="703">
      <c r="A703" s="32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84"/>
      <c r="P703" s="54"/>
      <c r="Q703" s="54"/>
      <c r="R703" s="55"/>
      <c r="S703" s="55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</row>
    <row r="704">
      <c r="A704" s="32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84"/>
      <c r="P704" s="54"/>
      <c r="Q704" s="54"/>
      <c r="R704" s="55"/>
      <c r="S704" s="55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</row>
    <row r="705">
      <c r="A705" s="32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84"/>
      <c r="P705" s="54"/>
      <c r="Q705" s="54"/>
      <c r="R705" s="55"/>
      <c r="S705" s="55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</row>
    <row r="706">
      <c r="A706" s="32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84"/>
      <c r="P706" s="54"/>
      <c r="Q706" s="54"/>
      <c r="R706" s="55"/>
      <c r="S706" s="55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</row>
    <row r="707">
      <c r="A707" s="32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84"/>
      <c r="P707" s="54"/>
      <c r="Q707" s="54"/>
      <c r="R707" s="55"/>
      <c r="S707" s="55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</row>
    <row r="708">
      <c r="A708" s="32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84"/>
      <c r="P708" s="54"/>
      <c r="Q708" s="54"/>
      <c r="R708" s="55"/>
      <c r="S708" s="55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</row>
    <row r="709">
      <c r="A709" s="32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84"/>
      <c r="P709" s="54"/>
      <c r="Q709" s="54"/>
      <c r="R709" s="55"/>
      <c r="S709" s="55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</row>
    <row r="710">
      <c r="A710" s="32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84"/>
      <c r="P710" s="54"/>
      <c r="Q710" s="54"/>
      <c r="R710" s="55"/>
      <c r="S710" s="55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</row>
    <row r="711">
      <c r="A711" s="32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84"/>
      <c r="P711" s="54"/>
      <c r="Q711" s="54"/>
      <c r="R711" s="55"/>
      <c r="S711" s="55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</row>
    <row r="712">
      <c r="A712" s="32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84"/>
      <c r="P712" s="54"/>
      <c r="Q712" s="54"/>
      <c r="R712" s="55"/>
      <c r="S712" s="55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</row>
    <row r="713">
      <c r="A713" s="32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84"/>
      <c r="P713" s="54"/>
      <c r="Q713" s="54"/>
      <c r="R713" s="55"/>
      <c r="S713" s="55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</row>
    <row r="714">
      <c r="A714" s="32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84"/>
      <c r="P714" s="54"/>
      <c r="Q714" s="54"/>
      <c r="R714" s="55"/>
      <c r="S714" s="55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</row>
    <row r="715">
      <c r="A715" s="32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84"/>
      <c r="P715" s="54"/>
      <c r="Q715" s="54"/>
      <c r="R715" s="55"/>
      <c r="S715" s="55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</row>
    <row r="716">
      <c r="A716" s="32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84"/>
      <c r="P716" s="54"/>
      <c r="Q716" s="54"/>
      <c r="R716" s="55"/>
      <c r="S716" s="55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</row>
    <row r="717">
      <c r="A717" s="32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84"/>
      <c r="P717" s="54"/>
      <c r="Q717" s="54"/>
      <c r="R717" s="55"/>
      <c r="S717" s="55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</row>
    <row r="718">
      <c r="A718" s="32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84"/>
      <c r="P718" s="54"/>
      <c r="Q718" s="54"/>
      <c r="R718" s="55"/>
      <c r="S718" s="55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</row>
    <row r="719">
      <c r="A719" s="32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84"/>
      <c r="P719" s="54"/>
      <c r="Q719" s="54"/>
      <c r="R719" s="55"/>
      <c r="S719" s="55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</row>
    <row r="720">
      <c r="A720" s="32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84"/>
      <c r="P720" s="54"/>
      <c r="Q720" s="54"/>
      <c r="R720" s="55"/>
      <c r="S720" s="55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</row>
    <row r="721">
      <c r="A721" s="32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84"/>
      <c r="P721" s="54"/>
      <c r="Q721" s="54"/>
      <c r="R721" s="55"/>
      <c r="S721" s="55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</row>
    <row r="722">
      <c r="A722" s="32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84"/>
      <c r="P722" s="54"/>
      <c r="Q722" s="54"/>
      <c r="R722" s="55"/>
      <c r="S722" s="55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</row>
    <row r="723">
      <c r="A723" s="32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84"/>
      <c r="P723" s="54"/>
      <c r="Q723" s="54"/>
      <c r="R723" s="55"/>
      <c r="S723" s="55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</row>
    <row r="724">
      <c r="A724" s="32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84"/>
      <c r="P724" s="54"/>
      <c r="Q724" s="54"/>
      <c r="R724" s="55"/>
      <c r="S724" s="55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</row>
    <row r="725">
      <c r="A725" s="32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84"/>
      <c r="P725" s="54"/>
      <c r="Q725" s="54"/>
      <c r="R725" s="55"/>
      <c r="S725" s="55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</row>
    <row r="726">
      <c r="A726" s="32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84"/>
      <c r="P726" s="54"/>
      <c r="Q726" s="54"/>
      <c r="R726" s="55"/>
      <c r="S726" s="55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</row>
    <row r="727">
      <c r="A727" s="32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84"/>
      <c r="P727" s="54"/>
      <c r="Q727" s="54"/>
      <c r="R727" s="55"/>
      <c r="S727" s="55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</row>
    <row r="728">
      <c r="A728" s="32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84"/>
      <c r="P728" s="54"/>
      <c r="Q728" s="54"/>
      <c r="R728" s="55"/>
      <c r="S728" s="55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</row>
    <row r="729">
      <c r="A729" s="32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84"/>
      <c r="P729" s="54"/>
      <c r="Q729" s="54"/>
      <c r="R729" s="55"/>
      <c r="S729" s="55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</row>
    <row r="730">
      <c r="A730" s="32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84"/>
      <c r="P730" s="54"/>
      <c r="Q730" s="54"/>
      <c r="R730" s="55"/>
      <c r="S730" s="55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</row>
    <row r="731">
      <c r="A731" s="32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84"/>
      <c r="P731" s="54"/>
      <c r="Q731" s="54"/>
      <c r="R731" s="55"/>
      <c r="S731" s="55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</row>
    <row r="732">
      <c r="A732" s="32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84"/>
      <c r="P732" s="54"/>
      <c r="Q732" s="54"/>
      <c r="R732" s="55"/>
      <c r="S732" s="55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</row>
    <row r="733">
      <c r="A733" s="32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84"/>
      <c r="P733" s="54"/>
      <c r="Q733" s="54"/>
      <c r="R733" s="55"/>
      <c r="S733" s="55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</row>
    <row r="734">
      <c r="A734" s="32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84"/>
      <c r="P734" s="54"/>
      <c r="Q734" s="54"/>
      <c r="R734" s="55"/>
      <c r="S734" s="55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</row>
    <row r="735">
      <c r="A735" s="32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84"/>
      <c r="P735" s="54"/>
      <c r="Q735" s="54"/>
      <c r="R735" s="55"/>
      <c r="S735" s="55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</row>
    <row r="736">
      <c r="A736" s="32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84"/>
      <c r="P736" s="54"/>
      <c r="Q736" s="54"/>
      <c r="R736" s="55"/>
      <c r="S736" s="55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</row>
    <row r="737">
      <c r="A737" s="32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84"/>
      <c r="P737" s="54"/>
      <c r="Q737" s="54"/>
      <c r="R737" s="55"/>
      <c r="S737" s="55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</row>
    <row r="738">
      <c r="A738" s="32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84"/>
      <c r="P738" s="54"/>
      <c r="Q738" s="54"/>
      <c r="R738" s="55"/>
      <c r="S738" s="55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</row>
    <row r="739">
      <c r="A739" s="32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84"/>
      <c r="P739" s="54"/>
      <c r="Q739" s="54"/>
      <c r="R739" s="55"/>
      <c r="S739" s="55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</row>
    <row r="740">
      <c r="A740" s="32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84"/>
      <c r="P740" s="54"/>
      <c r="Q740" s="54"/>
      <c r="R740" s="55"/>
      <c r="S740" s="55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</row>
    <row r="741">
      <c r="A741" s="32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84"/>
      <c r="P741" s="54"/>
      <c r="Q741" s="54"/>
      <c r="R741" s="55"/>
      <c r="S741" s="55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</row>
    <row r="742">
      <c r="A742" s="32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84"/>
      <c r="P742" s="54"/>
      <c r="Q742" s="54"/>
      <c r="R742" s="55"/>
      <c r="S742" s="55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</row>
    <row r="743">
      <c r="A743" s="32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84"/>
      <c r="P743" s="54"/>
      <c r="Q743" s="54"/>
      <c r="R743" s="55"/>
      <c r="S743" s="55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</row>
    <row r="744">
      <c r="A744" s="32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84"/>
      <c r="P744" s="54"/>
      <c r="Q744" s="54"/>
      <c r="R744" s="55"/>
      <c r="S744" s="55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</row>
    <row r="745">
      <c r="A745" s="32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84"/>
      <c r="P745" s="54"/>
      <c r="Q745" s="54"/>
      <c r="R745" s="55"/>
      <c r="S745" s="55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</row>
    <row r="746">
      <c r="A746" s="32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84"/>
      <c r="P746" s="54"/>
      <c r="Q746" s="54"/>
      <c r="R746" s="55"/>
      <c r="S746" s="55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</row>
    <row r="747">
      <c r="A747" s="32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84"/>
      <c r="P747" s="54"/>
      <c r="Q747" s="54"/>
      <c r="R747" s="55"/>
      <c r="S747" s="55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</row>
    <row r="748">
      <c r="A748" s="32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84"/>
      <c r="P748" s="54"/>
      <c r="Q748" s="54"/>
      <c r="R748" s="55"/>
      <c r="S748" s="55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</row>
    <row r="749">
      <c r="A749" s="32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84"/>
      <c r="P749" s="54"/>
      <c r="Q749" s="54"/>
      <c r="R749" s="55"/>
      <c r="S749" s="55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</row>
    <row r="750">
      <c r="A750" s="32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84"/>
      <c r="P750" s="54"/>
      <c r="Q750" s="54"/>
      <c r="R750" s="55"/>
      <c r="S750" s="55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</row>
    <row r="751">
      <c r="A751" s="32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84"/>
      <c r="P751" s="54"/>
      <c r="Q751" s="54"/>
      <c r="R751" s="55"/>
      <c r="S751" s="55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</row>
    <row r="752">
      <c r="A752" s="32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84"/>
      <c r="P752" s="54"/>
      <c r="Q752" s="54"/>
      <c r="R752" s="55"/>
      <c r="S752" s="55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</row>
    <row r="753">
      <c r="A753" s="32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84"/>
      <c r="P753" s="54"/>
      <c r="Q753" s="54"/>
      <c r="R753" s="55"/>
      <c r="S753" s="55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</row>
    <row r="754">
      <c r="A754" s="32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84"/>
      <c r="P754" s="54"/>
      <c r="Q754" s="54"/>
      <c r="R754" s="55"/>
      <c r="S754" s="55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</row>
    <row r="755">
      <c r="A755" s="32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84"/>
      <c r="P755" s="54"/>
      <c r="Q755" s="54"/>
      <c r="R755" s="55"/>
      <c r="S755" s="55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</row>
    <row r="756">
      <c r="A756" s="32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84"/>
      <c r="P756" s="54"/>
      <c r="Q756" s="54"/>
      <c r="R756" s="55"/>
      <c r="S756" s="55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</row>
    <row r="757">
      <c r="A757" s="32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84"/>
      <c r="P757" s="54"/>
      <c r="Q757" s="54"/>
      <c r="R757" s="55"/>
      <c r="S757" s="55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</row>
    <row r="758">
      <c r="A758" s="32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84"/>
      <c r="P758" s="54"/>
      <c r="Q758" s="54"/>
      <c r="R758" s="55"/>
      <c r="S758" s="55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</row>
    <row r="759">
      <c r="A759" s="32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84"/>
      <c r="P759" s="54"/>
      <c r="Q759" s="54"/>
      <c r="R759" s="55"/>
      <c r="S759" s="55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</row>
    <row r="760">
      <c r="A760" s="32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84"/>
      <c r="P760" s="54"/>
      <c r="Q760" s="54"/>
      <c r="R760" s="55"/>
      <c r="S760" s="55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</row>
    <row r="761">
      <c r="A761" s="32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84"/>
      <c r="P761" s="54"/>
      <c r="Q761" s="54"/>
      <c r="R761" s="55"/>
      <c r="S761" s="55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</row>
    <row r="762">
      <c r="A762" s="32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84"/>
      <c r="P762" s="54"/>
      <c r="Q762" s="54"/>
      <c r="R762" s="55"/>
      <c r="S762" s="55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</row>
    <row r="763">
      <c r="A763" s="32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84"/>
      <c r="P763" s="54"/>
      <c r="Q763" s="54"/>
      <c r="R763" s="55"/>
      <c r="S763" s="55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</row>
    <row r="764">
      <c r="A764" s="32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84"/>
      <c r="P764" s="54"/>
      <c r="Q764" s="54"/>
      <c r="R764" s="55"/>
      <c r="S764" s="55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</row>
    <row r="765">
      <c r="A765" s="32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84"/>
      <c r="P765" s="54"/>
      <c r="Q765" s="54"/>
      <c r="R765" s="55"/>
      <c r="S765" s="55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</row>
    <row r="766">
      <c r="A766" s="32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84"/>
      <c r="P766" s="54"/>
      <c r="Q766" s="54"/>
      <c r="R766" s="55"/>
      <c r="S766" s="55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</row>
    <row r="767">
      <c r="A767" s="32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84"/>
      <c r="P767" s="54"/>
      <c r="Q767" s="54"/>
      <c r="R767" s="55"/>
      <c r="S767" s="55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</row>
    <row r="768">
      <c r="A768" s="32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84"/>
      <c r="P768" s="54"/>
      <c r="Q768" s="54"/>
      <c r="R768" s="55"/>
      <c r="S768" s="55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</row>
    <row r="769">
      <c r="A769" s="32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84"/>
      <c r="P769" s="54"/>
      <c r="Q769" s="54"/>
      <c r="R769" s="55"/>
      <c r="S769" s="55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</row>
    <row r="770">
      <c r="A770" s="32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84"/>
      <c r="P770" s="54"/>
      <c r="Q770" s="54"/>
      <c r="R770" s="55"/>
      <c r="S770" s="55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</row>
    <row r="771">
      <c r="A771" s="32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84"/>
      <c r="P771" s="54"/>
      <c r="Q771" s="54"/>
      <c r="R771" s="55"/>
      <c r="S771" s="55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</row>
    <row r="772">
      <c r="A772" s="32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84"/>
      <c r="P772" s="54"/>
      <c r="Q772" s="54"/>
      <c r="R772" s="55"/>
      <c r="S772" s="55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</row>
    <row r="773">
      <c r="A773" s="32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84"/>
      <c r="P773" s="54"/>
      <c r="Q773" s="54"/>
      <c r="R773" s="55"/>
      <c r="S773" s="55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</row>
    <row r="774">
      <c r="A774" s="32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84"/>
      <c r="P774" s="54"/>
      <c r="Q774" s="54"/>
      <c r="R774" s="55"/>
      <c r="S774" s="55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</row>
    <row r="775">
      <c r="A775" s="32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84"/>
      <c r="P775" s="54"/>
      <c r="Q775" s="54"/>
      <c r="R775" s="55"/>
      <c r="S775" s="55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</row>
    <row r="776">
      <c r="A776" s="32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84"/>
      <c r="P776" s="54"/>
      <c r="Q776" s="54"/>
      <c r="R776" s="55"/>
      <c r="S776" s="55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</row>
    <row r="777">
      <c r="A777" s="32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84"/>
      <c r="P777" s="54"/>
      <c r="Q777" s="54"/>
      <c r="R777" s="55"/>
      <c r="S777" s="55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</row>
    <row r="778">
      <c r="A778" s="32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84"/>
      <c r="P778" s="54"/>
      <c r="Q778" s="54"/>
      <c r="R778" s="55"/>
      <c r="S778" s="55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</row>
    <row r="779">
      <c r="A779" s="32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84"/>
      <c r="P779" s="54"/>
      <c r="Q779" s="54"/>
      <c r="R779" s="55"/>
      <c r="S779" s="55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</row>
    <row r="780">
      <c r="A780" s="32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84"/>
      <c r="P780" s="54"/>
      <c r="Q780" s="54"/>
      <c r="R780" s="55"/>
      <c r="S780" s="55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</row>
    <row r="781">
      <c r="A781" s="32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84"/>
      <c r="P781" s="54"/>
      <c r="Q781" s="54"/>
      <c r="R781" s="55"/>
      <c r="S781" s="55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</row>
    <row r="782">
      <c r="A782" s="32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84"/>
      <c r="P782" s="54"/>
      <c r="Q782" s="54"/>
      <c r="R782" s="55"/>
      <c r="S782" s="55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</row>
    <row r="783">
      <c r="A783" s="32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84"/>
      <c r="P783" s="54"/>
      <c r="Q783" s="54"/>
      <c r="R783" s="55"/>
      <c r="S783" s="55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</row>
    <row r="784">
      <c r="A784" s="32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84"/>
      <c r="P784" s="54"/>
      <c r="Q784" s="54"/>
      <c r="R784" s="55"/>
      <c r="S784" s="55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</row>
    <row r="785">
      <c r="A785" s="32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84"/>
      <c r="P785" s="54"/>
      <c r="Q785" s="54"/>
      <c r="R785" s="55"/>
      <c r="S785" s="55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</row>
    <row r="786">
      <c r="A786" s="32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84"/>
      <c r="P786" s="54"/>
      <c r="Q786" s="54"/>
      <c r="R786" s="55"/>
      <c r="S786" s="55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</row>
    <row r="787">
      <c r="A787" s="32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84"/>
      <c r="P787" s="54"/>
      <c r="Q787" s="54"/>
      <c r="R787" s="55"/>
      <c r="S787" s="55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</row>
    <row r="788">
      <c r="A788" s="32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84"/>
      <c r="P788" s="54"/>
      <c r="Q788" s="54"/>
      <c r="R788" s="55"/>
      <c r="S788" s="55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</row>
    <row r="789">
      <c r="A789" s="32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84"/>
      <c r="P789" s="54"/>
      <c r="Q789" s="54"/>
      <c r="R789" s="55"/>
      <c r="S789" s="55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</row>
    <row r="790">
      <c r="A790" s="32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84"/>
      <c r="P790" s="54"/>
      <c r="Q790" s="54"/>
      <c r="R790" s="55"/>
      <c r="S790" s="55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</row>
    <row r="791">
      <c r="A791" s="32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84"/>
      <c r="P791" s="54"/>
      <c r="Q791" s="54"/>
      <c r="R791" s="55"/>
      <c r="S791" s="55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</row>
    <row r="792">
      <c r="A792" s="32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84"/>
      <c r="P792" s="54"/>
      <c r="Q792" s="54"/>
      <c r="R792" s="55"/>
      <c r="S792" s="55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</row>
    <row r="793">
      <c r="A793" s="32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84"/>
      <c r="P793" s="54"/>
      <c r="Q793" s="54"/>
      <c r="R793" s="55"/>
      <c r="S793" s="55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</row>
    <row r="794">
      <c r="A794" s="32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84"/>
      <c r="P794" s="54"/>
      <c r="Q794" s="54"/>
      <c r="R794" s="55"/>
      <c r="S794" s="55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</row>
    <row r="795">
      <c r="A795" s="32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84"/>
      <c r="P795" s="54"/>
      <c r="Q795" s="54"/>
      <c r="R795" s="55"/>
      <c r="S795" s="55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</row>
    <row r="796">
      <c r="A796" s="32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84"/>
      <c r="P796" s="54"/>
      <c r="Q796" s="54"/>
      <c r="R796" s="55"/>
      <c r="S796" s="55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</row>
    <row r="797">
      <c r="A797" s="32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84"/>
      <c r="P797" s="54"/>
      <c r="Q797" s="54"/>
      <c r="R797" s="55"/>
      <c r="S797" s="55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</row>
    <row r="798">
      <c r="A798" s="32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84"/>
      <c r="P798" s="54"/>
      <c r="Q798" s="54"/>
      <c r="R798" s="55"/>
      <c r="S798" s="55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</row>
    <row r="799">
      <c r="A799" s="32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84"/>
      <c r="P799" s="54"/>
      <c r="Q799" s="54"/>
      <c r="R799" s="55"/>
      <c r="S799" s="55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</row>
    <row r="800">
      <c r="A800" s="32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84"/>
      <c r="P800" s="54"/>
      <c r="Q800" s="54"/>
      <c r="R800" s="55"/>
      <c r="S800" s="55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</row>
    <row r="801">
      <c r="A801" s="32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84"/>
      <c r="P801" s="54"/>
      <c r="Q801" s="54"/>
      <c r="R801" s="55"/>
      <c r="S801" s="55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</row>
    <row r="802">
      <c r="A802" s="32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84"/>
      <c r="P802" s="54"/>
      <c r="Q802" s="54"/>
      <c r="R802" s="55"/>
      <c r="S802" s="55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</row>
    <row r="803">
      <c r="A803" s="32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84"/>
      <c r="P803" s="54"/>
      <c r="Q803" s="54"/>
      <c r="R803" s="55"/>
      <c r="S803" s="55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</row>
    <row r="804">
      <c r="A804" s="32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84"/>
      <c r="P804" s="54"/>
      <c r="Q804" s="54"/>
      <c r="R804" s="55"/>
      <c r="S804" s="55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</row>
    <row r="805">
      <c r="A805" s="32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84"/>
      <c r="P805" s="54"/>
      <c r="Q805" s="54"/>
      <c r="R805" s="55"/>
      <c r="S805" s="55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</row>
    <row r="806">
      <c r="A806" s="32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84"/>
      <c r="P806" s="54"/>
      <c r="Q806" s="54"/>
      <c r="R806" s="55"/>
      <c r="S806" s="55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</row>
    <row r="807">
      <c r="A807" s="32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84"/>
      <c r="P807" s="54"/>
      <c r="Q807" s="54"/>
      <c r="R807" s="55"/>
      <c r="S807" s="55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</row>
    <row r="808">
      <c r="A808" s="32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84"/>
      <c r="P808" s="54"/>
      <c r="Q808" s="54"/>
      <c r="R808" s="55"/>
      <c r="S808" s="55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</row>
    <row r="809">
      <c r="A809" s="32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84"/>
      <c r="P809" s="54"/>
      <c r="Q809" s="54"/>
      <c r="R809" s="55"/>
      <c r="S809" s="55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</row>
    <row r="810">
      <c r="A810" s="32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84"/>
      <c r="P810" s="54"/>
      <c r="Q810" s="54"/>
      <c r="R810" s="55"/>
      <c r="S810" s="55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</row>
    <row r="811">
      <c r="A811" s="32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84"/>
      <c r="P811" s="54"/>
      <c r="Q811" s="54"/>
      <c r="R811" s="55"/>
      <c r="S811" s="55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</row>
    <row r="812">
      <c r="A812" s="32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84"/>
      <c r="P812" s="54"/>
      <c r="Q812" s="54"/>
      <c r="R812" s="55"/>
      <c r="S812" s="55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</row>
    <row r="813">
      <c r="A813" s="32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84"/>
      <c r="P813" s="54"/>
      <c r="Q813" s="54"/>
      <c r="R813" s="55"/>
      <c r="S813" s="55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</row>
    <row r="814">
      <c r="A814" s="32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84"/>
      <c r="P814" s="54"/>
      <c r="Q814" s="54"/>
      <c r="R814" s="55"/>
      <c r="S814" s="55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</row>
    <row r="815">
      <c r="A815" s="32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84"/>
      <c r="P815" s="54"/>
      <c r="Q815" s="54"/>
      <c r="R815" s="55"/>
      <c r="S815" s="55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</row>
    <row r="816">
      <c r="A816" s="32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84"/>
      <c r="P816" s="54"/>
      <c r="Q816" s="54"/>
      <c r="R816" s="55"/>
      <c r="S816" s="55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</row>
    <row r="817">
      <c r="A817" s="32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84"/>
      <c r="P817" s="54"/>
      <c r="Q817" s="54"/>
      <c r="R817" s="55"/>
      <c r="S817" s="55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</row>
    <row r="818">
      <c r="A818" s="32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84"/>
      <c r="P818" s="54"/>
      <c r="Q818" s="54"/>
      <c r="R818" s="55"/>
      <c r="S818" s="55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</row>
    <row r="819">
      <c r="A819" s="32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84"/>
      <c r="P819" s="54"/>
      <c r="Q819" s="54"/>
      <c r="R819" s="55"/>
      <c r="S819" s="55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</row>
    <row r="820">
      <c r="A820" s="32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84"/>
      <c r="P820" s="54"/>
      <c r="Q820" s="54"/>
      <c r="R820" s="55"/>
      <c r="S820" s="55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</row>
    <row r="821">
      <c r="A821" s="32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84"/>
      <c r="P821" s="54"/>
      <c r="Q821" s="54"/>
      <c r="R821" s="55"/>
      <c r="S821" s="55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</row>
    <row r="822">
      <c r="A822" s="32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84"/>
      <c r="P822" s="54"/>
      <c r="Q822" s="54"/>
      <c r="R822" s="55"/>
      <c r="S822" s="55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</row>
    <row r="823">
      <c r="A823" s="32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84"/>
      <c r="P823" s="54"/>
      <c r="Q823" s="54"/>
      <c r="R823" s="55"/>
      <c r="S823" s="55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</row>
    <row r="824">
      <c r="A824" s="32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84"/>
      <c r="P824" s="54"/>
      <c r="Q824" s="54"/>
      <c r="R824" s="55"/>
      <c r="S824" s="55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</row>
    <row r="825">
      <c r="A825" s="32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84"/>
      <c r="P825" s="54"/>
      <c r="Q825" s="54"/>
      <c r="R825" s="55"/>
      <c r="S825" s="55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</row>
    <row r="826">
      <c r="A826" s="32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84"/>
      <c r="P826" s="54"/>
      <c r="Q826" s="54"/>
      <c r="R826" s="55"/>
      <c r="S826" s="55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</row>
    <row r="827">
      <c r="A827" s="32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84"/>
      <c r="P827" s="54"/>
      <c r="Q827" s="54"/>
      <c r="R827" s="55"/>
      <c r="S827" s="55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</row>
    <row r="828">
      <c r="A828" s="32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84"/>
      <c r="P828" s="54"/>
      <c r="Q828" s="54"/>
      <c r="R828" s="55"/>
      <c r="S828" s="55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</row>
    <row r="829">
      <c r="A829" s="32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84"/>
      <c r="P829" s="54"/>
      <c r="Q829" s="54"/>
      <c r="R829" s="55"/>
      <c r="S829" s="55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</row>
    <row r="830">
      <c r="A830" s="32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84"/>
      <c r="P830" s="54"/>
      <c r="Q830" s="54"/>
      <c r="R830" s="55"/>
      <c r="S830" s="55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</row>
    <row r="831">
      <c r="A831" s="32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84"/>
      <c r="P831" s="54"/>
      <c r="Q831" s="54"/>
      <c r="R831" s="55"/>
      <c r="S831" s="55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</row>
    <row r="832">
      <c r="A832" s="32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84"/>
      <c r="P832" s="54"/>
      <c r="Q832" s="54"/>
      <c r="R832" s="55"/>
      <c r="S832" s="55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</row>
    <row r="833">
      <c r="A833" s="32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84"/>
      <c r="P833" s="54"/>
      <c r="Q833" s="54"/>
      <c r="R833" s="55"/>
      <c r="S833" s="55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</row>
    <row r="834">
      <c r="A834" s="32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84"/>
      <c r="P834" s="54"/>
      <c r="Q834" s="54"/>
      <c r="R834" s="55"/>
      <c r="S834" s="55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</row>
    <row r="835">
      <c r="A835" s="32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84"/>
      <c r="P835" s="54"/>
      <c r="Q835" s="54"/>
      <c r="R835" s="55"/>
      <c r="S835" s="55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</row>
    <row r="836">
      <c r="A836" s="32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84"/>
      <c r="P836" s="54"/>
      <c r="Q836" s="54"/>
      <c r="R836" s="55"/>
      <c r="S836" s="55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</row>
    <row r="837">
      <c r="A837" s="32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84"/>
      <c r="P837" s="54"/>
      <c r="Q837" s="54"/>
      <c r="R837" s="55"/>
      <c r="S837" s="55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</row>
    <row r="838">
      <c r="A838" s="32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84"/>
      <c r="P838" s="54"/>
      <c r="Q838" s="54"/>
      <c r="R838" s="55"/>
      <c r="S838" s="55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</row>
    <row r="839">
      <c r="A839" s="32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84"/>
      <c r="P839" s="54"/>
      <c r="Q839" s="54"/>
      <c r="R839" s="55"/>
      <c r="S839" s="55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</row>
    <row r="840">
      <c r="A840" s="32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84"/>
      <c r="P840" s="54"/>
      <c r="Q840" s="54"/>
      <c r="R840" s="55"/>
      <c r="S840" s="55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</row>
    <row r="841">
      <c r="A841" s="32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84"/>
      <c r="P841" s="54"/>
      <c r="Q841" s="54"/>
      <c r="R841" s="55"/>
      <c r="S841" s="55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</row>
    <row r="842">
      <c r="A842" s="32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84"/>
      <c r="P842" s="54"/>
      <c r="Q842" s="54"/>
      <c r="R842" s="55"/>
      <c r="S842" s="55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</row>
    <row r="843">
      <c r="A843" s="32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84"/>
      <c r="P843" s="54"/>
      <c r="Q843" s="54"/>
      <c r="R843" s="55"/>
      <c r="S843" s="55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</row>
    <row r="844">
      <c r="A844" s="32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84"/>
      <c r="P844" s="54"/>
      <c r="Q844" s="54"/>
      <c r="R844" s="55"/>
      <c r="S844" s="55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</row>
    <row r="845">
      <c r="A845" s="32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84"/>
      <c r="P845" s="54"/>
      <c r="Q845" s="54"/>
      <c r="R845" s="55"/>
      <c r="S845" s="55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</row>
    <row r="846">
      <c r="A846" s="32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84"/>
      <c r="P846" s="54"/>
      <c r="Q846" s="54"/>
      <c r="R846" s="55"/>
      <c r="S846" s="55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</row>
    <row r="847">
      <c r="A847" s="32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84"/>
      <c r="P847" s="54"/>
      <c r="Q847" s="54"/>
      <c r="R847" s="55"/>
      <c r="S847" s="55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</row>
    <row r="848">
      <c r="A848" s="32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84"/>
      <c r="P848" s="54"/>
      <c r="Q848" s="54"/>
      <c r="R848" s="55"/>
      <c r="S848" s="55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</row>
    <row r="849">
      <c r="A849" s="32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84"/>
      <c r="P849" s="54"/>
      <c r="Q849" s="54"/>
      <c r="R849" s="55"/>
      <c r="S849" s="55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</row>
    <row r="850">
      <c r="A850" s="32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84"/>
      <c r="P850" s="54"/>
      <c r="Q850" s="54"/>
      <c r="R850" s="55"/>
      <c r="S850" s="55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</row>
    <row r="851">
      <c r="A851" s="32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84"/>
      <c r="P851" s="54"/>
      <c r="Q851" s="54"/>
      <c r="R851" s="55"/>
      <c r="S851" s="55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</row>
    <row r="852">
      <c r="A852" s="32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84"/>
      <c r="P852" s="54"/>
      <c r="Q852" s="54"/>
      <c r="R852" s="55"/>
      <c r="S852" s="55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</row>
    <row r="853">
      <c r="A853" s="32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84"/>
      <c r="P853" s="54"/>
      <c r="Q853" s="54"/>
      <c r="R853" s="55"/>
      <c r="S853" s="55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</row>
    <row r="854">
      <c r="A854" s="32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84"/>
      <c r="P854" s="54"/>
      <c r="Q854" s="54"/>
      <c r="R854" s="55"/>
      <c r="S854" s="55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</row>
    <row r="855">
      <c r="A855" s="32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84"/>
      <c r="P855" s="54"/>
      <c r="Q855" s="54"/>
      <c r="R855" s="55"/>
      <c r="S855" s="55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</row>
    <row r="856">
      <c r="A856" s="32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84"/>
      <c r="P856" s="54"/>
      <c r="Q856" s="54"/>
      <c r="R856" s="55"/>
      <c r="S856" s="55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</row>
    <row r="857">
      <c r="A857" s="32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84"/>
      <c r="P857" s="54"/>
      <c r="Q857" s="54"/>
      <c r="R857" s="55"/>
      <c r="S857" s="55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</row>
    <row r="858">
      <c r="A858" s="32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84"/>
      <c r="P858" s="54"/>
      <c r="Q858" s="54"/>
      <c r="R858" s="55"/>
      <c r="S858" s="55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</row>
    <row r="859">
      <c r="A859" s="32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84"/>
      <c r="P859" s="54"/>
      <c r="Q859" s="54"/>
      <c r="R859" s="55"/>
      <c r="S859" s="55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</row>
    <row r="860">
      <c r="A860" s="32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84"/>
      <c r="P860" s="54"/>
      <c r="Q860" s="54"/>
      <c r="R860" s="55"/>
      <c r="S860" s="55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</row>
    <row r="861">
      <c r="A861" s="32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84"/>
      <c r="P861" s="54"/>
      <c r="Q861" s="54"/>
      <c r="R861" s="55"/>
      <c r="S861" s="55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</row>
    <row r="862">
      <c r="A862" s="32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84"/>
      <c r="P862" s="54"/>
      <c r="Q862" s="54"/>
      <c r="R862" s="55"/>
      <c r="S862" s="55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</row>
    <row r="863">
      <c r="A863" s="32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84"/>
      <c r="P863" s="54"/>
      <c r="Q863" s="54"/>
      <c r="R863" s="55"/>
      <c r="S863" s="55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</row>
    <row r="864">
      <c r="A864" s="32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84"/>
      <c r="P864" s="54"/>
      <c r="Q864" s="54"/>
      <c r="R864" s="55"/>
      <c r="S864" s="55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</row>
    <row r="865">
      <c r="A865" s="32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84"/>
      <c r="P865" s="54"/>
      <c r="Q865" s="54"/>
      <c r="R865" s="55"/>
      <c r="S865" s="55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</row>
    <row r="866">
      <c r="A866" s="32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84"/>
      <c r="P866" s="54"/>
      <c r="Q866" s="54"/>
      <c r="R866" s="55"/>
      <c r="S866" s="55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</row>
    <row r="867">
      <c r="A867" s="32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84"/>
      <c r="P867" s="54"/>
      <c r="Q867" s="54"/>
      <c r="R867" s="55"/>
      <c r="S867" s="55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</row>
    <row r="868">
      <c r="A868" s="32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84"/>
      <c r="P868" s="54"/>
      <c r="Q868" s="54"/>
      <c r="R868" s="55"/>
      <c r="S868" s="55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</row>
    <row r="869">
      <c r="A869" s="32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84"/>
      <c r="P869" s="54"/>
      <c r="Q869" s="54"/>
      <c r="R869" s="55"/>
      <c r="S869" s="55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</row>
    <row r="870">
      <c r="A870" s="32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84"/>
      <c r="P870" s="54"/>
      <c r="Q870" s="54"/>
      <c r="R870" s="55"/>
      <c r="S870" s="55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</row>
    <row r="871">
      <c r="A871" s="32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84"/>
      <c r="P871" s="54"/>
      <c r="Q871" s="54"/>
      <c r="R871" s="55"/>
      <c r="S871" s="55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</row>
    <row r="872">
      <c r="A872" s="32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84"/>
      <c r="P872" s="54"/>
      <c r="Q872" s="54"/>
      <c r="R872" s="55"/>
      <c r="S872" s="55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</row>
    <row r="873">
      <c r="A873" s="32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84"/>
      <c r="P873" s="54"/>
      <c r="Q873" s="54"/>
      <c r="R873" s="55"/>
      <c r="S873" s="55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</row>
    <row r="874">
      <c r="A874" s="32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84"/>
      <c r="P874" s="54"/>
      <c r="Q874" s="54"/>
      <c r="R874" s="55"/>
      <c r="S874" s="55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</row>
    <row r="875">
      <c r="A875" s="32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84"/>
      <c r="P875" s="54"/>
      <c r="Q875" s="54"/>
      <c r="R875" s="55"/>
      <c r="S875" s="55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</row>
    <row r="876">
      <c r="A876" s="32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84"/>
      <c r="P876" s="54"/>
      <c r="Q876" s="54"/>
      <c r="R876" s="55"/>
      <c r="S876" s="55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</row>
    <row r="877">
      <c r="A877" s="32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84"/>
      <c r="P877" s="54"/>
      <c r="Q877" s="54"/>
      <c r="R877" s="55"/>
      <c r="S877" s="55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</row>
    <row r="878">
      <c r="A878" s="32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84"/>
      <c r="P878" s="54"/>
      <c r="Q878" s="54"/>
      <c r="R878" s="55"/>
      <c r="S878" s="55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</row>
    <row r="879">
      <c r="A879" s="32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84"/>
      <c r="P879" s="54"/>
      <c r="Q879" s="54"/>
      <c r="R879" s="55"/>
      <c r="S879" s="55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</row>
    <row r="880">
      <c r="A880" s="32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84"/>
      <c r="P880" s="54"/>
      <c r="Q880" s="54"/>
      <c r="R880" s="55"/>
      <c r="S880" s="55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</row>
    <row r="881">
      <c r="A881" s="32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84"/>
      <c r="P881" s="54"/>
      <c r="Q881" s="54"/>
      <c r="R881" s="55"/>
      <c r="S881" s="55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</row>
    <row r="882">
      <c r="A882" s="32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84"/>
      <c r="P882" s="54"/>
      <c r="Q882" s="54"/>
      <c r="R882" s="55"/>
      <c r="S882" s="55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</row>
    <row r="883">
      <c r="A883" s="32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84"/>
      <c r="P883" s="54"/>
      <c r="Q883" s="54"/>
      <c r="R883" s="55"/>
      <c r="S883" s="55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</row>
    <row r="884">
      <c r="A884" s="32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84"/>
      <c r="P884" s="54"/>
      <c r="Q884" s="54"/>
      <c r="R884" s="55"/>
      <c r="S884" s="55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</row>
    <row r="885">
      <c r="A885" s="32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84"/>
      <c r="P885" s="54"/>
      <c r="Q885" s="54"/>
      <c r="R885" s="55"/>
      <c r="S885" s="55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</row>
    <row r="886">
      <c r="A886" s="32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84"/>
      <c r="P886" s="54"/>
      <c r="Q886" s="54"/>
      <c r="R886" s="55"/>
      <c r="S886" s="55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</row>
    <row r="887">
      <c r="A887" s="32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84"/>
      <c r="P887" s="54"/>
      <c r="Q887" s="54"/>
      <c r="R887" s="55"/>
      <c r="S887" s="55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</row>
    <row r="888">
      <c r="A888" s="32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84"/>
      <c r="P888" s="54"/>
      <c r="Q888" s="54"/>
      <c r="R888" s="55"/>
      <c r="S888" s="55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</row>
    <row r="889">
      <c r="A889" s="32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84"/>
      <c r="P889" s="54"/>
      <c r="Q889" s="54"/>
      <c r="R889" s="55"/>
      <c r="S889" s="55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</row>
    <row r="890">
      <c r="A890" s="32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84"/>
      <c r="P890" s="54"/>
      <c r="Q890" s="54"/>
      <c r="R890" s="55"/>
      <c r="S890" s="55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</row>
    <row r="891">
      <c r="A891" s="32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84"/>
      <c r="P891" s="54"/>
      <c r="Q891" s="54"/>
      <c r="R891" s="55"/>
      <c r="S891" s="55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</row>
    <row r="892">
      <c r="A892" s="32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84"/>
      <c r="P892" s="54"/>
      <c r="Q892" s="54"/>
      <c r="R892" s="55"/>
      <c r="S892" s="55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</row>
    <row r="893">
      <c r="A893" s="32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84"/>
      <c r="P893" s="54"/>
      <c r="Q893" s="54"/>
      <c r="R893" s="55"/>
      <c r="S893" s="55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</row>
    <row r="894">
      <c r="A894" s="32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84"/>
      <c r="P894" s="54"/>
      <c r="Q894" s="54"/>
      <c r="R894" s="55"/>
      <c r="S894" s="55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</row>
    <row r="895">
      <c r="A895" s="32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84"/>
      <c r="P895" s="54"/>
      <c r="Q895" s="54"/>
      <c r="R895" s="55"/>
      <c r="S895" s="55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</row>
    <row r="896">
      <c r="A896" s="32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84"/>
      <c r="P896" s="54"/>
      <c r="Q896" s="54"/>
      <c r="R896" s="55"/>
      <c r="S896" s="55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</row>
    <row r="897">
      <c r="A897" s="32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84"/>
      <c r="P897" s="54"/>
      <c r="Q897" s="54"/>
      <c r="R897" s="55"/>
      <c r="S897" s="55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</row>
    <row r="898">
      <c r="A898" s="32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84"/>
      <c r="P898" s="54"/>
      <c r="Q898" s="54"/>
      <c r="R898" s="55"/>
      <c r="S898" s="55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</row>
    <row r="899">
      <c r="A899" s="32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84"/>
      <c r="P899" s="54"/>
      <c r="Q899" s="54"/>
      <c r="R899" s="55"/>
      <c r="S899" s="55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</row>
    <row r="900">
      <c r="A900" s="32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84"/>
      <c r="P900" s="54"/>
      <c r="Q900" s="54"/>
      <c r="R900" s="55"/>
      <c r="S900" s="55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</row>
    <row r="901">
      <c r="A901" s="32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84"/>
      <c r="P901" s="54"/>
      <c r="Q901" s="54"/>
      <c r="R901" s="55"/>
      <c r="S901" s="55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</row>
    <row r="902">
      <c r="A902" s="32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84"/>
      <c r="P902" s="54"/>
      <c r="Q902" s="54"/>
      <c r="R902" s="55"/>
      <c r="S902" s="55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</row>
    <row r="903">
      <c r="A903" s="32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84"/>
      <c r="P903" s="54"/>
      <c r="Q903" s="54"/>
      <c r="R903" s="55"/>
      <c r="S903" s="55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</row>
    <row r="904">
      <c r="A904" s="32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84"/>
      <c r="P904" s="54"/>
      <c r="Q904" s="54"/>
      <c r="R904" s="55"/>
      <c r="S904" s="55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</row>
    <row r="905">
      <c r="A905" s="32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84"/>
      <c r="P905" s="54"/>
      <c r="Q905" s="54"/>
      <c r="R905" s="55"/>
      <c r="S905" s="55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</row>
    <row r="906">
      <c r="A906" s="32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84"/>
      <c r="P906" s="54"/>
      <c r="Q906" s="54"/>
      <c r="R906" s="55"/>
      <c r="S906" s="55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</row>
    <row r="907">
      <c r="A907" s="32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84"/>
      <c r="P907" s="54"/>
      <c r="Q907" s="54"/>
      <c r="R907" s="55"/>
      <c r="S907" s="55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</row>
    <row r="908">
      <c r="A908" s="32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84"/>
      <c r="P908" s="54"/>
      <c r="Q908" s="54"/>
      <c r="R908" s="55"/>
      <c r="S908" s="55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</row>
    <row r="909">
      <c r="A909" s="32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84"/>
      <c r="P909" s="54"/>
      <c r="Q909" s="54"/>
      <c r="R909" s="55"/>
      <c r="S909" s="55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</row>
    <row r="910">
      <c r="A910" s="32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84"/>
      <c r="P910" s="54"/>
      <c r="Q910" s="54"/>
      <c r="R910" s="55"/>
      <c r="S910" s="55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</row>
    <row r="911">
      <c r="A911" s="32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84"/>
      <c r="P911" s="54"/>
      <c r="Q911" s="54"/>
      <c r="R911" s="55"/>
      <c r="S911" s="55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</row>
    <row r="912">
      <c r="A912" s="32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84"/>
      <c r="P912" s="54"/>
      <c r="Q912" s="54"/>
      <c r="R912" s="55"/>
      <c r="S912" s="55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</row>
    <row r="913">
      <c r="A913" s="32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84"/>
      <c r="P913" s="54"/>
      <c r="Q913" s="54"/>
      <c r="R913" s="55"/>
      <c r="S913" s="55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</row>
    <row r="914">
      <c r="A914" s="32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84"/>
      <c r="P914" s="54"/>
      <c r="Q914" s="54"/>
      <c r="R914" s="55"/>
      <c r="S914" s="55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</row>
    <row r="915">
      <c r="A915" s="32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84"/>
      <c r="P915" s="54"/>
      <c r="Q915" s="54"/>
      <c r="R915" s="55"/>
      <c r="S915" s="55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</row>
    <row r="916">
      <c r="A916" s="32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84"/>
      <c r="P916" s="54"/>
      <c r="Q916" s="54"/>
      <c r="R916" s="55"/>
      <c r="S916" s="55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</row>
    <row r="917">
      <c r="A917" s="32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84"/>
      <c r="P917" s="54"/>
      <c r="Q917" s="54"/>
      <c r="R917" s="55"/>
      <c r="S917" s="55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</row>
    <row r="918">
      <c r="A918" s="32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84"/>
      <c r="P918" s="54"/>
      <c r="Q918" s="54"/>
      <c r="R918" s="55"/>
      <c r="S918" s="55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</row>
    <row r="919">
      <c r="A919" s="32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84"/>
      <c r="P919" s="54"/>
      <c r="Q919" s="54"/>
      <c r="R919" s="55"/>
      <c r="S919" s="55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</row>
    <row r="920">
      <c r="A920" s="32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84"/>
      <c r="P920" s="54"/>
      <c r="Q920" s="54"/>
      <c r="R920" s="55"/>
      <c r="S920" s="55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</row>
    <row r="921">
      <c r="A921" s="32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84"/>
      <c r="P921" s="54"/>
      <c r="Q921" s="54"/>
      <c r="R921" s="55"/>
      <c r="S921" s="55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</row>
    <row r="922">
      <c r="A922" s="32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84"/>
      <c r="P922" s="54"/>
      <c r="Q922" s="54"/>
      <c r="R922" s="55"/>
      <c r="S922" s="55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</row>
    <row r="923">
      <c r="A923" s="32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84"/>
      <c r="P923" s="54"/>
      <c r="Q923" s="54"/>
      <c r="R923" s="55"/>
      <c r="S923" s="55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</row>
    <row r="924">
      <c r="A924" s="32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84"/>
      <c r="P924" s="54"/>
      <c r="Q924" s="54"/>
      <c r="R924" s="55"/>
      <c r="S924" s="55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</row>
    <row r="925">
      <c r="A925" s="32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84"/>
      <c r="P925" s="54"/>
      <c r="Q925" s="54"/>
      <c r="R925" s="55"/>
      <c r="S925" s="55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</row>
    <row r="926">
      <c r="A926" s="32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84"/>
      <c r="P926" s="54"/>
      <c r="Q926" s="54"/>
      <c r="R926" s="55"/>
      <c r="S926" s="55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</row>
    <row r="927">
      <c r="A927" s="32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84"/>
      <c r="P927" s="54"/>
      <c r="Q927" s="54"/>
      <c r="R927" s="55"/>
      <c r="S927" s="55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</row>
    <row r="928">
      <c r="A928" s="32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84"/>
      <c r="P928" s="54"/>
      <c r="Q928" s="54"/>
      <c r="R928" s="55"/>
      <c r="S928" s="55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</row>
    <row r="929">
      <c r="A929" s="32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84"/>
      <c r="P929" s="54"/>
      <c r="Q929" s="54"/>
      <c r="R929" s="55"/>
      <c r="S929" s="55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</row>
    <row r="930">
      <c r="A930" s="32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84"/>
      <c r="P930" s="54"/>
      <c r="Q930" s="54"/>
      <c r="R930" s="55"/>
      <c r="S930" s="55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</row>
    <row r="931">
      <c r="A931" s="32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84"/>
      <c r="P931" s="54"/>
      <c r="Q931" s="54"/>
      <c r="R931" s="55"/>
      <c r="S931" s="55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</row>
    <row r="932">
      <c r="A932" s="32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84"/>
      <c r="P932" s="54"/>
      <c r="Q932" s="54"/>
      <c r="R932" s="55"/>
      <c r="S932" s="55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</row>
    <row r="933">
      <c r="A933" s="32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84"/>
      <c r="P933" s="54"/>
      <c r="Q933" s="54"/>
      <c r="R933" s="55"/>
      <c r="S933" s="55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</row>
    <row r="934">
      <c r="A934" s="32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84"/>
      <c r="P934" s="54"/>
      <c r="Q934" s="54"/>
      <c r="R934" s="55"/>
      <c r="S934" s="55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</row>
    <row r="935">
      <c r="A935" s="32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84"/>
      <c r="P935" s="54"/>
      <c r="Q935" s="54"/>
      <c r="R935" s="55"/>
      <c r="S935" s="55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</row>
    <row r="936">
      <c r="A936" s="32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84"/>
      <c r="P936" s="54"/>
      <c r="Q936" s="54"/>
      <c r="R936" s="55"/>
      <c r="S936" s="55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</row>
    <row r="937">
      <c r="A937" s="32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84"/>
      <c r="P937" s="54"/>
      <c r="Q937" s="54"/>
      <c r="R937" s="55"/>
      <c r="S937" s="55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</row>
    <row r="938">
      <c r="A938" s="32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84"/>
      <c r="P938" s="54"/>
      <c r="Q938" s="54"/>
      <c r="R938" s="55"/>
      <c r="S938" s="55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</row>
    <row r="939">
      <c r="A939" s="32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84"/>
      <c r="P939" s="54"/>
      <c r="Q939" s="54"/>
      <c r="R939" s="55"/>
      <c r="S939" s="55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</row>
    <row r="940">
      <c r="A940" s="32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84"/>
      <c r="P940" s="54"/>
      <c r="Q940" s="54"/>
      <c r="R940" s="55"/>
      <c r="S940" s="55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</row>
    <row r="941">
      <c r="A941" s="32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84"/>
      <c r="P941" s="54"/>
      <c r="Q941" s="54"/>
      <c r="R941" s="55"/>
      <c r="S941" s="55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</row>
    <row r="942">
      <c r="A942" s="32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84"/>
      <c r="P942" s="54"/>
      <c r="Q942" s="54"/>
      <c r="R942" s="55"/>
      <c r="S942" s="55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</row>
    <row r="943">
      <c r="A943" s="32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84"/>
      <c r="P943" s="54"/>
      <c r="Q943" s="54"/>
      <c r="R943" s="55"/>
      <c r="S943" s="55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</row>
    <row r="944">
      <c r="A944" s="32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84"/>
      <c r="P944" s="54"/>
      <c r="Q944" s="54"/>
      <c r="R944" s="55"/>
      <c r="S944" s="55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</row>
    <row r="945">
      <c r="A945" s="32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84"/>
      <c r="P945" s="54"/>
      <c r="Q945" s="54"/>
      <c r="R945" s="55"/>
      <c r="S945" s="55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</row>
    <row r="946">
      <c r="A946" s="32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84"/>
      <c r="P946" s="54"/>
      <c r="Q946" s="54"/>
      <c r="R946" s="55"/>
      <c r="S946" s="55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</row>
    <row r="947">
      <c r="A947" s="32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84"/>
      <c r="P947" s="54"/>
      <c r="Q947" s="54"/>
      <c r="R947" s="55"/>
      <c r="S947" s="55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</row>
    <row r="948">
      <c r="A948" s="32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84"/>
      <c r="P948" s="54"/>
      <c r="Q948" s="54"/>
      <c r="R948" s="55"/>
      <c r="S948" s="55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</row>
    <row r="949">
      <c r="A949" s="32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84"/>
      <c r="P949" s="54"/>
      <c r="Q949" s="54"/>
      <c r="R949" s="55"/>
      <c r="S949" s="55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</row>
    <row r="950">
      <c r="A950" s="32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84"/>
      <c r="P950" s="54"/>
      <c r="Q950" s="54"/>
      <c r="R950" s="55"/>
      <c r="S950" s="55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</row>
    <row r="951">
      <c r="A951" s="32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84"/>
      <c r="P951" s="54"/>
      <c r="Q951" s="54"/>
      <c r="R951" s="55"/>
      <c r="S951" s="55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</row>
    <row r="952">
      <c r="A952" s="32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84"/>
      <c r="P952" s="54"/>
      <c r="Q952" s="54"/>
      <c r="R952" s="55"/>
      <c r="S952" s="55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</row>
    <row r="953">
      <c r="A953" s="32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84"/>
      <c r="P953" s="54"/>
      <c r="Q953" s="54"/>
      <c r="R953" s="55"/>
      <c r="S953" s="55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</row>
    <row r="954">
      <c r="A954" s="32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84"/>
      <c r="P954" s="54"/>
      <c r="Q954" s="54"/>
      <c r="R954" s="55"/>
      <c r="S954" s="55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</row>
    <row r="955">
      <c r="A955" s="32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84"/>
      <c r="P955" s="54"/>
      <c r="Q955" s="54"/>
      <c r="R955" s="55"/>
      <c r="S955" s="55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</row>
    <row r="956">
      <c r="A956" s="32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84"/>
      <c r="P956" s="54"/>
      <c r="Q956" s="54"/>
      <c r="R956" s="55"/>
      <c r="S956" s="55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</row>
    <row r="957">
      <c r="A957" s="32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84"/>
      <c r="P957" s="54"/>
      <c r="Q957" s="54"/>
      <c r="R957" s="55"/>
      <c r="S957" s="55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</row>
    <row r="958">
      <c r="A958" s="32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84"/>
      <c r="P958" s="54"/>
      <c r="Q958" s="54"/>
      <c r="R958" s="55"/>
      <c r="S958" s="55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</row>
    <row r="959">
      <c r="A959" s="32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84"/>
      <c r="P959" s="54"/>
      <c r="Q959" s="54"/>
      <c r="R959" s="55"/>
      <c r="S959" s="55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</row>
    <row r="960">
      <c r="A960" s="32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84"/>
      <c r="P960" s="54"/>
      <c r="Q960" s="54"/>
      <c r="R960" s="55"/>
      <c r="S960" s="55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</row>
    <row r="961">
      <c r="A961" s="32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84"/>
      <c r="P961" s="54"/>
      <c r="Q961" s="54"/>
      <c r="R961" s="55"/>
      <c r="S961" s="55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</row>
    <row r="962">
      <c r="A962" s="32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84"/>
      <c r="P962" s="54"/>
      <c r="Q962" s="54"/>
      <c r="R962" s="55"/>
      <c r="S962" s="55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</row>
    <row r="963">
      <c r="A963" s="32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84"/>
      <c r="P963" s="54"/>
      <c r="Q963" s="54"/>
      <c r="R963" s="55"/>
      <c r="S963" s="55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</row>
    <row r="964">
      <c r="A964" s="32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84"/>
      <c r="P964" s="54"/>
      <c r="Q964" s="54"/>
      <c r="R964" s="55"/>
      <c r="S964" s="55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</row>
    <row r="965">
      <c r="A965" s="32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84"/>
      <c r="P965" s="54"/>
      <c r="Q965" s="54"/>
      <c r="R965" s="55"/>
      <c r="S965" s="55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</row>
    <row r="966">
      <c r="A966" s="32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84"/>
      <c r="P966" s="54"/>
      <c r="Q966" s="54"/>
      <c r="R966" s="55"/>
      <c r="S966" s="55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</row>
    <row r="967">
      <c r="A967" s="32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84"/>
      <c r="P967" s="54"/>
      <c r="Q967" s="54"/>
      <c r="R967" s="55"/>
      <c r="S967" s="55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</row>
    <row r="968">
      <c r="A968" s="32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84"/>
      <c r="P968" s="54"/>
      <c r="Q968" s="54"/>
      <c r="R968" s="55"/>
      <c r="S968" s="55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</row>
    <row r="969">
      <c r="A969" s="32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84"/>
      <c r="P969" s="54"/>
      <c r="Q969" s="54"/>
      <c r="R969" s="55"/>
      <c r="S969" s="55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</row>
    <row r="970">
      <c r="A970" s="32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84"/>
      <c r="P970" s="54"/>
      <c r="Q970" s="54"/>
      <c r="R970" s="55"/>
      <c r="S970" s="55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</row>
    <row r="971">
      <c r="A971" s="32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84"/>
      <c r="P971" s="54"/>
      <c r="Q971" s="54"/>
      <c r="R971" s="55"/>
      <c r="S971" s="55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</row>
    <row r="972">
      <c r="A972" s="32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84"/>
      <c r="P972" s="54"/>
      <c r="Q972" s="54"/>
      <c r="R972" s="55"/>
      <c r="S972" s="55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</row>
    <row r="973">
      <c r="A973" s="32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84"/>
      <c r="P973" s="54"/>
      <c r="Q973" s="54"/>
      <c r="R973" s="55"/>
      <c r="S973" s="55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</row>
    <row r="974">
      <c r="A974" s="32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84"/>
      <c r="P974" s="54"/>
      <c r="Q974" s="54"/>
      <c r="R974" s="55"/>
      <c r="S974" s="55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</row>
    <row r="975">
      <c r="A975" s="32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84"/>
      <c r="P975" s="54"/>
      <c r="Q975" s="54"/>
      <c r="R975" s="55"/>
      <c r="S975" s="55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</row>
    <row r="976">
      <c r="A976" s="32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84"/>
      <c r="P976" s="54"/>
      <c r="Q976" s="54"/>
      <c r="R976" s="55"/>
      <c r="S976" s="55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</row>
    <row r="977">
      <c r="A977" s="32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84"/>
      <c r="P977" s="54"/>
      <c r="Q977" s="54"/>
      <c r="R977" s="55"/>
      <c r="S977" s="55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</row>
    <row r="978">
      <c r="A978" s="32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84"/>
      <c r="P978" s="54"/>
      <c r="Q978" s="54"/>
      <c r="R978" s="55"/>
      <c r="S978" s="55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</row>
    <row r="979">
      <c r="A979" s="32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84"/>
      <c r="P979" s="54"/>
      <c r="Q979" s="54"/>
      <c r="R979" s="55"/>
      <c r="S979" s="55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</row>
    <row r="980">
      <c r="A980" s="32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84"/>
      <c r="P980" s="54"/>
      <c r="Q980" s="54"/>
      <c r="R980" s="55"/>
      <c r="S980" s="55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</row>
    <row r="981">
      <c r="A981" s="32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84"/>
      <c r="P981" s="54"/>
      <c r="Q981" s="54"/>
      <c r="R981" s="55"/>
      <c r="S981" s="55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</row>
    <row r="982">
      <c r="A982" s="32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84"/>
      <c r="P982" s="54"/>
      <c r="Q982" s="54"/>
      <c r="R982" s="55"/>
      <c r="S982" s="55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</row>
    <row r="983">
      <c r="A983" s="32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84"/>
      <c r="P983" s="54"/>
      <c r="Q983" s="54"/>
      <c r="R983" s="55"/>
      <c r="S983" s="55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</row>
    <row r="984">
      <c r="A984" s="32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84"/>
      <c r="P984" s="54"/>
      <c r="Q984" s="54"/>
      <c r="R984" s="55"/>
      <c r="S984" s="55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</row>
    <row r="985">
      <c r="A985" s="32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84"/>
      <c r="P985" s="54"/>
      <c r="Q985" s="54"/>
      <c r="R985" s="55"/>
      <c r="S985" s="55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</row>
    <row r="986">
      <c r="A986" s="32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84"/>
      <c r="P986" s="54"/>
      <c r="Q986" s="54"/>
      <c r="R986" s="55"/>
      <c r="S986" s="55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</row>
    <row r="987">
      <c r="A987" s="32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84"/>
      <c r="P987" s="54"/>
      <c r="Q987" s="54"/>
      <c r="R987" s="55"/>
      <c r="S987" s="55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</row>
    <row r="988">
      <c r="A988" s="32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84"/>
      <c r="P988" s="54"/>
      <c r="Q988" s="54"/>
      <c r="R988" s="55"/>
      <c r="S988" s="55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</row>
    <row r="989">
      <c r="A989" s="32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84"/>
      <c r="P989" s="54"/>
      <c r="Q989" s="54"/>
      <c r="R989" s="55"/>
      <c r="S989" s="55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</row>
    <row r="990">
      <c r="A990" s="32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84"/>
      <c r="P990" s="54"/>
      <c r="Q990" s="54"/>
      <c r="R990" s="55"/>
      <c r="S990" s="55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</row>
    <row r="991">
      <c r="A991" s="32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84"/>
      <c r="P991" s="54"/>
      <c r="Q991" s="54"/>
      <c r="R991" s="55"/>
      <c r="S991" s="55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</row>
    <row r="992">
      <c r="A992" s="32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84"/>
      <c r="P992" s="54"/>
      <c r="Q992" s="54"/>
      <c r="R992" s="55"/>
      <c r="S992" s="55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</row>
    <row r="993">
      <c r="A993" s="32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84"/>
      <c r="P993" s="54"/>
      <c r="Q993" s="54"/>
      <c r="R993" s="55"/>
      <c r="S993" s="55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</row>
    <row r="994">
      <c r="A994" s="32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84"/>
      <c r="P994" s="54"/>
      <c r="Q994" s="54"/>
      <c r="R994" s="55"/>
      <c r="S994" s="55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</row>
    <row r="995">
      <c r="A995" s="32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84"/>
      <c r="P995" s="54"/>
      <c r="Q995" s="54"/>
      <c r="R995" s="55"/>
      <c r="S995" s="55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</row>
    <row r="996">
      <c r="A996" s="32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84"/>
      <c r="P996" s="54"/>
      <c r="Q996" s="54"/>
      <c r="R996" s="55"/>
      <c r="S996" s="55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</row>
    <row r="997">
      <c r="A997" s="32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84"/>
      <c r="P997" s="54"/>
      <c r="Q997" s="54"/>
      <c r="R997" s="55"/>
      <c r="S997" s="55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</row>
    <row r="998">
      <c r="A998" s="32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84"/>
      <c r="P998" s="54"/>
      <c r="Q998" s="54"/>
      <c r="R998" s="55"/>
      <c r="S998" s="55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</row>
    <row r="999">
      <c r="A999" s="32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84"/>
      <c r="P999" s="54"/>
      <c r="Q999" s="54"/>
      <c r="R999" s="55"/>
      <c r="S999" s="55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</row>
    <row r="1000">
      <c r="A1000" s="32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84"/>
      <c r="P1000" s="54"/>
      <c r="Q1000" s="54"/>
      <c r="R1000" s="55"/>
      <c r="S1000" s="55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</row>
    <row r="1001">
      <c r="A1001" s="32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84"/>
      <c r="P1001" s="54"/>
      <c r="Q1001" s="54"/>
      <c r="R1001" s="55"/>
      <c r="S1001" s="55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</row>
    <row r="1002">
      <c r="A1002" s="32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84"/>
      <c r="P1002" s="54"/>
      <c r="Q1002" s="54"/>
      <c r="R1002" s="55"/>
      <c r="S1002" s="55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</row>
    <row r="1003">
      <c r="A1003" s="32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84"/>
      <c r="P1003" s="54"/>
      <c r="Q1003" s="54"/>
      <c r="R1003" s="55"/>
      <c r="S1003" s="55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</row>
    <row r="1004">
      <c r="A1004" s="32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84"/>
      <c r="P1004" s="54"/>
      <c r="Q1004" s="54"/>
      <c r="R1004" s="55"/>
      <c r="S1004" s="55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</row>
    <row r="1005">
      <c r="A1005" s="32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84"/>
      <c r="P1005" s="54"/>
      <c r="Q1005" s="54"/>
      <c r="R1005" s="55"/>
      <c r="S1005" s="55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</row>
    <row r="1006">
      <c r="A1006" s="32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84"/>
      <c r="P1006" s="54"/>
      <c r="Q1006" s="54"/>
      <c r="R1006" s="55"/>
      <c r="S1006" s="55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</row>
    <row r="1007">
      <c r="A1007" s="32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84"/>
      <c r="P1007" s="54"/>
      <c r="Q1007" s="54"/>
      <c r="R1007" s="55"/>
      <c r="S1007" s="55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</row>
    <row r="1008">
      <c r="A1008" s="32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84"/>
      <c r="P1008" s="54"/>
      <c r="Q1008" s="54"/>
      <c r="R1008" s="55"/>
      <c r="S1008" s="55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</row>
    <row r="1009">
      <c r="A1009" s="32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84"/>
      <c r="P1009" s="54"/>
      <c r="Q1009" s="54"/>
      <c r="R1009" s="55"/>
      <c r="S1009" s="55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</row>
    <row r="1010">
      <c r="A1010" s="32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84"/>
      <c r="P1010" s="54"/>
      <c r="Q1010" s="54"/>
      <c r="R1010" s="55"/>
      <c r="S1010" s="55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</row>
    <row r="1011">
      <c r="A1011" s="32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84"/>
      <c r="P1011" s="54"/>
      <c r="Q1011" s="54"/>
      <c r="R1011" s="55"/>
      <c r="S1011" s="55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</row>
    <row r="1012">
      <c r="A1012" s="32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84"/>
      <c r="P1012" s="54"/>
      <c r="Q1012" s="54"/>
      <c r="R1012" s="55"/>
      <c r="S1012" s="55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</row>
    <row r="1013">
      <c r="A1013" s="32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84"/>
      <c r="P1013" s="54"/>
      <c r="Q1013" s="54"/>
      <c r="R1013" s="55"/>
      <c r="S1013" s="55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</row>
    <row r="1014">
      <c r="A1014" s="32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84"/>
      <c r="P1014" s="54"/>
      <c r="Q1014" s="54"/>
      <c r="R1014" s="55"/>
      <c r="S1014" s="55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</row>
    <row r="1015">
      <c r="A1015" s="32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84"/>
      <c r="P1015" s="54"/>
      <c r="Q1015" s="54"/>
      <c r="R1015" s="55"/>
      <c r="S1015" s="55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</row>
    <row r="1016">
      <c r="A1016" s="32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84"/>
      <c r="P1016" s="54"/>
      <c r="Q1016" s="54"/>
      <c r="R1016" s="55"/>
      <c r="S1016" s="55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</row>
    <row r="1017">
      <c r="A1017" s="32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84"/>
      <c r="P1017" s="54"/>
      <c r="Q1017" s="54"/>
      <c r="R1017" s="55"/>
      <c r="S1017" s="55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</row>
    <row r="1018">
      <c r="A1018" s="32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84"/>
      <c r="P1018" s="54"/>
      <c r="Q1018" s="54"/>
      <c r="R1018" s="55"/>
      <c r="S1018" s="55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</row>
    <row r="1019">
      <c r="A1019" s="32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84"/>
      <c r="P1019" s="54"/>
      <c r="Q1019" s="54"/>
      <c r="R1019" s="55"/>
      <c r="S1019" s="55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</row>
    <row r="1020">
      <c r="A1020" s="32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84"/>
      <c r="P1020" s="54"/>
      <c r="Q1020" s="54"/>
      <c r="R1020" s="55"/>
      <c r="S1020" s="55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</row>
    <row r="1021">
      <c r="A1021" s="32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84"/>
      <c r="P1021" s="54"/>
      <c r="Q1021" s="54"/>
      <c r="R1021" s="55"/>
      <c r="S1021" s="55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</row>
    <row r="1022">
      <c r="A1022" s="32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84"/>
      <c r="P1022" s="54"/>
      <c r="Q1022" s="54"/>
      <c r="R1022" s="55"/>
      <c r="S1022" s="55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</row>
    <row r="1023">
      <c r="A1023" s="32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84"/>
      <c r="P1023" s="54"/>
      <c r="Q1023" s="54"/>
      <c r="R1023" s="55"/>
      <c r="S1023" s="55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</row>
    <row r="1024">
      <c r="A1024" s="32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84"/>
      <c r="P1024" s="54"/>
      <c r="Q1024" s="54"/>
      <c r="R1024" s="55"/>
      <c r="S1024" s="55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</row>
    <row r="1025">
      <c r="A1025" s="32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84"/>
      <c r="P1025" s="54"/>
      <c r="Q1025" s="54"/>
      <c r="R1025" s="55"/>
      <c r="S1025" s="55"/>
      <c r="T1025" s="32"/>
      <c r="U1025" s="32"/>
      <c r="V1025" s="32"/>
      <c r="W1025" s="32"/>
      <c r="X1025" s="32"/>
      <c r="Y1025" s="32"/>
      <c r="Z1025" s="32"/>
      <c r="AA1025" s="32"/>
      <c r="AB1025" s="32"/>
      <c r="AC1025" s="32"/>
    </row>
    <row r="1026">
      <c r="A1026" s="32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84"/>
      <c r="P1026" s="54"/>
      <c r="Q1026" s="54"/>
      <c r="R1026" s="55"/>
      <c r="S1026" s="55"/>
      <c r="T1026" s="32"/>
      <c r="U1026" s="32"/>
      <c r="V1026" s="32"/>
      <c r="W1026" s="32"/>
      <c r="X1026" s="32"/>
      <c r="Y1026" s="32"/>
      <c r="Z1026" s="32"/>
      <c r="AA1026" s="32"/>
      <c r="AB1026" s="32"/>
      <c r="AC1026" s="32"/>
    </row>
    <row r="1027">
      <c r="A1027" s="32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84"/>
      <c r="P1027" s="54"/>
      <c r="Q1027" s="54"/>
      <c r="R1027" s="55"/>
      <c r="S1027" s="55"/>
      <c r="T1027" s="32"/>
      <c r="U1027" s="32"/>
      <c r="V1027" s="32"/>
      <c r="W1027" s="32"/>
      <c r="X1027" s="32"/>
      <c r="Y1027" s="32"/>
      <c r="Z1027" s="32"/>
      <c r="AA1027" s="32"/>
      <c r="AB1027" s="32"/>
      <c r="AC1027" s="32"/>
    </row>
    <row r="1028">
      <c r="A1028" s="32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84"/>
      <c r="P1028" s="54"/>
      <c r="Q1028" s="54"/>
      <c r="R1028" s="55"/>
      <c r="S1028" s="55"/>
      <c r="T1028" s="32"/>
      <c r="U1028" s="32"/>
      <c r="V1028" s="32"/>
      <c r="W1028" s="32"/>
      <c r="X1028" s="32"/>
      <c r="Y1028" s="32"/>
      <c r="Z1028" s="32"/>
      <c r="AA1028" s="32"/>
      <c r="AB1028" s="32"/>
      <c r="AC1028" s="32"/>
    </row>
    <row r="1029">
      <c r="A1029" s="32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84"/>
      <c r="P1029" s="54"/>
      <c r="Q1029" s="54"/>
      <c r="R1029" s="55"/>
      <c r="S1029" s="55"/>
      <c r="T1029" s="32"/>
      <c r="U1029" s="32"/>
      <c r="V1029" s="32"/>
      <c r="W1029" s="32"/>
      <c r="X1029" s="32"/>
      <c r="Y1029" s="32"/>
      <c r="Z1029" s="32"/>
      <c r="AA1029" s="32"/>
      <c r="AB1029" s="32"/>
      <c r="AC1029" s="32"/>
    </row>
    <row r="1030">
      <c r="A1030" s="32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84"/>
      <c r="P1030" s="54"/>
      <c r="Q1030" s="54"/>
      <c r="R1030" s="55"/>
      <c r="S1030" s="55"/>
      <c r="T1030" s="32"/>
      <c r="U1030" s="32"/>
      <c r="V1030" s="32"/>
      <c r="W1030" s="32"/>
      <c r="X1030" s="32"/>
      <c r="Y1030" s="32"/>
      <c r="Z1030" s="32"/>
      <c r="AA1030" s="32"/>
      <c r="AB1030" s="32"/>
      <c r="AC1030" s="32"/>
    </row>
    <row r="1031">
      <c r="A1031" s="32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84"/>
      <c r="P1031" s="54"/>
      <c r="Q1031" s="54"/>
      <c r="R1031" s="55"/>
      <c r="S1031" s="55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</row>
    <row r="1032">
      <c r="A1032" s="32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84"/>
      <c r="P1032" s="54"/>
      <c r="Q1032" s="54"/>
      <c r="R1032" s="55"/>
      <c r="S1032" s="55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</row>
    <row r="1033">
      <c r="A1033" s="32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84"/>
      <c r="P1033" s="54"/>
      <c r="Q1033" s="54"/>
      <c r="R1033" s="55"/>
      <c r="S1033" s="55"/>
      <c r="T1033" s="32"/>
      <c r="U1033" s="32"/>
      <c r="V1033" s="32"/>
      <c r="W1033" s="32"/>
      <c r="X1033" s="32"/>
      <c r="Y1033" s="32"/>
      <c r="Z1033" s="32"/>
      <c r="AA1033" s="32"/>
      <c r="AB1033" s="32"/>
      <c r="AC1033" s="32"/>
    </row>
    <row r="1034">
      <c r="A1034" s="32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84"/>
      <c r="P1034" s="54"/>
      <c r="Q1034" s="54"/>
      <c r="R1034" s="55"/>
      <c r="S1034" s="55"/>
      <c r="T1034" s="32"/>
      <c r="U1034" s="32"/>
      <c r="V1034" s="32"/>
      <c r="W1034" s="32"/>
      <c r="X1034" s="32"/>
      <c r="Y1034" s="32"/>
      <c r="Z1034" s="32"/>
      <c r="AA1034" s="32"/>
      <c r="AB1034" s="32"/>
      <c r="AC1034" s="32"/>
    </row>
    <row r="1035">
      <c r="A1035" s="32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84"/>
      <c r="P1035" s="54"/>
      <c r="Q1035" s="54"/>
      <c r="R1035" s="55"/>
      <c r="S1035" s="55"/>
      <c r="T1035" s="32"/>
      <c r="U1035" s="32"/>
      <c r="V1035" s="32"/>
      <c r="W1035" s="32"/>
      <c r="X1035" s="32"/>
      <c r="Y1035" s="32"/>
      <c r="Z1035" s="32"/>
      <c r="AA1035" s="32"/>
      <c r="AB1035" s="32"/>
      <c r="AC1035" s="32"/>
    </row>
    <row r="1036">
      <c r="A1036" s="32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84"/>
      <c r="P1036" s="54"/>
      <c r="Q1036" s="54"/>
      <c r="R1036" s="55"/>
      <c r="S1036" s="55"/>
      <c r="T1036" s="32"/>
      <c r="U1036" s="32"/>
      <c r="V1036" s="32"/>
      <c r="W1036" s="32"/>
      <c r="X1036" s="32"/>
      <c r="Y1036" s="32"/>
      <c r="Z1036" s="32"/>
      <c r="AA1036" s="32"/>
      <c r="AB1036" s="32"/>
      <c r="AC1036" s="32"/>
    </row>
    <row r="1037">
      <c r="A1037" s="32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84"/>
      <c r="P1037" s="54"/>
      <c r="Q1037" s="54"/>
      <c r="R1037" s="55"/>
      <c r="S1037" s="55"/>
      <c r="T1037" s="32"/>
      <c r="U1037" s="32"/>
      <c r="V1037" s="32"/>
      <c r="W1037" s="32"/>
      <c r="X1037" s="32"/>
      <c r="Y1037" s="32"/>
      <c r="Z1037" s="32"/>
      <c r="AA1037" s="32"/>
      <c r="AB1037" s="32"/>
      <c r="AC1037" s="32"/>
    </row>
    <row r="1038">
      <c r="A1038" s="32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84"/>
      <c r="P1038" s="54"/>
      <c r="Q1038" s="54"/>
      <c r="R1038" s="55"/>
      <c r="S1038" s="55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</row>
    <row r="1039">
      <c r="A1039" s="32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84"/>
      <c r="P1039" s="54"/>
      <c r="Q1039" s="54"/>
      <c r="R1039" s="55"/>
      <c r="S1039" s="55"/>
      <c r="T1039" s="32"/>
      <c r="U1039" s="32"/>
      <c r="V1039" s="32"/>
      <c r="W1039" s="32"/>
      <c r="X1039" s="32"/>
      <c r="Y1039" s="32"/>
      <c r="Z1039" s="32"/>
      <c r="AA1039" s="32"/>
      <c r="AB1039" s="32"/>
      <c r="AC1039" s="32"/>
    </row>
    <row r="1040">
      <c r="A1040" s="32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84"/>
      <c r="P1040" s="54"/>
      <c r="Q1040" s="54"/>
      <c r="R1040" s="55"/>
      <c r="S1040" s="55"/>
      <c r="T1040" s="32"/>
      <c r="U1040" s="32"/>
      <c r="V1040" s="32"/>
      <c r="W1040" s="32"/>
      <c r="X1040" s="32"/>
      <c r="Y1040" s="32"/>
      <c r="Z1040" s="32"/>
      <c r="AA1040" s="32"/>
      <c r="AB1040" s="32"/>
      <c r="AC1040" s="32"/>
    </row>
    <row r="1041">
      <c r="A1041" s="32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84"/>
      <c r="P1041" s="54"/>
      <c r="Q1041" s="54"/>
      <c r="R1041" s="55"/>
      <c r="S1041" s="55"/>
      <c r="T1041" s="32"/>
      <c r="U1041" s="32"/>
      <c r="V1041" s="32"/>
      <c r="W1041" s="32"/>
      <c r="X1041" s="32"/>
      <c r="Y1041" s="32"/>
      <c r="Z1041" s="32"/>
      <c r="AA1041" s="32"/>
      <c r="AB1041" s="32"/>
      <c r="AC1041" s="32"/>
    </row>
    <row r="1042">
      <c r="A1042" s="32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84"/>
      <c r="P1042" s="54"/>
      <c r="Q1042" s="54"/>
      <c r="R1042" s="55"/>
      <c r="S1042" s="55"/>
      <c r="T1042" s="32"/>
      <c r="U1042" s="32"/>
      <c r="V1042" s="32"/>
      <c r="W1042" s="32"/>
      <c r="X1042" s="32"/>
      <c r="Y1042" s="32"/>
      <c r="Z1042" s="32"/>
      <c r="AA1042" s="32"/>
      <c r="AB1042" s="32"/>
      <c r="AC1042" s="32"/>
    </row>
    <row r="1043">
      <c r="A1043" s="32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84"/>
      <c r="P1043" s="54"/>
      <c r="Q1043" s="54"/>
      <c r="R1043" s="55"/>
      <c r="S1043" s="55"/>
      <c r="T1043" s="32"/>
      <c r="U1043" s="32"/>
      <c r="V1043" s="32"/>
      <c r="W1043" s="32"/>
      <c r="X1043" s="32"/>
      <c r="Y1043" s="32"/>
      <c r="Z1043" s="32"/>
      <c r="AA1043" s="32"/>
      <c r="AB1043" s="32"/>
      <c r="AC1043" s="32"/>
    </row>
    <row r="1044">
      <c r="A1044" s="32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84"/>
      <c r="P1044" s="54"/>
      <c r="Q1044" s="54"/>
      <c r="R1044" s="55"/>
      <c r="S1044" s="55"/>
      <c r="T1044" s="32"/>
      <c r="U1044" s="32"/>
      <c r="V1044" s="32"/>
      <c r="W1044" s="32"/>
      <c r="X1044" s="32"/>
      <c r="Y1044" s="32"/>
      <c r="Z1044" s="32"/>
      <c r="AA1044" s="32"/>
      <c r="AB1044" s="32"/>
      <c r="AC1044" s="32"/>
    </row>
    <row r="1045">
      <c r="A1045" s="32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84"/>
      <c r="P1045" s="54"/>
      <c r="Q1045" s="54"/>
      <c r="R1045" s="55"/>
      <c r="S1045" s="55"/>
      <c r="T1045" s="32"/>
      <c r="U1045" s="32"/>
      <c r="V1045" s="32"/>
      <c r="W1045" s="32"/>
      <c r="X1045" s="32"/>
      <c r="Y1045" s="32"/>
      <c r="Z1045" s="32"/>
      <c r="AA1045" s="32"/>
      <c r="AB1045" s="32"/>
      <c r="AC1045" s="32"/>
    </row>
    <row r="1046">
      <c r="A1046" s="32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84"/>
      <c r="P1046" s="54"/>
      <c r="Q1046" s="54"/>
      <c r="R1046" s="55"/>
      <c r="S1046" s="55"/>
      <c r="T1046" s="32"/>
      <c r="U1046" s="32"/>
      <c r="V1046" s="32"/>
      <c r="W1046" s="32"/>
      <c r="X1046" s="32"/>
      <c r="Y1046" s="32"/>
      <c r="Z1046" s="32"/>
      <c r="AA1046" s="32"/>
      <c r="AB1046" s="32"/>
      <c r="AC1046" s="32"/>
    </row>
    <row r="1047">
      <c r="A1047" s="32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84"/>
      <c r="P1047" s="54"/>
      <c r="Q1047" s="54"/>
      <c r="R1047" s="55"/>
      <c r="S1047" s="55"/>
      <c r="T1047" s="32"/>
      <c r="U1047" s="32"/>
      <c r="V1047" s="32"/>
      <c r="W1047" s="32"/>
      <c r="X1047" s="32"/>
      <c r="Y1047" s="32"/>
      <c r="Z1047" s="32"/>
      <c r="AA1047" s="32"/>
      <c r="AB1047" s="32"/>
      <c r="AC1047" s="32"/>
    </row>
    <row r="1048">
      <c r="A1048" s="32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84"/>
      <c r="P1048" s="54"/>
      <c r="Q1048" s="54"/>
      <c r="R1048" s="55"/>
      <c r="S1048" s="55"/>
      <c r="T1048" s="32"/>
      <c r="U1048" s="32"/>
      <c r="V1048" s="32"/>
      <c r="W1048" s="32"/>
      <c r="X1048" s="32"/>
      <c r="Y1048" s="32"/>
      <c r="Z1048" s="32"/>
      <c r="AA1048" s="32"/>
      <c r="AB1048" s="32"/>
      <c r="AC1048" s="32"/>
    </row>
    <row r="1049">
      <c r="A1049" s="32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84"/>
      <c r="P1049" s="54"/>
      <c r="Q1049" s="54"/>
      <c r="R1049" s="55"/>
      <c r="S1049" s="55"/>
      <c r="T1049" s="32"/>
      <c r="U1049" s="32"/>
      <c r="V1049" s="32"/>
      <c r="W1049" s="32"/>
      <c r="X1049" s="32"/>
      <c r="Y1049" s="32"/>
      <c r="Z1049" s="32"/>
      <c r="AA1049" s="32"/>
      <c r="AB1049" s="32"/>
      <c r="AC1049" s="32"/>
    </row>
    <row r="1050">
      <c r="A1050" s="32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84"/>
      <c r="P1050" s="54"/>
      <c r="Q1050" s="54"/>
      <c r="R1050" s="55"/>
      <c r="S1050" s="55"/>
      <c r="T1050" s="32"/>
      <c r="U1050" s="32"/>
      <c r="V1050" s="32"/>
      <c r="W1050" s="32"/>
      <c r="X1050" s="32"/>
      <c r="Y1050" s="32"/>
      <c r="Z1050" s="32"/>
      <c r="AA1050" s="32"/>
      <c r="AB1050" s="32"/>
      <c r="AC1050" s="32"/>
    </row>
    <row r="1051">
      <c r="A1051" s="32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84"/>
      <c r="P1051" s="54"/>
      <c r="Q1051" s="54"/>
      <c r="R1051" s="55"/>
      <c r="S1051" s="55"/>
      <c r="T1051" s="32"/>
      <c r="U1051" s="32"/>
      <c r="V1051" s="32"/>
      <c r="W1051" s="32"/>
      <c r="X1051" s="32"/>
      <c r="Y1051" s="32"/>
      <c r="Z1051" s="32"/>
      <c r="AA1051" s="32"/>
      <c r="AB1051" s="32"/>
      <c r="AC1051" s="32"/>
    </row>
    <row r="1052">
      <c r="A1052" s="32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84"/>
      <c r="P1052" s="54"/>
      <c r="Q1052" s="54"/>
      <c r="R1052" s="55"/>
      <c r="S1052" s="55"/>
      <c r="T1052" s="32"/>
      <c r="U1052" s="32"/>
      <c r="V1052" s="32"/>
      <c r="W1052" s="32"/>
      <c r="X1052" s="32"/>
      <c r="Y1052" s="32"/>
      <c r="Z1052" s="32"/>
      <c r="AA1052" s="32"/>
      <c r="AB1052" s="32"/>
      <c r="AC1052" s="32"/>
    </row>
    <row r="1053">
      <c r="A1053" s="32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84"/>
      <c r="P1053" s="54"/>
      <c r="Q1053" s="54"/>
      <c r="R1053" s="55"/>
      <c r="S1053" s="55"/>
      <c r="T1053" s="32"/>
      <c r="U1053" s="32"/>
      <c r="V1053" s="32"/>
      <c r="W1053" s="32"/>
      <c r="X1053" s="32"/>
      <c r="Y1053" s="32"/>
      <c r="Z1053" s="32"/>
      <c r="AA1053" s="32"/>
      <c r="AB1053" s="32"/>
      <c r="AC1053" s="32"/>
    </row>
    <row r="1054">
      <c r="A1054" s="32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84"/>
      <c r="P1054" s="54"/>
      <c r="Q1054" s="54"/>
      <c r="R1054" s="55"/>
      <c r="S1054" s="55"/>
      <c r="T1054" s="32"/>
      <c r="U1054" s="32"/>
      <c r="V1054" s="32"/>
      <c r="W1054" s="32"/>
      <c r="X1054" s="32"/>
      <c r="Y1054" s="32"/>
      <c r="Z1054" s="32"/>
      <c r="AA1054" s="32"/>
      <c r="AB1054" s="32"/>
      <c r="AC1054" s="32"/>
    </row>
    <row r="1055">
      <c r="A1055" s="32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84"/>
      <c r="P1055" s="54"/>
      <c r="Q1055" s="54"/>
      <c r="R1055" s="55"/>
      <c r="S1055" s="55"/>
      <c r="T1055" s="32"/>
      <c r="U1055" s="32"/>
      <c r="V1055" s="32"/>
      <c r="W1055" s="32"/>
      <c r="X1055" s="32"/>
      <c r="Y1055" s="32"/>
      <c r="Z1055" s="32"/>
      <c r="AA1055" s="32"/>
      <c r="AB1055" s="32"/>
      <c r="AC1055" s="32"/>
    </row>
    <row r="1056">
      <c r="A1056" s="32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84"/>
      <c r="P1056" s="54"/>
      <c r="Q1056" s="54"/>
      <c r="R1056" s="55"/>
      <c r="S1056" s="55"/>
      <c r="T1056" s="32"/>
      <c r="U1056" s="32"/>
      <c r="V1056" s="32"/>
      <c r="W1056" s="32"/>
      <c r="X1056" s="32"/>
      <c r="Y1056" s="32"/>
      <c r="Z1056" s="32"/>
      <c r="AA1056" s="32"/>
      <c r="AB1056" s="32"/>
      <c r="AC1056" s="32"/>
    </row>
    <row r="1057">
      <c r="A1057" s="32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84"/>
      <c r="P1057" s="54"/>
      <c r="Q1057" s="54"/>
      <c r="R1057" s="55"/>
      <c r="S1057" s="55"/>
      <c r="T1057" s="32"/>
      <c r="U1057" s="32"/>
      <c r="V1057" s="32"/>
      <c r="W1057" s="32"/>
      <c r="X1057" s="32"/>
      <c r="Y1057" s="32"/>
      <c r="Z1057" s="32"/>
      <c r="AA1057" s="32"/>
      <c r="AB1057" s="32"/>
      <c r="AC1057" s="32"/>
    </row>
    <row r="1058">
      <c r="A1058" s="32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84"/>
      <c r="P1058" s="54"/>
      <c r="Q1058" s="54"/>
      <c r="R1058" s="55"/>
      <c r="S1058" s="55"/>
      <c r="T1058" s="32"/>
      <c r="U1058" s="32"/>
      <c r="V1058" s="32"/>
      <c r="W1058" s="32"/>
      <c r="X1058" s="32"/>
      <c r="Y1058" s="32"/>
      <c r="Z1058" s="32"/>
      <c r="AA1058" s="32"/>
      <c r="AB1058" s="32"/>
      <c r="AC1058" s="32"/>
    </row>
    <row r="1059">
      <c r="A1059" s="32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84"/>
      <c r="P1059" s="54"/>
      <c r="Q1059" s="54"/>
      <c r="R1059" s="55"/>
      <c r="S1059" s="55"/>
      <c r="T1059" s="32"/>
      <c r="U1059" s="32"/>
      <c r="V1059" s="32"/>
      <c r="W1059" s="32"/>
      <c r="X1059" s="32"/>
      <c r="Y1059" s="32"/>
      <c r="Z1059" s="32"/>
      <c r="AA1059" s="32"/>
      <c r="AB1059" s="32"/>
      <c r="AC1059" s="32"/>
    </row>
    <row r="1060">
      <c r="A1060" s="32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84"/>
      <c r="P1060" s="54"/>
      <c r="Q1060" s="54"/>
      <c r="R1060" s="55"/>
      <c r="S1060" s="55"/>
      <c r="T1060" s="32"/>
      <c r="U1060" s="32"/>
      <c r="V1060" s="32"/>
      <c r="W1060" s="32"/>
      <c r="X1060" s="32"/>
      <c r="Y1060" s="32"/>
      <c r="Z1060" s="32"/>
      <c r="AA1060" s="32"/>
      <c r="AB1060" s="32"/>
      <c r="AC1060" s="32"/>
    </row>
    <row r="1061">
      <c r="A1061" s="32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84"/>
      <c r="P1061" s="54"/>
      <c r="Q1061" s="54"/>
      <c r="R1061" s="55"/>
      <c r="S1061" s="55"/>
      <c r="T1061" s="32"/>
      <c r="U1061" s="32"/>
      <c r="V1061" s="32"/>
      <c r="W1061" s="32"/>
      <c r="X1061" s="32"/>
      <c r="Y1061" s="32"/>
      <c r="Z1061" s="32"/>
      <c r="AA1061" s="32"/>
      <c r="AB1061" s="32"/>
      <c r="AC1061" s="32"/>
    </row>
    <row r="1062">
      <c r="A1062" s="32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84"/>
      <c r="P1062" s="54"/>
      <c r="Q1062" s="54"/>
      <c r="R1062" s="55"/>
      <c r="S1062" s="55"/>
      <c r="T1062" s="32"/>
      <c r="U1062" s="32"/>
      <c r="V1062" s="32"/>
      <c r="W1062" s="32"/>
      <c r="X1062" s="32"/>
      <c r="Y1062" s="32"/>
      <c r="Z1062" s="32"/>
      <c r="AA1062" s="32"/>
      <c r="AB1062" s="32"/>
      <c r="AC1062" s="32"/>
    </row>
    <row r="1063">
      <c r="A1063" s="32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84"/>
      <c r="P1063" s="54"/>
      <c r="Q1063" s="54"/>
      <c r="R1063" s="55"/>
      <c r="S1063" s="55"/>
      <c r="T1063" s="32"/>
      <c r="U1063" s="32"/>
      <c r="V1063" s="32"/>
      <c r="W1063" s="32"/>
      <c r="X1063" s="32"/>
      <c r="Y1063" s="32"/>
      <c r="Z1063" s="32"/>
      <c r="AA1063" s="32"/>
      <c r="AB1063" s="32"/>
      <c r="AC1063" s="32"/>
    </row>
    <row r="1064">
      <c r="A1064" s="32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84"/>
      <c r="P1064" s="54"/>
      <c r="Q1064" s="54"/>
      <c r="R1064" s="55"/>
      <c r="S1064" s="55"/>
      <c r="T1064" s="32"/>
      <c r="U1064" s="32"/>
      <c r="V1064" s="32"/>
      <c r="W1064" s="32"/>
      <c r="X1064" s="32"/>
      <c r="Y1064" s="32"/>
      <c r="Z1064" s="32"/>
      <c r="AA1064" s="32"/>
      <c r="AB1064" s="32"/>
      <c r="AC1064" s="32"/>
    </row>
    <row r="1065">
      <c r="A1065" s="32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84"/>
      <c r="P1065" s="54"/>
      <c r="Q1065" s="54"/>
      <c r="R1065" s="55"/>
      <c r="S1065" s="55"/>
      <c r="T1065" s="32"/>
      <c r="U1065" s="32"/>
      <c r="V1065" s="32"/>
      <c r="W1065" s="32"/>
      <c r="X1065" s="32"/>
      <c r="Y1065" s="32"/>
      <c r="Z1065" s="32"/>
      <c r="AA1065" s="32"/>
      <c r="AB1065" s="32"/>
      <c r="AC1065" s="32"/>
    </row>
    <row r="1066">
      <c r="A1066" s="32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84"/>
      <c r="P1066" s="54"/>
      <c r="Q1066" s="54"/>
      <c r="R1066" s="55"/>
      <c r="S1066" s="55"/>
      <c r="T1066" s="32"/>
      <c r="U1066" s="32"/>
      <c r="V1066" s="32"/>
      <c r="W1066" s="32"/>
      <c r="X1066" s="32"/>
      <c r="Y1066" s="32"/>
      <c r="Z1066" s="32"/>
      <c r="AA1066" s="32"/>
      <c r="AB1066" s="32"/>
      <c r="AC1066" s="32"/>
    </row>
    <row r="1067">
      <c r="A1067" s="32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84"/>
      <c r="P1067" s="54"/>
      <c r="Q1067" s="54"/>
      <c r="R1067" s="55"/>
      <c r="S1067" s="55"/>
      <c r="T1067" s="32"/>
      <c r="U1067" s="32"/>
      <c r="V1067" s="32"/>
      <c r="W1067" s="32"/>
      <c r="X1067" s="32"/>
      <c r="Y1067" s="32"/>
      <c r="Z1067" s="32"/>
      <c r="AA1067" s="32"/>
      <c r="AB1067" s="32"/>
      <c r="AC1067" s="32"/>
    </row>
    <row r="1068">
      <c r="A1068" s="32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84"/>
      <c r="P1068" s="54"/>
      <c r="Q1068" s="54"/>
      <c r="R1068" s="55"/>
      <c r="S1068" s="55"/>
      <c r="T1068" s="32"/>
      <c r="U1068" s="32"/>
      <c r="V1068" s="32"/>
      <c r="W1068" s="32"/>
      <c r="X1068" s="32"/>
      <c r="Y1068" s="32"/>
      <c r="Z1068" s="32"/>
      <c r="AA1068" s="32"/>
      <c r="AB1068" s="32"/>
      <c r="AC1068" s="32"/>
    </row>
    <row r="1069">
      <c r="A1069" s="32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84"/>
      <c r="P1069" s="54"/>
      <c r="Q1069" s="54"/>
      <c r="R1069" s="55"/>
      <c r="S1069" s="55"/>
      <c r="T1069" s="32"/>
      <c r="U1069" s="32"/>
      <c r="V1069" s="32"/>
      <c r="W1069" s="32"/>
      <c r="X1069" s="32"/>
      <c r="Y1069" s="32"/>
      <c r="Z1069" s="32"/>
      <c r="AA1069" s="32"/>
      <c r="AB1069" s="32"/>
      <c r="AC1069" s="32"/>
    </row>
    <row r="1070">
      <c r="A1070" s="32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84"/>
      <c r="P1070" s="54"/>
      <c r="Q1070" s="54"/>
      <c r="R1070" s="55"/>
      <c r="S1070" s="55"/>
      <c r="T1070" s="32"/>
      <c r="U1070" s="32"/>
      <c r="V1070" s="32"/>
      <c r="W1070" s="32"/>
      <c r="X1070" s="32"/>
      <c r="Y1070" s="32"/>
      <c r="Z1070" s="32"/>
      <c r="AA1070" s="32"/>
      <c r="AB1070" s="32"/>
      <c r="AC1070" s="32"/>
    </row>
    <row r="1071">
      <c r="A1071" s="32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84"/>
      <c r="P1071" s="54"/>
      <c r="Q1071" s="54"/>
      <c r="R1071" s="55"/>
      <c r="S1071" s="55"/>
      <c r="T1071" s="32"/>
      <c r="U1071" s="32"/>
      <c r="V1071" s="32"/>
      <c r="W1071" s="32"/>
      <c r="X1071" s="32"/>
      <c r="Y1071" s="32"/>
      <c r="Z1071" s="32"/>
      <c r="AA1071" s="32"/>
      <c r="AB1071" s="32"/>
      <c r="AC1071" s="32"/>
    </row>
    <row r="1072">
      <c r="A1072" s="32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84"/>
      <c r="P1072" s="54"/>
      <c r="Q1072" s="54"/>
      <c r="R1072" s="55"/>
      <c r="S1072" s="55"/>
      <c r="T1072" s="32"/>
      <c r="U1072" s="32"/>
      <c r="V1072" s="32"/>
      <c r="W1072" s="32"/>
      <c r="X1072" s="32"/>
      <c r="Y1072" s="32"/>
      <c r="Z1072" s="32"/>
      <c r="AA1072" s="32"/>
      <c r="AB1072" s="32"/>
      <c r="AC1072" s="32"/>
    </row>
    <row r="1073">
      <c r="A1073" s="32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84"/>
      <c r="P1073" s="54"/>
      <c r="Q1073" s="54"/>
      <c r="R1073" s="55"/>
      <c r="S1073" s="55"/>
      <c r="T1073" s="32"/>
      <c r="U1073" s="32"/>
      <c r="V1073" s="32"/>
      <c r="W1073" s="32"/>
      <c r="X1073" s="32"/>
      <c r="Y1073" s="32"/>
      <c r="Z1073" s="32"/>
      <c r="AA1073" s="32"/>
      <c r="AB1073" s="32"/>
      <c r="AC1073" s="32"/>
    </row>
    <row r="1074">
      <c r="A1074" s="32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84"/>
      <c r="P1074" s="54"/>
      <c r="Q1074" s="54"/>
      <c r="R1074" s="55"/>
      <c r="S1074" s="55"/>
      <c r="T1074" s="32"/>
      <c r="U1074" s="32"/>
      <c r="V1074" s="32"/>
      <c r="W1074" s="32"/>
      <c r="X1074" s="32"/>
      <c r="Y1074" s="32"/>
      <c r="Z1074" s="32"/>
      <c r="AA1074" s="32"/>
      <c r="AB1074" s="32"/>
      <c r="AC1074" s="32"/>
    </row>
    <row r="1075">
      <c r="A1075" s="32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84"/>
      <c r="P1075" s="54"/>
      <c r="Q1075" s="54"/>
      <c r="R1075" s="55"/>
      <c r="S1075" s="55"/>
      <c r="T1075" s="32"/>
      <c r="U1075" s="32"/>
      <c r="V1075" s="32"/>
      <c r="W1075" s="32"/>
      <c r="X1075" s="32"/>
      <c r="Y1075" s="32"/>
      <c r="Z1075" s="32"/>
      <c r="AA1075" s="32"/>
      <c r="AB1075" s="32"/>
      <c r="AC1075" s="32"/>
    </row>
    <row r="1076">
      <c r="A1076" s="32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84"/>
      <c r="P1076" s="54"/>
      <c r="Q1076" s="54"/>
      <c r="R1076" s="55"/>
      <c r="S1076" s="55"/>
      <c r="T1076" s="32"/>
      <c r="U1076" s="32"/>
      <c r="V1076" s="32"/>
      <c r="W1076" s="32"/>
      <c r="X1076" s="32"/>
      <c r="Y1076" s="32"/>
      <c r="Z1076" s="32"/>
      <c r="AA1076" s="32"/>
      <c r="AB1076" s="32"/>
      <c r="AC1076" s="32"/>
    </row>
    <row r="1077">
      <c r="A1077" s="32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84"/>
      <c r="P1077" s="54"/>
      <c r="Q1077" s="54"/>
      <c r="R1077" s="55"/>
      <c r="S1077" s="55"/>
      <c r="T1077" s="32"/>
      <c r="U1077" s="32"/>
      <c r="V1077" s="32"/>
      <c r="W1077" s="32"/>
      <c r="X1077" s="32"/>
      <c r="Y1077" s="32"/>
      <c r="Z1077" s="32"/>
      <c r="AA1077" s="32"/>
      <c r="AB1077" s="32"/>
      <c r="AC1077" s="32"/>
    </row>
    <row r="1078">
      <c r="A1078" s="32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84"/>
      <c r="P1078" s="54"/>
      <c r="Q1078" s="54"/>
      <c r="R1078" s="55"/>
      <c r="S1078" s="55"/>
      <c r="T1078" s="32"/>
      <c r="U1078" s="32"/>
      <c r="V1078" s="32"/>
      <c r="W1078" s="32"/>
      <c r="X1078" s="32"/>
      <c r="Y1078" s="32"/>
      <c r="Z1078" s="32"/>
      <c r="AA1078" s="32"/>
      <c r="AB1078" s="32"/>
      <c r="AC1078" s="32"/>
    </row>
    <row r="1079">
      <c r="A1079" s="32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84"/>
      <c r="P1079" s="54"/>
      <c r="Q1079" s="54"/>
      <c r="R1079" s="55"/>
      <c r="S1079" s="55"/>
      <c r="T1079" s="32"/>
      <c r="U1079" s="32"/>
      <c r="V1079" s="32"/>
      <c r="W1079" s="32"/>
      <c r="X1079" s="32"/>
      <c r="Y1079" s="32"/>
      <c r="Z1079" s="32"/>
      <c r="AA1079" s="32"/>
      <c r="AB1079" s="32"/>
      <c r="AC1079" s="32"/>
    </row>
    <row r="1080">
      <c r="A1080" s="32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84"/>
      <c r="P1080" s="54"/>
      <c r="Q1080" s="54"/>
      <c r="R1080" s="55"/>
      <c r="S1080" s="55"/>
      <c r="T1080" s="32"/>
      <c r="U1080" s="32"/>
      <c r="V1080" s="32"/>
      <c r="W1080" s="32"/>
      <c r="X1080" s="32"/>
      <c r="Y1080" s="32"/>
      <c r="Z1080" s="32"/>
      <c r="AA1080" s="32"/>
      <c r="AB1080" s="32"/>
      <c r="AC1080" s="32"/>
    </row>
    <row r="1081">
      <c r="A1081" s="32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84"/>
      <c r="P1081" s="54"/>
      <c r="Q1081" s="54"/>
      <c r="R1081" s="55"/>
      <c r="S1081" s="55"/>
      <c r="T1081" s="32"/>
      <c r="U1081" s="32"/>
      <c r="V1081" s="32"/>
      <c r="W1081" s="32"/>
      <c r="X1081" s="32"/>
      <c r="Y1081" s="32"/>
      <c r="Z1081" s="32"/>
      <c r="AA1081" s="32"/>
      <c r="AB1081" s="32"/>
      <c r="AC1081" s="32"/>
    </row>
    <row r="1082">
      <c r="A1082" s="32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84"/>
      <c r="P1082" s="54"/>
      <c r="Q1082" s="54"/>
      <c r="R1082" s="55"/>
      <c r="S1082" s="55"/>
      <c r="T1082" s="32"/>
      <c r="U1082" s="32"/>
      <c r="V1082" s="32"/>
      <c r="W1082" s="32"/>
      <c r="X1082" s="32"/>
      <c r="Y1082" s="32"/>
      <c r="Z1082" s="32"/>
      <c r="AA1082" s="32"/>
      <c r="AB1082" s="32"/>
      <c r="AC1082" s="32"/>
    </row>
    <row r="1083">
      <c r="A1083" s="32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84"/>
      <c r="P1083" s="54"/>
      <c r="Q1083" s="54"/>
      <c r="R1083" s="55"/>
      <c r="S1083" s="55"/>
      <c r="T1083" s="32"/>
      <c r="U1083" s="32"/>
      <c r="V1083" s="32"/>
      <c r="W1083" s="32"/>
      <c r="X1083" s="32"/>
      <c r="Y1083" s="32"/>
      <c r="Z1083" s="32"/>
      <c r="AA1083" s="32"/>
      <c r="AB1083" s="32"/>
      <c r="AC1083" s="32"/>
    </row>
    <row r="1084">
      <c r="A1084" s="32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84"/>
      <c r="P1084" s="54"/>
      <c r="Q1084" s="54"/>
      <c r="R1084" s="55"/>
      <c r="S1084" s="55"/>
      <c r="T1084" s="32"/>
      <c r="U1084" s="32"/>
      <c r="V1084" s="32"/>
      <c r="W1084" s="32"/>
      <c r="X1084" s="32"/>
      <c r="Y1084" s="32"/>
      <c r="Z1084" s="32"/>
      <c r="AA1084" s="32"/>
      <c r="AB1084" s="32"/>
      <c r="AC1084" s="32"/>
    </row>
    <row r="1085">
      <c r="A1085" s="32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84"/>
      <c r="P1085" s="54"/>
      <c r="Q1085" s="54"/>
      <c r="R1085" s="55"/>
      <c r="S1085" s="55"/>
      <c r="T1085" s="32"/>
      <c r="U1085" s="32"/>
      <c r="V1085" s="32"/>
      <c r="W1085" s="32"/>
      <c r="X1085" s="32"/>
      <c r="Y1085" s="32"/>
      <c r="Z1085" s="32"/>
      <c r="AA1085" s="32"/>
      <c r="AB1085" s="32"/>
      <c r="AC1085" s="32"/>
    </row>
    <row r="1086">
      <c r="A1086" s="32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84"/>
      <c r="P1086" s="54"/>
      <c r="Q1086" s="54"/>
      <c r="R1086" s="55"/>
      <c r="S1086" s="55"/>
      <c r="T1086" s="32"/>
      <c r="U1086" s="32"/>
      <c r="V1086" s="32"/>
      <c r="W1086" s="32"/>
      <c r="X1086" s="32"/>
      <c r="Y1086" s="32"/>
      <c r="Z1086" s="32"/>
      <c r="AA1086" s="32"/>
      <c r="AB1086" s="32"/>
      <c r="AC1086" s="32"/>
    </row>
    <row r="1087">
      <c r="A1087" s="32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84"/>
      <c r="P1087" s="54"/>
      <c r="Q1087" s="54"/>
      <c r="R1087" s="55"/>
      <c r="S1087" s="55"/>
      <c r="T1087" s="32"/>
      <c r="U1087" s="32"/>
      <c r="V1087" s="32"/>
      <c r="W1087" s="32"/>
      <c r="X1087" s="32"/>
      <c r="Y1087" s="32"/>
      <c r="Z1087" s="32"/>
      <c r="AA1087" s="32"/>
      <c r="AB1087" s="32"/>
      <c r="AC1087" s="32"/>
    </row>
    <row r="1088">
      <c r="A1088" s="32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84"/>
      <c r="P1088" s="54"/>
      <c r="Q1088" s="54"/>
      <c r="R1088" s="55"/>
      <c r="S1088" s="55"/>
      <c r="T1088" s="32"/>
      <c r="U1088" s="32"/>
      <c r="V1088" s="32"/>
      <c r="W1088" s="32"/>
      <c r="X1088" s="32"/>
      <c r="Y1088" s="32"/>
      <c r="Z1088" s="32"/>
      <c r="AA1088" s="32"/>
      <c r="AB1088" s="32"/>
      <c r="AC1088" s="32"/>
    </row>
    <row r="1089">
      <c r="A1089" s="32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84"/>
      <c r="P1089" s="54"/>
      <c r="Q1089" s="54"/>
      <c r="R1089" s="55"/>
      <c r="S1089" s="55"/>
      <c r="T1089" s="32"/>
      <c r="U1089" s="32"/>
      <c r="V1089" s="32"/>
      <c r="W1089" s="32"/>
      <c r="X1089" s="32"/>
      <c r="Y1089" s="32"/>
      <c r="Z1089" s="32"/>
      <c r="AA1089" s="32"/>
      <c r="AB1089" s="32"/>
      <c r="AC1089" s="32"/>
    </row>
    <row r="1090">
      <c r="A1090" s="32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84"/>
      <c r="P1090" s="54"/>
      <c r="Q1090" s="54"/>
      <c r="R1090" s="55"/>
      <c r="S1090" s="55"/>
      <c r="T1090" s="32"/>
      <c r="U1090" s="32"/>
      <c r="V1090" s="32"/>
      <c r="W1090" s="32"/>
      <c r="X1090" s="32"/>
      <c r="Y1090" s="32"/>
      <c r="Z1090" s="32"/>
      <c r="AA1090" s="32"/>
      <c r="AB1090" s="32"/>
      <c r="AC1090" s="32"/>
    </row>
    <row r="1091">
      <c r="A1091" s="32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84"/>
      <c r="P1091" s="54"/>
      <c r="Q1091" s="54"/>
      <c r="R1091" s="55"/>
      <c r="S1091" s="55"/>
      <c r="T1091" s="32"/>
      <c r="U1091" s="32"/>
      <c r="V1091" s="32"/>
      <c r="W1091" s="32"/>
      <c r="X1091" s="32"/>
      <c r="Y1091" s="32"/>
      <c r="Z1091" s="32"/>
      <c r="AA1091" s="32"/>
      <c r="AB1091" s="32"/>
      <c r="AC1091" s="32"/>
    </row>
    <row r="1092">
      <c r="A1092" s="32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84"/>
      <c r="P1092" s="54"/>
      <c r="Q1092" s="54"/>
      <c r="R1092" s="55"/>
      <c r="S1092" s="55"/>
      <c r="T1092" s="32"/>
      <c r="U1092" s="32"/>
      <c r="V1092" s="32"/>
      <c r="W1092" s="32"/>
      <c r="X1092" s="32"/>
      <c r="Y1092" s="32"/>
      <c r="Z1092" s="32"/>
      <c r="AA1092" s="32"/>
      <c r="AB1092" s="32"/>
      <c r="AC1092" s="32"/>
    </row>
    <row r="1093">
      <c r="A1093" s="32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84"/>
      <c r="P1093" s="54"/>
      <c r="Q1093" s="54"/>
      <c r="R1093" s="55"/>
      <c r="S1093" s="55"/>
      <c r="T1093" s="32"/>
      <c r="U1093" s="32"/>
      <c r="V1093" s="32"/>
      <c r="W1093" s="32"/>
      <c r="X1093" s="32"/>
      <c r="Y1093" s="32"/>
      <c r="Z1093" s="32"/>
      <c r="AA1093" s="32"/>
      <c r="AB1093" s="32"/>
      <c r="AC1093" s="32"/>
    </row>
    <row r="1094">
      <c r="A1094" s="32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84"/>
      <c r="P1094" s="54"/>
      <c r="Q1094" s="54"/>
      <c r="R1094" s="55"/>
      <c r="S1094" s="55"/>
      <c r="T1094" s="32"/>
      <c r="U1094" s="32"/>
      <c r="V1094" s="32"/>
      <c r="W1094" s="32"/>
      <c r="X1094" s="32"/>
      <c r="Y1094" s="32"/>
      <c r="Z1094" s="32"/>
      <c r="AA1094" s="32"/>
      <c r="AB1094" s="32"/>
      <c r="AC1094" s="32"/>
    </row>
    <row r="1095">
      <c r="A1095" s="32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84"/>
      <c r="P1095" s="54"/>
      <c r="Q1095" s="54"/>
      <c r="R1095" s="55"/>
      <c r="S1095" s="55"/>
      <c r="T1095" s="32"/>
      <c r="U1095" s="32"/>
      <c r="V1095" s="32"/>
      <c r="W1095" s="32"/>
      <c r="X1095" s="32"/>
      <c r="Y1095" s="32"/>
      <c r="Z1095" s="32"/>
      <c r="AA1095" s="32"/>
      <c r="AB1095" s="32"/>
      <c r="AC1095" s="32"/>
    </row>
    <row r="1096">
      <c r="A1096" s="32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84"/>
      <c r="P1096" s="54"/>
      <c r="Q1096" s="54"/>
      <c r="R1096" s="55"/>
      <c r="S1096" s="55"/>
      <c r="T1096" s="32"/>
      <c r="U1096" s="32"/>
      <c r="V1096" s="32"/>
      <c r="W1096" s="32"/>
      <c r="X1096" s="32"/>
      <c r="Y1096" s="32"/>
      <c r="Z1096" s="32"/>
      <c r="AA1096" s="32"/>
      <c r="AB1096" s="32"/>
      <c r="AC1096" s="32"/>
    </row>
    <row r="1097">
      <c r="A1097" s="32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84"/>
      <c r="P1097" s="54"/>
      <c r="Q1097" s="54"/>
      <c r="R1097" s="55"/>
      <c r="S1097" s="55"/>
      <c r="T1097" s="32"/>
      <c r="U1097" s="32"/>
      <c r="V1097" s="32"/>
      <c r="W1097" s="32"/>
      <c r="X1097" s="32"/>
      <c r="Y1097" s="32"/>
      <c r="Z1097" s="32"/>
      <c r="AA1097" s="32"/>
      <c r="AB1097" s="32"/>
      <c r="AC1097" s="32"/>
    </row>
    <row r="1098">
      <c r="A1098" s="32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84"/>
      <c r="P1098" s="54"/>
      <c r="Q1098" s="54"/>
      <c r="R1098" s="55"/>
      <c r="S1098" s="55"/>
      <c r="T1098" s="32"/>
      <c r="U1098" s="32"/>
      <c r="V1098" s="32"/>
      <c r="W1098" s="32"/>
      <c r="X1098" s="32"/>
      <c r="Y1098" s="32"/>
      <c r="Z1098" s="32"/>
      <c r="AA1098" s="32"/>
      <c r="AB1098" s="32"/>
      <c r="AC1098" s="32"/>
    </row>
    <row r="1099">
      <c r="A1099" s="32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84"/>
      <c r="P1099" s="54"/>
      <c r="Q1099" s="54"/>
      <c r="R1099" s="55"/>
      <c r="S1099" s="55"/>
      <c r="T1099" s="32"/>
      <c r="U1099" s="32"/>
      <c r="V1099" s="32"/>
      <c r="W1099" s="32"/>
      <c r="X1099" s="32"/>
      <c r="Y1099" s="32"/>
      <c r="Z1099" s="32"/>
      <c r="AA1099" s="32"/>
      <c r="AB1099" s="32"/>
      <c r="AC1099" s="32"/>
    </row>
    <row r="1100">
      <c r="A1100" s="32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84"/>
      <c r="P1100" s="54"/>
      <c r="Q1100" s="54"/>
      <c r="R1100" s="55"/>
      <c r="S1100" s="55"/>
      <c r="T1100" s="32"/>
      <c r="U1100" s="32"/>
      <c r="V1100" s="32"/>
      <c r="W1100" s="32"/>
      <c r="X1100" s="32"/>
      <c r="Y1100" s="32"/>
      <c r="Z1100" s="32"/>
      <c r="AA1100" s="32"/>
      <c r="AB1100" s="32"/>
      <c r="AC1100" s="32"/>
    </row>
    <row r="1101">
      <c r="A1101" s="32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84"/>
      <c r="P1101" s="54"/>
      <c r="Q1101" s="54"/>
      <c r="R1101" s="55"/>
      <c r="S1101" s="55"/>
      <c r="T1101" s="32"/>
      <c r="U1101" s="32"/>
      <c r="V1101" s="32"/>
      <c r="W1101" s="32"/>
      <c r="X1101" s="32"/>
      <c r="Y1101" s="32"/>
      <c r="Z1101" s="32"/>
      <c r="AA1101" s="32"/>
      <c r="AB1101" s="32"/>
      <c r="AC1101" s="32"/>
    </row>
    <row r="1102">
      <c r="A1102" s="32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84"/>
      <c r="P1102" s="54"/>
      <c r="Q1102" s="54"/>
      <c r="R1102" s="55"/>
      <c r="S1102" s="55"/>
      <c r="T1102" s="32"/>
      <c r="U1102" s="32"/>
      <c r="V1102" s="32"/>
      <c r="W1102" s="32"/>
      <c r="X1102" s="32"/>
      <c r="Y1102" s="32"/>
      <c r="Z1102" s="32"/>
      <c r="AA1102" s="32"/>
      <c r="AB1102" s="32"/>
      <c r="AC1102" s="32"/>
    </row>
    <row r="1103">
      <c r="A1103" s="32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84"/>
      <c r="P1103" s="54"/>
      <c r="Q1103" s="54"/>
      <c r="R1103" s="55"/>
      <c r="S1103" s="55"/>
      <c r="T1103" s="32"/>
      <c r="U1103" s="32"/>
      <c r="V1103" s="32"/>
      <c r="W1103" s="32"/>
      <c r="X1103" s="32"/>
      <c r="Y1103" s="32"/>
      <c r="Z1103" s="32"/>
      <c r="AA1103" s="32"/>
      <c r="AB1103" s="32"/>
      <c r="AC1103" s="32"/>
    </row>
    <row r="1104">
      <c r="A1104" s="32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84"/>
      <c r="P1104" s="54"/>
      <c r="Q1104" s="54"/>
      <c r="R1104" s="55"/>
      <c r="S1104" s="55"/>
      <c r="T1104" s="32"/>
      <c r="U1104" s="32"/>
      <c r="V1104" s="32"/>
      <c r="W1104" s="32"/>
      <c r="X1104" s="32"/>
      <c r="Y1104" s="32"/>
      <c r="Z1104" s="32"/>
      <c r="AA1104" s="32"/>
      <c r="AB1104" s="32"/>
      <c r="AC1104" s="32"/>
    </row>
    <row r="1105">
      <c r="A1105" s="32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84"/>
      <c r="P1105" s="54"/>
      <c r="Q1105" s="54"/>
      <c r="R1105" s="55"/>
      <c r="S1105" s="55"/>
      <c r="T1105" s="32"/>
      <c r="U1105" s="32"/>
      <c r="V1105" s="32"/>
      <c r="W1105" s="32"/>
      <c r="X1105" s="32"/>
      <c r="Y1105" s="32"/>
      <c r="Z1105" s="32"/>
      <c r="AA1105" s="32"/>
      <c r="AB1105" s="32"/>
      <c r="AC1105" s="32"/>
    </row>
    <row r="1106">
      <c r="A1106" s="32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84"/>
      <c r="P1106" s="54"/>
      <c r="Q1106" s="54"/>
      <c r="R1106" s="55"/>
      <c r="S1106" s="55"/>
      <c r="T1106" s="32"/>
      <c r="U1106" s="32"/>
      <c r="V1106" s="32"/>
      <c r="W1106" s="32"/>
      <c r="X1106" s="32"/>
      <c r="Y1106" s="32"/>
      <c r="Z1106" s="32"/>
      <c r="AA1106" s="32"/>
      <c r="AB1106" s="32"/>
      <c r="AC1106" s="32"/>
    </row>
    <row r="1107">
      <c r="A1107" s="32"/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84"/>
      <c r="P1107" s="54"/>
      <c r="Q1107" s="54"/>
      <c r="R1107" s="55"/>
      <c r="S1107" s="55"/>
      <c r="T1107" s="32"/>
      <c r="U1107" s="32"/>
      <c r="V1107" s="32"/>
      <c r="W1107" s="32"/>
      <c r="X1107" s="32"/>
      <c r="Y1107" s="32"/>
      <c r="Z1107" s="32"/>
      <c r="AA1107" s="32"/>
      <c r="AB1107" s="32"/>
      <c r="AC1107" s="32"/>
    </row>
    <row r="1108">
      <c r="A1108" s="32"/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84"/>
      <c r="P1108" s="54"/>
      <c r="Q1108" s="54"/>
      <c r="R1108" s="55"/>
      <c r="S1108" s="55"/>
      <c r="T1108" s="32"/>
      <c r="U1108" s="32"/>
      <c r="V1108" s="32"/>
      <c r="W1108" s="32"/>
      <c r="X1108" s="32"/>
      <c r="Y1108" s="32"/>
      <c r="Z1108" s="32"/>
      <c r="AA1108" s="32"/>
      <c r="AB1108" s="32"/>
      <c r="AC1108" s="32"/>
    </row>
    <row r="1109">
      <c r="A1109" s="32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84"/>
      <c r="P1109" s="54"/>
      <c r="Q1109" s="54"/>
      <c r="R1109" s="55"/>
      <c r="S1109" s="55"/>
      <c r="T1109" s="32"/>
      <c r="U1109" s="32"/>
      <c r="V1109" s="32"/>
      <c r="W1109" s="32"/>
      <c r="X1109" s="32"/>
      <c r="Y1109" s="32"/>
      <c r="Z1109" s="32"/>
      <c r="AA1109" s="32"/>
      <c r="AB1109" s="32"/>
      <c r="AC1109" s="32"/>
    </row>
    <row r="1110">
      <c r="A1110" s="32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84"/>
      <c r="P1110" s="54"/>
      <c r="Q1110" s="54"/>
      <c r="R1110" s="55"/>
      <c r="S1110" s="55"/>
      <c r="T1110" s="32"/>
      <c r="U1110" s="32"/>
      <c r="V1110" s="32"/>
      <c r="W1110" s="32"/>
      <c r="X1110" s="32"/>
      <c r="Y1110" s="32"/>
      <c r="Z1110" s="32"/>
      <c r="AA1110" s="32"/>
      <c r="AB1110" s="32"/>
      <c r="AC1110" s="32"/>
    </row>
    <row r="1111">
      <c r="A1111" s="32"/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84"/>
      <c r="P1111" s="54"/>
      <c r="Q1111" s="54"/>
      <c r="R1111" s="55"/>
      <c r="S1111" s="55"/>
      <c r="T1111" s="32"/>
      <c r="U1111" s="32"/>
      <c r="V1111" s="32"/>
      <c r="W1111" s="32"/>
      <c r="X1111" s="32"/>
      <c r="Y1111" s="32"/>
      <c r="Z1111" s="32"/>
      <c r="AA1111" s="32"/>
      <c r="AB1111" s="32"/>
      <c r="AC1111" s="32"/>
    </row>
    <row r="1112">
      <c r="A1112" s="32"/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84"/>
      <c r="P1112" s="54"/>
      <c r="Q1112" s="54"/>
      <c r="R1112" s="55"/>
      <c r="S1112" s="55"/>
      <c r="T1112" s="32"/>
      <c r="U1112" s="32"/>
      <c r="V1112" s="32"/>
      <c r="W1112" s="32"/>
      <c r="X1112" s="32"/>
      <c r="Y1112" s="32"/>
      <c r="Z1112" s="32"/>
      <c r="AA1112" s="32"/>
      <c r="AB1112" s="32"/>
      <c r="AC1112" s="32"/>
    </row>
    <row r="1113">
      <c r="A1113" s="32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84"/>
      <c r="P1113" s="54"/>
      <c r="Q1113" s="54"/>
      <c r="R1113" s="55"/>
      <c r="S1113" s="55"/>
      <c r="T1113" s="32"/>
      <c r="U1113" s="32"/>
      <c r="V1113" s="32"/>
      <c r="W1113" s="32"/>
      <c r="X1113" s="32"/>
      <c r="Y1113" s="32"/>
      <c r="Z1113" s="32"/>
      <c r="AA1113" s="32"/>
      <c r="AB1113" s="32"/>
      <c r="AC1113" s="32"/>
    </row>
    <row r="1114">
      <c r="A1114" s="32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84"/>
      <c r="P1114" s="54"/>
      <c r="Q1114" s="54"/>
      <c r="R1114" s="55"/>
      <c r="S1114" s="55"/>
      <c r="T1114" s="32"/>
      <c r="U1114" s="32"/>
      <c r="V1114" s="32"/>
      <c r="W1114" s="32"/>
      <c r="X1114" s="32"/>
      <c r="Y1114" s="32"/>
      <c r="Z1114" s="32"/>
      <c r="AA1114" s="32"/>
      <c r="AB1114" s="32"/>
      <c r="AC1114" s="32"/>
    </row>
    <row r="1115">
      <c r="A1115" s="32"/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84"/>
      <c r="P1115" s="54"/>
      <c r="Q1115" s="54"/>
      <c r="R1115" s="55"/>
      <c r="S1115" s="55"/>
      <c r="T1115" s="32"/>
      <c r="U1115" s="32"/>
      <c r="V1115" s="32"/>
      <c r="W1115" s="32"/>
      <c r="X1115" s="32"/>
      <c r="Y1115" s="32"/>
      <c r="Z1115" s="32"/>
      <c r="AA1115" s="32"/>
      <c r="AB1115" s="32"/>
      <c r="AC1115" s="32"/>
    </row>
    <row r="1116">
      <c r="A1116" s="32"/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84"/>
      <c r="P1116" s="54"/>
      <c r="Q1116" s="54"/>
      <c r="R1116" s="55"/>
      <c r="S1116" s="55"/>
      <c r="T1116" s="32"/>
      <c r="U1116" s="32"/>
      <c r="V1116" s="32"/>
      <c r="W1116" s="32"/>
      <c r="X1116" s="32"/>
      <c r="Y1116" s="32"/>
      <c r="Z1116" s="32"/>
      <c r="AA1116" s="32"/>
      <c r="AB1116" s="32"/>
      <c r="AC1116" s="32"/>
    </row>
    <row r="1117">
      <c r="A1117" s="32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84"/>
      <c r="P1117" s="54"/>
      <c r="Q1117" s="54"/>
      <c r="R1117" s="55"/>
      <c r="S1117" s="55"/>
      <c r="T1117" s="32"/>
      <c r="U1117" s="32"/>
      <c r="V1117" s="32"/>
      <c r="W1117" s="32"/>
      <c r="X1117" s="32"/>
      <c r="Y1117" s="32"/>
      <c r="Z1117" s="32"/>
      <c r="AA1117" s="32"/>
      <c r="AB1117" s="32"/>
      <c r="AC1117" s="32"/>
    </row>
    <row r="1118">
      <c r="A1118" s="32"/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84"/>
      <c r="P1118" s="54"/>
      <c r="Q1118" s="54"/>
      <c r="R1118" s="55"/>
      <c r="S1118" s="55"/>
      <c r="T1118" s="32"/>
      <c r="U1118" s="32"/>
      <c r="V1118" s="32"/>
      <c r="W1118" s="32"/>
      <c r="X1118" s="32"/>
      <c r="Y1118" s="32"/>
      <c r="Z1118" s="32"/>
      <c r="AA1118" s="32"/>
      <c r="AB1118" s="32"/>
      <c r="AC1118" s="32"/>
    </row>
    <row r="1119">
      <c r="A1119" s="32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84"/>
      <c r="P1119" s="54"/>
      <c r="Q1119" s="54"/>
      <c r="R1119" s="55"/>
      <c r="S1119" s="55"/>
      <c r="T1119" s="32"/>
      <c r="U1119" s="32"/>
      <c r="V1119" s="32"/>
      <c r="W1119" s="32"/>
      <c r="X1119" s="32"/>
      <c r="Y1119" s="32"/>
      <c r="Z1119" s="32"/>
      <c r="AA1119" s="32"/>
      <c r="AB1119" s="32"/>
      <c r="AC1119" s="32"/>
    </row>
    <row r="1120">
      <c r="A1120" s="32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84"/>
      <c r="P1120" s="54"/>
      <c r="Q1120" s="54"/>
      <c r="R1120" s="55"/>
      <c r="S1120" s="55"/>
      <c r="T1120" s="32"/>
      <c r="U1120" s="32"/>
      <c r="V1120" s="32"/>
      <c r="W1120" s="32"/>
      <c r="X1120" s="32"/>
      <c r="Y1120" s="32"/>
      <c r="Z1120" s="32"/>
      <c r="AA1120" s="32"/>
      <c r="AB1120" s="32"/>
      <c r="AC1120" s="32"/>
    </row>
    <row r="1121">
      <c r="A1121" s="32"/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84"/>
      <c r="P1121" s="54"/>
      <c r="Q1121" s="54"/>
      <c r="R1121" s="55"/>
      <c r="S1121" s="55"/>
      <c r="T1121" s="32"/>
      <c r="U1121" s="32"/>
      <c r="V1121" s="32"/>
      <c r="W1121" s="32"/>
      <c r="X1121" s="32"/>
      <c r="Y1121" s="32"/>
      <c r="Z1121" s="32"/>
      <c r="AA1121" s="32"/>
      <c r="AB1121" s="32"/>
      <c r="AC1121" s="32"/>
    </row>
    <row r="1122">
      <c r="A1122" s="32"/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84"/>
      <c r="P1122" s="54"/>
      <c r="Q1122" s="54"/>
      <c r="R1122" s="55"/>
      <c r="S1122" s="55"/>
      <c r="T1122" s="32"/>
      <c r="U1122" s="32"/>
      <c r="V1122" s="32"/>
      <c r="W1122" s="32"/>
      <c r="X1122" s="32"/>
      <c r="Y1122" s="32"/>
      <c r="Z1122" s="32"/>
      <c r="AA1122" s="32"/>
      <c r="AB1122" s="32"/>
      <c r="AC1122" s="32"/>
    </row>
    <row r="1123">
      <c r="A1123" s="32"/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84"/>
      <c r="P1123" s="54"/>
      <c r="Q1123" s="54"/>
      <c r="R1123" s="55"/>
      <c r="S1123" s="55"/>
      <c r="T1123" s="32"/>
      <c r="U1123" s="32"/>
      <c r="V1123" s="32"/>
      <c r="W1123" s="32"/>
      <c r="X1123" s="32"/>
      <c r="Y1123" s="32"/>
      <c r="Z1123" s="32"/>
      <c r="AA1123" s="32"/>
      <c r="AB1123" s="32"/>
      <c r="AC1123" s="32"/>
    </row>
    <row r="1124">
      <c r="A1124" s="32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84"/>
      <c r="P1124" s="54"/>
      <c r="Q1124" s="54"/>
      <c r="R1124" s="55"/>
      <c r="S1124" s="55"/>
      <c r="T1124" s="32"/>
      <c r="U1124" s="32"/>
      <c r="V1124" s="32"/>
      <c r="W1124" s="32"/>
      <c r="X1124" s="32"/>
      <c r="Y1124" s="32"/>
      <c r="Z1124" s="32"/>
      <c r="AA1124" s="32"/>
      <c r="AB1124" s="32"/>
      <c r="AC1124" s="32"/>
    </row>
    <row r="1125">
      <c r="A1125" s="32"/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84"/>
      <c r="P1125" s="54"/>
      <c r="Q1125" s="54"/>
      <c r="R1125" s="55"/>
      <c r="S1125" s="55"/>
      <c r="T1125" s="32"/>
      <c r="U1125" s="32"/>
      <c r="V1125" s="32"/>
      <c r="W1125" s="32"/>
      <c r="X1125" s="32"/>
      <c r="Y1125" s="32"/>
      <c r="Z1125" s="32"/>
      <c r="AA1125" s="32"/>
      <c r="AB1125" s="32"/>
      <c r="AC1125" s="32"/>
    </row>
    <row r="1126">
      <c r="A1126" s="32"/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84"/>
      <c r="P1126" s="54"/>
      <c r="Q1126" s="54"/>
      <c r="R1126" s="55"/>
      <c r="S1126" s="55"/>
      <c r="T1126" s="32"/>
      <c r="U1126" s="32"/>
      <c r="V1126" s="32"/>
      <c r="W1126" s="32"/>
      <c r="X1126" s="32"/>
      <c r="Y1126" s="32"/>
      <c r="Z1126" s="32"/>
      <c r="AA1126" s="32"/>
      <c r="AB1126" s="32"/>
      <c r="AC1126" s="32"/>
    </row>
    <row r="1127">
      <c r="A1127" s="32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84"/>
      <c r="P1127" s="54"/>
      <c r="Q1127" s="54"/>
      <c r="R1127" s="55"/>
      <c r="S1127" s="55"/>
      <c r="T1127" s="32"/>
      <c r="U1127" s="32"/>
      <c r="V1127" s="32"/>
      <c r="W1127" s="32"/>
      <c r="X1127" s="32"/>
      <c r="Y1127" s="32"/>
      <c r="Z1127" s="32"/>
      <c r="AA1127" s="32"/>
      <c r="AB1127" s="32"/>
      <c r="AC1127" s="32"/>
    </row>
    <row r="1128">
      <c r="A1128" s="32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84"/>
      <c r="P1128" s="54"/>
      <c r="Q1128" s="54"/>
      <c r="R1128" s="55"/>
      <c r="S1128" s="55"/>
      <c r="T1128" s="32"/>
      <c r="U1128" s="32"/>
      <c r="V1128" s="32"/>
      <c r="W1128" s="32"/>
      <c r="X1128" s="32"/>
      <c r="Y1128" s="32"/>
      <c r="Z1128" s="32"/>
      <c r="AA1128" s="32"/>
      <c r="AB1128" s="32"/>
      <c r="AC1128" s="32"/>
    </row>
    <row r="1129">
      <c r="A1129" s="32"/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84"/>
      <c r="P1129" s="54"/>
      <c r="Q1129" s="54"/>
      <c r="R1129" s="55"/>
      <c r="S1129" s="55"/>
      <c r="T1129" s="32"/>
      <c r="U1129" s="32"/>
      <c r="V1129" s="32"/>
      <c r="W1129" s="32"/>
      <c r="X1129" s="32"/>
      <c r="Y1129" s="32"/>
      <c r="Z1129" s="32"/>
      <c r="AA1129" s="32"/>
      <c r="AB1129" s="32"/>
      <c r="AC1129" s="32"/>
    </row>
    <row r="1130">
      <c r="A1130" s="32"/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84"/>
      <c r="P1130" s="54"/>
      <c r="Q1130" s="54"/>
      <c r="R1130" s="55"/>
      <c r="S1130" s="55"/>
      <c r="T1130" s="32"/>
      <c r="U1130" s="32"/>
      <c r="V1130" s="32"/>
      <c r="W1130" s="32"/>
      <c r="X1130" s="32"/>
      <c r="Y1130" s="32"/>
      <c r="Z1130" s="32"/>
      <c r="AA1130" s="32"/>
      <c r="AB1130" s="32"/>
      <c r="AC1130" s="32"/>
    </row>
    <row r="1131">
      <c r="A1131" s="32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84"/>
      <c r="P1131" s="54"/>
      <c r="Q1131" s="54"/>
      <c r="R1131" s="55"/>
      <c r="S1131" s="55"/>
      <c r="T1131" s="32"/>
      <c r="U1131" s="32"/>
      <c r="V1131" s="32"/>
      <c r="W1131" s="32"/>
      <c r="X1131" s="32"/>
      <c r="Y1131" s="32"/>
      <c r="Z1131" s="32"/>
      <c r="AA1131" s="32"/>
      <c r="AB1131" s="32"/>
      <c r="AC1131" s="32"/>
    </row>
    <row r="1132">
      <c r="A1132" s="32"/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84"/>
      <c r="P1132" s="54"/>
      <c r="Q1132" s="54"/>
      <c r="R1132" s="55"/>
      <c r="S1132" s="55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</row>
    <row r="1133">
      <c r="A1133" s="32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84"/>
      <c r="P1133" s="54"/>
      <c r="Q1133" s="54"/>
      <c r="R1133" s="55"/>
      <c r="S1133" s="55"/>
      <c r="T1133" s="32"/>
      <c r="U1133" s="32"/>
      <c r="V1133" s="32"/>
      <c r="W1133" s="32"/>
      <c r="X1133" s="32"/>
      <c r="Y1133" s="32"/>
      <c r="Z1133" s="32"/>
      <c r="AA1133" s="32"/>
      <c r="AB1133" s="32"/>
      <c r="AC1133" s="32"/>
    </row>
    <row r="1134">
      <c r="A1134" s="32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84"/>
      <c r="P1134" s="54"/>
      <c r="Q1134" s="54"/>
      <c r="R1134" s="55"/>
      <c r="S1134" s="55"/>
      <c r="T1134" s="32"/>
      <c r="U1134" s="32"/>
      <c r="V1134" s="32"/>
      <c r="W1134" s="32"/>
      <c r="X1134" s="32"/>
      <c r="Y1134" s="32"/>
      <c r="Z1134" s="32"/>
      <c r="AA1134" s="32"/>
      <c r="AB1134" s="32"/>
      <c r="AC1134" s="32"/>
    </row>
    <row r="1135">
      <c r="A1135" s="32"/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84"/>
      <c r="P1135" s="54"/>
      <c r="Q1135" s="54"/>
      <c r="R1135" s="55"/>
      <c r="S1135" s="55"/>
      <c r="T1135" s="32"/>
      <c r="U1135" s="32"/>
      <c r="V1135" s="32"/>
      <c r="W1135" s="32"/>
      <c r="X1135" s="32"/>
      <c r="Y1135" s="32"/>
      <c r="Z1135" s="32"/>
      <c r="AA1135" s="32"/>
      <c r="AB1135" s="32"/>
      <c r="AC1135" s="32"/>
    </row>
    <row r="1136">
      <c r="A1136" s="32"/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84"/>
      <c r="P1136" s="54"/>
      <c r="Q1136" s="54"/>
      <c r="R1136" s="55"/>
      <c r="S1136" s="55"/>
      <c r="T1136" s="32"/>
      <c r="U1136" s="32"/>
      <c r="V1136" s="32"/>
      <c r="W1136" s="32"/>
      <c r="X1136" s="32"/>
      <c r="Y1136" s="32"/>
      <c r="Z1136" s="32"/>
      <c r="AA1136" s="32"/>
      <c r="AB1136" s="32"/>
      <c r="AC1136" s="32"/>
    </row>
    <row r="1137">
      <c r="A1137" s="32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84"/>
      <c r="P1137" s="54"/>
      <c r="Q1137" s="54"/>
      <c r="R1137" s="55"/>
      <c r="S1137" s="55"/>
      <c r="T1137" s="32"/>
      <c r="U1137" s="32"/>
      <c r="V1137" s="32"/>
      <c r="W1137" s="32"/>
      <c r="X1137" s="32"/>
      <c r="Y1137" s="32"/>
      <c r="Z1137" s="32"/>
      <c r="AA1137" s="32"/>
      <c r="AB1137" s="32"/>
      <c r="AC1137" s="32"/>
    </row>
    <row r="1138">
      <c r="A1138" s="32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84"/>
      <c r="P1138" s="54"/>
      <c r="Q1138" s="54"/>
      <c r="R1138" s="55"/>
      <c r="S1138" s="55"/>
      <c r="T1138" s="32"/>
      <c r="U1138" s="32"/>
      <c r="V1138" s="32"/>
      <c r="W1138" s="32"/>
      <c r="X1138" s="32"/>
      <c r="Y1138" s="32"/>
      <c r="Z1138" s="32"/>
      <c r="AA1138" s="32"/>
      <c r="AB1138" s="32"/>
      <c r="AC1138" s="32"/>
    </row>
    <row r="1139">
      <c r="A1139" s="32"/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84"/>
      <c r="P1139" s="54"/>
      <c r="Q1139" s="54"/>
      <c r="R1139" s="55"/>
      <c r="S1139" s="55"/>
      <c r="T1139" s="32"/>
      <c r="U1139" s="32"/>
      <c r="V1139" s="32"/>
      <c r="W1139" s="32"/>
      <c r="X1139" s="32"/>
      <c r="Y1139" s="32"/>
      <c r="Z1139" s="32"/>
      <c r="AA1139" s="32"/>
      <c r="AB1139" s="32"/>
      <c r="AC1139" s="32"/>
    </row>
    <row r="1140">
      <c r="A1140" s="32"/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84"/>
      <c r="P1140" s="54"/>
      <c r="Q1140" s="54"/>
      <c r="R1140" s="55"/>
      <c r="S1140" s="55"/>
      <c r="T1140" s="32"/>
      <c r="U1140" s="32"/>
      <c r="V1140" s="32"/>
      <c r="W1140" s="32"/>
      <c r="X1140" s="32"/>
      <c r="Y1140" s="32"/>
      <c r="Z1140" s="32"/>
      <c r="AA1140" s="32"/>
      <c r="AB1140" s="32"/>
      <c r="AC1140" s="32"/>
    </row>
    <row r="1141">
      <c r="A1141" s="32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84"/>
      <c r="P1141" s="54"/>
      <c r="Q1141" s="54"/>
      <c r="R1141" s="55"/>
      <c r="S1141" s="55"/>
      <c r="T1141" s="32"/>
      <c r="U1141" s="32"/>
      <c r="V1141" s="32"/>
      <c r="W1141" s="32"/>
      <c r="X1141" s="32"/>
      <c r="Y1141" s="32"/>
      <c r="Z1141" s="32"/>
      <c r="AA1141" s="32"/>
      <c r="AB1141" s="32"/>
      <c r="AC1141" s="32"/>
    </row>
    <row r="1142">
      <c r="A1142" s="32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84"/>
      <c r="P1142" s="54"/>
      <c r="Q1142" s="54"/>
      <c r="R1142" s="55"/>
      <c r="S1142" s="55"/>
      <c r="T1142" s="32"/>
      <c r="U1142" s="32"/>
      <c r="V1142" s="32"/>
      <c r="W1142" s="32"/>
      <c r="X1142" s="32"/>
      <c r="Y1142" s="32"/>
      <c r="Z1142" s="32"/>
      <c r="AA1142" s="32"/>
      <c r="AB1142" s="32"/>
      <c r="AC1142" s="32"/>
    </row>
    <row r="1143">
      <c r="A1143" s="32"/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84"/>
      <c r="P1143" s="54"/>
      <c r="Q1143" s="54"/>
      <c r="R1143" s="55"/>
      <c r="S1143" s="55"/>
      <c r="T1143" s="32"/>
      <c r="U1143" s="32"/>
      <c r="V1143" s="32"/>
      <c r="W1143" s="32"/>
      <c r="X1143" s="32"/>
      <c r="Y1143" s="32"/>
      <c r="Z1143" s="32"/>
      <c r="AA1143" s="32"/>
      <c r="AB1143" s="32"/>
      <c r="AC1143" s="32"/>
    </row>
    <row r="1144">
      <c r="A1144" s="32"/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84"/>
      <c r="P1144" s="54"/>
      <c r="Q1144" s="54"/>
      <c r="R1144" s="55"/>
      <c r="S1144" s="55"/>
      <c r="T1144" s="32"/>
      <c r="U1144" s="32"/>
      <c r="V1144" s="32"/>
      <c r="W1144" s="32"/>
      <c r="X1144" s="32"/>
      <c r="Y1144" s="32"/>
      <c r="Z1144" s="32"/>
      <c r="AA1144" s="32"/>
      <c r="AB1144" s="32"/>
      <c r="AC1144" s="32"/>
    </row>
    <row r="1145">
      <c r="A1145" s="32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84"/>
      <c r="P1145" s="54"/>
      <c r="Q1145" s="54"/>
      <c r="R1145" s="55"/>
      <c r="S1145" s="55"/>
      <c r="T1145" s="32"/>
      <c r="U1145" s="32"/>
      <c r="V1145" s="32"/>
      <c r="W1145" s="32"/>
      <c r="X1145" s="32"/>
      <c r="Y1145" s="32"/>
      <c r="Z1145" s="32"/>
      <c r="AA1145" s="32"/>
      <c r="AB1145" s="32"/>
      <c r="AC1145" s="32"/>
    </row>
    <row r="1146">
      <c r="A1146" s="32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84"/>
      <c r="P1146" s="54"/>
      <c r="Q1146" s="54"/>
      <c r="R1146" s="55"/>
      <c r="S1146" s="55"/>
      <c r="T1146" s="32"/>
      <c r="U1146" s="32"/>
      <c r="V1146" s="32"/>
      <c r="W1146" s="32"/>
      <c r="X1146" s="32"/>
      <c r="Y1146" s="32"/>
      <c r="Z1146" s="32"/>
      <c r="AA1146" s="32"/>
      <c r="AB1146" s="32"/>
      <c r="AC1146" s="32"/>
    </row>
    <row r="1147">
      <c r="A1147" s="32"/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84"/>
      <c r="P1147" s="54"/>
      <c r="Q1147" s="54"/>
      <c r="R1147" s="55"/>
      <c r="S1147" s="55"/>
      <c r="T1147" s="32"/>
      <c r="U1147" s="32"/>
      <c r="V1147" s="32"/>
      <c r="W1147" s="32"/>
      <c r="X1147" s="32"/>
      <c r="Y1147" s="32"/>
      <c r="Z1147" s="32"/>
      <c r="AA1147" s="32"/>
      <c r="AB1147" s="32"/>
      <c r="AC1147" s="32"/>
    </row>
    <row r="1148">
      <c r="A1148" s="32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84"/>
      <c r="P1148" s="54"/>
      <c r="Q1148" s="54"/>
      <c r="R1148" s="55"/>
      <c r="S1148" s="55"/>
      <c r="T1148" s="32"/>
      <c r="U1148" s="32"/>
      <c r="V1148" s="32"/>
      <c r="W1148" s="32"/>
      <c r="X1148" s="32"/>
      <c r="Y1148" s="32"/>
      <c r="Z1148" s="32"/>
      <c r="AA1148" s="32"/>
      <c r="AB1148" s="32"/>
      <c r="AC1148" s="32"/>
    </row>
    <row r="1149">
      <c r="A1149" s="32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84"/>
      <c r="P1149" s="54"/>
      <c r="Q1149" s="54"/>
      <c r="R1149" s="55"/>
      <c r="S1149" s="55"/>
      <c r="T1149" s="32"/>
      <c r="U1149" s="32"/>
      <c r="V1149" s="32"/>
      <c r="W1149" s="32"/>
      <c r="X1149" s="32"/>
      <c r="Y1149" s="32"/>
      <c r="Z1149" s="32"/>
      <c r="AA1149" s="32"/>
      <c r="AB1149" s="32"/>
      <c r="AC1149" s="32"/>
    </row>
    <row r="1150">
      <c r="A1150" s="32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84"/>
      <c r="P1150" s="54"/>
      <c r="Q1150" s="54"/>
      <c r="R1150" s="55"/>
      <c r="S1150" s="55"/>
      <c r="T1150" s="32"/>
      <c r="U1150" s="32"/>
      <c r="V1150" s="32"/>
      <c r="W1150" s="32"/>
      <c r="X1150" s="32"/>
      <c r="Y1150" s="32"/>
      <c r="Z1150" s="32"/>
      <c r="AA1150" s="32"/>
      <c r="AB1150" s="32"/>
      <c r="AC1150" s="32"/>
    </row>
    <row r="1151">
      <c r="A1151" s="32"/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84"/>
      <c r="P1151" s="54"/>
      <c r="Q1151" s="54"/>
      <c r="R1151" s="55"/>
      <c r="S1151" s="55"/>
      <c r="T1151" s="32"/>
      <c r="U1151" s="32"/>
      <c r="V1151" s="32"/>
      <c r="W1151" s="32"/>
      <c r="X1151" s="32"/>
      <c r="Y1151" s="32"/>
      <c r="Z1151" s="32"/>
      <c r="AA1151" s="32"/>
      <c r="AB1151" s="32"/>
      <c r="AC1151" s="32"/>
    </row>
    <row r="1152">
      <c r="A1152" s="32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84"/>
      <c r="P1152" s="54"/>
      <c r="Q1152" s="54"/>
      <c r="R1152" s="55"/>
      <c r="S1152" s="55"/>
      <c r="T1152" s="32"/>
      <c r="U1152" s="32"/>
      <c r="V1152" s="32"/>
      <c r="W1152" s="32"/>
      <c r="X1152" s="32"/>
      <c r="Y1152" s="32"/>
      <c r="Z1152" s="32"/>
      <c r="AA1152" s="32"/>
      <c r="AB1152" s="32"/>
      <c r="AC1152" s="32"/>
    </row>
    <row r="1153">
      <c r="A1153" s="32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84"/>
      <c r="P1153" s="54"/>
      <c r="Q1153" s="54"/>
      <c r="R1153" s="55"/>
      <c r="S1153" s="55"/>
      <c r="T1153" s="32"/>
      <c r="U1153" s="32"/>
      <c r="V1153" s="32"/>
      <c r="W1153" s="32"/>
      <c r="X1153" s="32"/>
      <c r="Y1153" s="32"/>
      <c r="Z1153" s="32"/>
      <c r="AA1153" s="32"/>
      <c r="AB1153" s="32"/>
      <c r="AC1153" s="32"/>
    </row>
    <row r="1154">
      <c r="A1154" s="32"/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84"/>
      <c r="P1154" s="54"/>
      <c r="Q1154" s="54"/>
      <c r="R1154" s="55"/>
      <c r="S1154" s="55"/>
      <c r="T1154" s="32"/>
      <c r="U1154" s="32"/>
      <c r="V1154" s="32"/>
      <c r="W1154" s="32"/>
      <c r="X1154" s="32"/>
      <c r="Y1154" s="32"/>
      <c r="Z1154" s="32"/>
      <c r="AA1154" s="32"/>
      <c r="AB1154" s="32"/>
      <c r="AC1154" s="32"/>
    </row>
    <row r="1155">
      <c r="A1155" s="32"/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84"/>
      <c r="P1155" s="54"/>
      <c r="Q1155" s="54"/>
      <c r="R1155" s="55"/>
      <c r="S1155" s="55"/>
      <c r="T1155" s="32"/>
      <c r="U1155" s="32"/>
      <c r="V1155" s="32"/>
      <c r="W1155" s="32"/>
      <c r="X1155" s="32"/>
      <c r="Y1155" s="32"/>
      <c r="Z1155" s="32"/>
      <c r="AA1155" s="32"/>
      <c r="AB1155" s="32"/>
      <c r="AC1155" s="32"/>
    </row>
    <row r="1156">
      <c r="A1156" s="32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84"/>
      <c r="P1156" s="54"/>
      <c r="Q1156" s="54"/>
      <c r="R1156" s="55"/>
      <c r="S1156" s="55"/>
      <c r="T1156" s="32"/>
      <c r="U1156" s="32"/>
      <c r="V1156" s="32"/>
      <c r="W1156" s="32"/>
      <c r="X1156" s="32"/>
      <c r="Y1156" s="32"/>
      <c r="Z1156" s="32"/>
      <c r="AA1156" s="32"/>
      <c r="AB1156" s="32"/>
      <c r="AC1156" s="32"/>
    </row>
    <row r="1157">
      <c r="A1157" s="32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84"/>
      <c r="P1157" s="54"/>
      <c r="Q1157" s="54"/>
      <c r="R1157" s="55"/>
      <c r="S1157" s="55"/>
      <c r="T1157" s="32"/>
      <c r="U1157" s="32"/>
      <c r="V1157" s="32"/>
      <c r="W1157" s="32"/>
      <c r="X1157" s="32"/>
      <c r="Y1157" s="32"/>
      <c r="Z1157" s="32"/>
      <c r="AA1157" s="32"/>
      <c r="AB1157" s="32"/>
      <c r="AC1157" s="32"/>
    </row>
    <row r="1158">
      <c r="A1158" s="32"/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84"/>
      <c r="P1158" s="54"/>
      <c r="Q1158" s="54"/>
      <c r="R1158" s="55"/>
      <c r="S1158" s="55"/>
      <c r="T1158" s="32"/>
      <c r="U1158" s="32"/>
      <c r="V1158" s="32"/>
      <c r="W1158" s="32"/>
      <c r="X1158" s="32"/>
      <c r="Y1158" s="32"/>
      <c r="Z1158" s="32"/>
      <c r="AA1158" s="32"/>
      <c r="AB1158" s="32"/>
      <c r="AC1158" s="32"/>
    </row>
    <row r="1159">
      <c r="A1159" s="32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84"/>
      <c r="P1159" s="54"/>
      <c r="Q1159" s="54"/>
      <c r="R1159" s="55"/>
      <c r="S1159" s="55"/>
      <c r="T1159" s="32"/>
      <c r="U1159" s="32"/>
      <c r="V1159" s="32"/>
      <c r="W1159" s="32"/>
      <c r="X1159" s="32"/>
      <c r="Y1159" s="32"/>
      <c r="Z1159" s="32"/>
      <c r="AA1159" s="32"/>
      <c r="AB1159" s="32"/>
      <c r="AC1159" s="32"/>
    </row>
    <row r="1160">
      <c r="A1160" s="32"/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84"/>
      <c r="P1160" s="54"/>
      <c r="Q1160" s="54"/>
      <c r="R1160" s="55"/>
      <c r="S1160" s="55"/>
      <c r="T1160" s="32"/>
      <c r="U1160" s="32"/>
      <c r="V1160" s="32"/>
      <c r="W1160" s="32"/>
      <c r="X1160" s="32"/>
      <c r="Y1160" s="32"/>
      <c r="Z1160" s="32"/>
      <c r="AA1160" s="32"/>
      <c r="AB1160" s="32"/>
      <c r="AC1160" s="32"/>
    </row>
    <row r="1161">
      <c r="A1161" s="32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84"/>
      <c r="P1161" s="54"/>
      <c r="Q1161" s="54"/>
      <c r="R1161" s="55"/>
      <c r="S1161" s="55"/>
      <c r="T1161" s="32"/>
      <c r="U1161" s="32"/>
      <c r="V1161" s="32"/>
      <c r="W1161" s="32"/>
      <c r="X1161" s="32"/>
      <c r="Y1161" s="32"/>
      <c r="Z1161" s="32"/>
      <c r="AA1161" s="32"/>
      <c r="AB1161" s="32"/>
      <c r="AC1161" s="32"/>
    </row>
    <row r="1162">
      <c r="A1162" s="32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84"/>
      <c r="P1162" s="54"/>
      <c r="Q1162" s="54"/>
      <c r="R1162" s="55"/>
      <c r="S1162" s="55"/>
      <c r="T1162" s="32"/>
      <c r="U1162" s="32"/>
      <c r="V1162" s="32"/>
      <c r="W1162" s="32"/>
      <c r="X1162" s="32"/>
      <c r="Y1162" s="32"/>
      <c r="Z1162" s="32"/>
      <c r="AA1162" s="32"/>
      <c r="AB1162" s="32"/>
      <c r="AC1162" s="32"/>
    </row>
    <row r="1163">
      <c r="A1163" s="32"/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84"/>
      <c r="P1163" s="54"/>
      <c r="Q1163" s="54"/>
      <c r="R1163" s="55"/>
      <c r="S1163" s="55"/>
      <c r="T1163" s="32"/>
      <c r="U1163" s="32"/>
      <c r="V1163" s="32"/>
      <c r="W1163" s="32"/>
      <c r="X1163" s="32"/>
      <c r="Y1163" s="32"/>
      <c r="Z1163" s="32"/>
      <c r="AA1163" s="32"/>
      <c r="AB1163" s="32"/>
      <c r="AC1163" s="32"/>
    </row>
    <row r="1164">
      <c r="A1164" s="32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84"/>
      <c r="P1164" s="54"/>
      <c r="Q1164" s="54"/>
      <c r="R1164" s="55"/>
      <c r="S1164" s="55"/>
      <c r="T1164" s="32"/>
      <c r="U1164" s="32"/>
      <c r="V1164" s="32"/>
      <c r="W1164" s="32"/>
      <c r="X1164" s="32"/>
      <c r="Y1164" s="32"/>
      <c r="Z1164" s="32"/>
      <c r="AA1164" s="32"/>
      <c r="AB1164" s="32"/>
      <c r="AC1164" s="32"/>
    </row>
    <row r="1165">
      <c r="A1165" s="32"/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84"/>
      <c r="P1165" s="54"/>
      <c r="Q1165" s="54"/>
      <c r="R1165" s="55"/>
      <c r="S1165" s="55"/>
      <c r="T1165" s="32"/>
      <c r="U1165" s="32"/>
      <c r="V1165" s="32"/>
      <c r="W1165" s="32"/>
      <c r="X1165" s="32"/>
      <c r="Y1165" s="32"/>
      <c r="Z1165" s="32"/>
      <c r="AA1165" s="32"/>
      <c r="AB1165" s="32"/>
      <c r="AC1165" s="32"/>
    </row>
    <row r="1166">
      <c r="A1166" s="32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84"/>
      <c r="P1166" s="54"/>
      <c r="Q1166" s="54"/>
      <c r="R1166" s="55"/>
      <c r="S1166" s="55"/>
      <c r="T1166" s="32"/>
      <c r="U1166" s="32"/>
      <c r="V1166" s="32"/>
      <c r="W1166" s="32"/>
      <c r="X1166" s="32"/>
      <c r="Y1166" s="32"/>
      <c r="Z1166" s="32"/>
      <c r="AA1166" s="32"/>
      <c r="AB1166" s="32"/>
      <c r="AC1166" s="32"/>
    </row>
    <row r="1167">
      <c r="A1167" s="32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84"/>
      <c r="P1167" s="54"/>
      <c r="Q1167" s="54"/>
      <c r="R1167" s="55"/>
      <c r="S1167" s="55"/>
      <c r="T1167" s="32"/>
      <c r="U1167" s="32"/>
      <c r="V1167" s="32"/>
      <c r="W1167" s="32"/>
      <c r="X1167" s="32"/>
      <c r="Y1167" s="32"/>
      <c r="Z1167" s="32"/>
      <c r="AA1167" s="32"/>
      <c r="AB1167" s="32"/>
      <c r="AC1167" s="32"/>
    </row>
    <row r="1168">
      <c r="A1168" s="32"/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84"/>
      <c r="P1168" s="54"/>
      <c r="Q1168" s="54"/>
      <c r="R1168" s="55"/>
      <c r="S1168" s="55"/>
      <c r="T1168" s="32"/>
      <c r="U1168" s="32"/>
      <c r="V1168" s="32"/>
      <c r="W1168" s="32"/>
      <c r="X1168" s="32"/>
      <c r="Y1168" s="32"/>
      <c r="Z1168" s="32"/>
      <c r="AA1168" s="32"/>
      <c r="AB1168" s="32"/>
      <c r="AC1168" s="32"/>
    </row>
    <row r="1169">
      <c r="A1169" s="32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84"/>
      <c r="P1169" s="54"/>
      <c r="Q1169" s="54"/>
      <c r="R1169" s="55"/>
      <c r="S1169" s="55"/>
      <c r="T1169" s="32"/>
      <c r="U1169" s="32"/>
      <c r="V1169" s="32"/>
      <c r="W1169" s="32"/>
      <c r="X1169" s="32"/>
      <c r="Y1169" s="32"/>
      <c r="Z1169" s="32"/>
      <c r="AA1169" s="32"/>
      <c r="AB1169" s="32"/>
      <c r="AC1169" s="32"/>
    </row>
    <row r="1170">
      <c r="A1170" s="32"/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84"/>
      <c r="P1170" s="54"/>
      <c r="Q1170" s="54"/>
      <c r="R1170" s="55"/>
      <c r="S1170" s="55"/>
      <c r="T1170" s="32"/>
      <c r="U1170" s="32"/>
      <c r="V1170" s="32"/>
      <c r="W1170" s="32"/>
      <c r="X1170" s="32"/>
      <c r="Y1170" s="32"/>
      <c r="Z1170" s="32"/>
      <c r="AA1170" s="32"/>
      <c r="AB1170" s="32"/>
      <c r="AC1170" s="32"/>
    </row>
    <row r="1171">
      <c r="A1171" s="32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84"/>
      <c r="P1171" s="54"/>
      <c r="Q1171" s="54"/>
      <c r="R1171" s="55"/>
      <c r="S1171" s="55"/>
      <c r="T1171" s="32"/>
      <c r="U1171" s="32"/>
      <c r="V1171" s="32"/>
      <c r="W1171" s="32"/>
      <c r="X1171" s="32"/>
      <c r="Y1171" s="32"/>
      <c r="Z1171" s="32"/>
      <c r="AA1171" s="32"/>
      <c r="AB1171" s="32"/>
      <c r="AC1171" s="32"/>
    </row>
    <row r="1172">
      <c r="A1172" s="32"/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84"/>
      <c r="P1172" s="54"/>
      <c r="Q1172" s="54"/>
      <c r="R1172" s="55"/>
      <c r="S1172" s="55"/>
      <c r="T1172" s="32"/>
      <c r="U1172" s="32"/>
      <c r="V1172" s="32"/>
      <c r="W1172" s="32"/>
      <c r="X1172" s="32"/>
      <c r="Y1172" s="32"/>
      <c r="Z1172" s="32"/>
      <c r="AA1172" s="32"/>
      <c r="AB1172" s="32"/>
      <c r="AC1172" s="32"/>
    </row>
    <row r="1173">
      <c r="A1173" s="32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84"/>
      <c r="P1173" s="54"/>
      <c r="Q1173" s="54"/>
      <c r="R1173" s="55"/>
      <c r="S1173" s="55"/>
      <c r="T1173" s="32"/>
      <c r="U1173" s="32"/>
      <c r="V1173" s="32"/>
      <c r="W1173" s="32"/>
      <c r="X1173" s="32"/>
      <c r="Y1173" s="32"/>
      <c r="Z1173" s="32"/>
      <c r="AA1173" s="32"/>
      <c r="AB1173" s="32"/>
      <c r="AC1173" s="32"/>
    </row>
    <row r="1174">
      <c r="A1174" s="32"/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84"/>
      <c r="P1174" s="54"/>
      <c r="Q1174" s="54"/>
      <c r="R1174" s="55"/>
      <c r="S1174" s="55"/>
      <c r="T1174" s="32"/>
      <c r="U1174" s="32"/>
      <c r="V1174" s="32"/>
      <c r="W1174" s="32"/>
      <c r="X1174" s="32"/>
      <c r="Y1174" s="32"/>
      <c r="Z1174" s="32"/>
      <c r="AA1174" s="32"/>
      <c r="AB1174" s="32"/>
      <c r="AC1174" s="32"/>
    </row>
    <row r="1175">
      <c r="A1175" s="32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84"/>
      <c r="P1175" s="54"/>
      <c r="Q1175" s="54"/>
      <c r="R1175" s="55"/>
      <c r="S1175" s="55"/>
      <c r="T1175" s="32"/>
      <c r="U1175" s="32"/>
      <c r="V1175" s="32"/>
      <c r="W1175" s="32"/>
      <c r="X1175" s="32"/>
      <c r="Y1175" s="32"/>
      <c r="Z1175" s="32"/>
      <c r="AA1175" s="32"/>
      <c r="AB1175" s="32"/>
      <c r="AC1175" s="32"/>
    </row>
    <row r="1176">
      <c r="A1176" s="32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84"/>
      <c r="P1176" s="54"/>
      <c r="Q1176" s="54"/>
      <c r="R1176" s="55"/>
      <c r="S1176" s="55"/>
      <c r="T1176" s="32"/>
      <c r="U1176" s="32"/>
      <c r="V1176" s="32"/>
      <c r="W1176" s="32"/>
      <c r="X1176" s="32"/>
      <c r="Y1176" s="32"/>
      <c r="Z1176" s="32"/>
      <c r="AA1176" s="32"/>
      <c r="AB1176" s="32"/>
      <c r="AC1176" s="32"/>
    </row>
    <row r="1177">
      <c r="A1177" s="32"/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84"/>
      <c r="P1177" s="54"/>
      <c r="Q1177" s="54"/>
      <c r="R1177" s="55"/>
      <c r="S1177" s="55"/>
      <c r="T1177" s="32"/>
      <c r="U1177" s="32"/>
      <c r="V1177" s="32"/>
      <c r="W1177" s="32"/>
      <c r="X1177" s="32"/>
      <c r="Y1177" s="32"/>
      <c r="Z1177" s="32"/>
      <c r="AA1177" s="32"/>
      <c r="AB1177" s="32"/>
      <c r="AC1177" s="32"/>
    </row>
    <row r="1178">
      <c r="A1178" s="32"/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84"/>
      <c r="P1178" s="54"/>
      <c r="Q1178" s="54"/>
      <c r="R1178" s="55"/>
      <c r="S1178" s="55"/>
      <c r="T1178" s="32"/>
      <c r="U1178" s="32"/>
      <c r="V1178" s="32"/>
      <c r="W1178" s="32"/>
      <c r="X1178" s="32"/>
      <c r="Y1178" s="32"/>
      <c r="Z1178" s="32"/>
      <c r="AA1178" s="32"/>
      <c r="AB1178" s="32"/>
      <c r="AC1178" s="32"/>
    </row>
    <row r="1179">
      <c r="A1179" s="32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84"/>
      <c r="P1179" s="54"/>
      <c r="Q1179" s="54"/>
      <c r="R1179" s="55"/>
      <c r="S1179" s="55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</row>
    <row r="1180">
      <c r="A1180" s="32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84"/>
      <c r="P1180" s="54"/>
      <c r="Q1180" s="54"/>
      <c r="R1180" s="55"/>
      <c r="S1180" s="55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</row>
    <row r="1181">
      <c r="A1181" s="32"/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84"/>
      <c r="P1181" s="54"/>
      <c r="Q1181" s="54"/>
      <c r="R1181" s="55"/>
      <c r="S1181" s="55"/>
      <c r="T1181" s="32"/>
      <c r="U1181" s="32"/>
      <c r="V1181" s="32"/>
      <c r="W1181" s="32"/>
      <c r="X1181" s="32"/>
      <c r="Y1181" s="32"/>
      <c r="Z1181" s="32"/>
      <c r="AA1181" s="32"/>
      <c r="AB1181" s="32"/>
      <c r="AC1181" s="32"/>
    </row>
    <row r="1182">
      <c r="A1182" s="32"/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84"/>
      <c r="P1182" s="54"/>
      <c r="Q1182" s="54"/>
      <c r="R1182" s="55"/>
      <c r="S1182" s="55"/>
      <c r="T1182" s="32"/>
      <c r="U1182" s="32"/>
      <c r="V1182" s="32"/>
      <c r="W1182" s="32"/>
      <c r="X1182" s="32"/>
      <c r="Y1182" s="32"/>
      <c r="Z1182" s="32"/>
      <c r="AA1182" s="32"/>
      <c r="AB1182" s="32"/>
      <c r="AC1182" s="32"/>
    </row>
    <row r="1183">
      <c r="A1183" s="32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84"/>
      <c r="P1183" s="54"/>
      <c r="Q1183" s="54"/>
      <c r="R1183" s="55"/>
      <c r="S1183" s="55"/>
      <c r="T1183" s="32"/>
      <c r="U1183" s="32"/>
      <c r="V1183" s="32"/>
      <c r="W1183" s="32"/>
      <c r="X1183" s="32"/>
      <c r="Y1183" s="32"/>
      <c r="Z1183" s="32"/>
      <c r="AA1183" s="32"/>
      <c r="AB1183" s="32"/>
      <c r="AC1183" s="32"/>
    </row>
    <row r="1184">
      <c r="A1184" s="32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84"/>
      <c r="P1184" s="54"/>
      <c r="Q1184" s="54"/>
      <c r="R1184" s="55"/>
      <c r="S1184" s="55"/>
      <c r="T1184" s="32"/>
      <c r="U1184" s="32"/>
      <c r="V1184" s="32"/>
      <c r="W1184" s="32"/>
      <c r="X1184" s="32"/>
      <c r="Y1184" s="32"/>
      <c r="Z1184" s="32"/>
      <c r="AA1184" s="32"/>
      <c r="AB1184" s="32"/>
      <c r="AC1184" s="32"/>
    </row>
    <row r="1185">
      <c r="A1185" s="32"/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84"/>
      <c r="P1185" s="54"/>
      <c r="Q1185" s="54"/>
      <c r="R1185" s="55"/>
      <c r="S1185" s="55"/>
      <c r="T1185" s="32"/>
      <c r="U1185" s="32"/>
      <c r="V1185" s="32"/>
      <c r="W1185" s="32"/>
      <c r="X1185" s="32"/>
      <c r="Y1185" s="32"/>
      <c r="Z1185" s="32"/>
      <c r="AA1185" s="32"/>
      <c r="AB1185" s="32"/>
      <c r="AC1185" s="32"/>
    </row>
    <row r="1186">
      <c r="A1186" s="32"/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84"/>
      <c r="P1186" s="54"/>
      <c r="Q1186" s="54"/>
      <c r="R1186" s="55"/>
      <c r="S1186" s="55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</row>
    <row r="1187">
      <c r="A1187" s="32"/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84"/>
      <c r="P1187" s="54"/>
      <c r="Q1187" s="54"/>
      <c r="R1187" s="55"/>
      <c r="S1187" s="55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</row>
    <row r="1188">
      <c r="A1188" s="32"/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84"/>
      <c r="P1188" s="54"/>
      <c r="Q1188" s="54"/>
      <c r="R1188" s="55"/>
      <c r="S1188" s="55"/>
      <c r="T1188" s="32"/>
      <c r="U1188" s="32"/>
      <c r="V1188" s="32"/>
      <c r="W1188" s="32"/>
      <c r="X1188" s="32"/>
      <c r="Y1188" s="32"/>
      <c r="Z1188" s="32"/>
      <c r="AA1188" s="32"/>
      <c r="AB1188" s="32"/>
      <c r="AC1188" s="32"/>
    </row>
    <row r="1189">
      <c r="A1189" s="32"/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84"/>
      <c r="P1189" s="54"/>
      <c r="Q1189" s="54"/>
      <c r="R1189" s="55"/>
      <c r="S1189" s="55"/>
      <c r="T1189" s="32"/>
      <c r="U1189" s="32"/>
      <c r="V1189" s="32"/>
      <c r="W1189" s="32"/>
      <c r="X1189" s="32"/>
      <c r="Y1189" s="32"/>
      <c r="Z1189" s="32"/>
      <c r="AA1189" s="32"/>
      <c r="AB1189" s="32"/>
      <c r="AC1189" s="32"/>
    </row>
    <row r="1190">
      <c r="A1190" s="32"/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84"/>
      <c r="P1190" s="54"/>
      <c r="Q1190" s="54"/>
      <c r="R1190" s="55"/>
      <c r="S1190" s="55"/>
      <c r="T1190" s="32"/>
      <c r="U1190" s="32"/>
      <c r="V1190" s="32"/>
      <c r="W1190" s="32"/>
      <c r="X1190" s="32"/>
      <c r="Y1190" s="32"/>
      <c r="Z1190" s="32"/>
      <c r="AA1190" s="32"/>
      <c r="AB1190" s="32"/>
      <c r="AC1190" s="32"/>
    </row>
    <row r="1191">
      <c r="A1191" s="32"/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84"/>
      <c r="P1191" s="54"/>
      <c r="Q1191" s="54"/>
      <c r="R1191" s="55"/>
      <c r="S1191" s="55"/>
      <c r="T1191" s="32"/>
      <c r="U1191" s="32"/>
      <c r="V1191" s="32"/>
      <c r="W1191" s="32"/>
      <c r="X1191" s="32"/>
      <c r="Y1191" s="32"/>
      <c r="Z1191" s="32"/>
      <c r="AA1191" s="32"/>
      <c r="AB1191" s="32"/>
      <c r="AC1191" s="32"/>
    </row>
    <row r="1192">
      <c r="A1192" s="32"/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84"/>
      <c r="P1192" s="54"/>
      <c r="Q1192" s="54"/>
      <c r="R1192" s="55"/>
      <c r="S1192" s="55"/>
      <c r="T1192" s="32"/>
      <c r="U1192" s="32"/>
      <c r="V1192" s="32"/>
      <c r="W1192" s="32"/>
      <c r="X1192" s="32"/>
      <c r="Y1192" s="32"/>
      <c r="Z1192" s="32"/>
      <c r="AA1192" s="32"/>
      <c r="AB1192" s="32"/>
      <c r="AC1192" s="32"/>
    </row>
    <row r="1193">
      <c r="A1193" s="32"/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84"/>
      <c r="P1193" s="54"/>
      <c r="Q1193" s="54"/>
      <c r="R1193" s="55"/>
      <c r="S1193" s="55"/>
      <c r="T1193" s="32"/>
      <c r="U1193" s="32"/>
      <c r="V1193" s="32"/>
      <c r="W1193" s="32"/>
      <c r="X1193" s="32"/>
      <c r="Y1193" s="32"/>
      <c r="Z1193" s="32"/>
      <c r="AA1193" s="32"/>
      <c r="AB1193" s="32"/>
      <c r="AC1193" s="32"/>
    </row>
    <row r="1194">
      <c r="A1194" s="32"/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84"/>
      <c r="P1194" s="54"/>
      <c r="Q1194" s="54"/>
      <c r="R1194" s="55"/>
      <c r="S1194" s="55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</row>
    <row r="1195">
      <c r="A1195" s="32"/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84"/>
      <c r="P1195" s="54"/>
      <c r="Q1195" s="54"/>
      <c r="R1195" s="55"/>
      <c r="S1195" s="55"/>
      <c r="T1195" s="32"/>
      <c r="U1195" s="32"/>
      <c r="V1195" s="32"/>
      <c r="W1195" s="32"/>
      <c r="X1195" s="32"/>
      <c r="Y1195" s="32"/>
      <c r="Z1195" s="32"/>
      <c r="AA1195" s="32"/>
      <c r="AB1195" s="32"/>
      <c r="AC1195" s="32"/>
    </row>
    <row r="1196">
      <c r="A1196" s="32"/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84"/>
      <c r="P1196" s="54"/>
      <c r="Q1196" s="54"/>
      <c r="R1196" s="55"/>
      <c r="S1196" s="55"/>
      <c r="T1196" s="32"/>
      <c r="U1196" s="32"/>
      <c r="V1196" s="32"/>
      <c r="W1196" s="32"/>
      <c r="X1196" s="32"/>
      <c r="Y1196" s="32"/>
      <c r="Z1196" s="32"/>
      <c r="AA1196" s="32"/>
      <c r="AB1196" s="32"/>
      <c r="AC1196" s="32"/>
    </row>
    <row r="1197">
      <c r="A1197" s="32"/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84"/>
      <c r="P1197" s="54"/>
      <c r="Q1197" s="54"/>
      <c r="R1197" s="55"/>
      <c r="S1197" s="55"/>
      <c r="T1197" s="32"/>
      <c r="U1197" s="32"/>
      <c r="V1197" s="32"/>
      <c r="W1197" s="32"/>
      <c r="X1197" s="32"/>
      <c r="Y1197" s="32"/>
      <c r="Z1197" s="32"/>
      <c r="AA1197" s="32"/>
      <c r="AB1197" s="32"/>
      <c r="AC1197" s="32"/>
    </row>
    <row r="1198">
      <c r="A1198" s="32"/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84"/>
      <c r="P1198" s="54"/>
      <c r="Q1198" s="54"/>
      <c r="R1198" s="55"/>
      <c r="S1198" s="55"/>
      <c r="T1198" s="32"/>
      <c r="U1198" s="32"/>
      <c r="V1198" s="32"/>
      <c r="W1198" s="32"/>
      <c r="X1198" s="32"/>
      <c r="Y1198" s="32"/>
      <c r="Z1198" s="32"/>
      <c r="AA1198" s="32"/>
      <c r="AB1198" s="32"/>
      <c r="AC1198" s="32"/>
    </row>
    <row r="1199">
      <c r="A1199" s="32"/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84"/>
      <c r="P1199" s="54"/>
      <c r="Q1199" s="54"/>
      <c r="R1199" s="55"/>
      <c r="S1199" s="55"/>
      <c r="T1199" s="32"/>
      <c r="U1199" s="32"/>
      <c r="V1199" s="32"/>
      <c r="W1199" s="32"/>
      <c r="X1199" s="32"/>
      <c r="Y1199" s="32"/>
      <c r="Z1199" s="32"/>
      <c r="AA1199" s="32"/>
      <c r="AB1199" s="32"/>
      <c r="AC1199" s="32"/>
    </row>
    <row r="1200">
      <c r="A1200" s="32"/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84"/>
      <c r="P1200" s="54"/>
      <c r="Q1200" s="54"/>
      <c r="R1200" s="55"/>
      <c r="S1200" s="55"/>
      <c r="T1200" s="32"/>
      <c r="U1200" s="32"/>
      <c r="V1200" s="32"/>
      <c r="W1200" s="32"/>
      <c r="X1200" s="32"/>
      <c r="Y1200" s="32"/>
      <c r="Z1200" s="32"/>
      <c r="AA1200" s="32"/>
      <c r="AB1200" s="32"/>
      <c r="AC1200" s="32"/>
    </row>
    <row r="1201">
      <c r="A1201" s="32"/>
      <c r="B1201" s="16"/>
      <c r="C1201" s="16"/>
      <c r="D1201" s="16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84"/>
      <c r="P1201" s="54"/>
      <c r="Q1201" s="54"/>
      <c r="R1201" s="55"/>
      <c r="S1201" s="55"/>
      <c r="T1201" s="32"/>
      <c r="U1201" s="32"/>
      <c r="V1201" s="32"/>
      <c r="W1201" s="32"/>
      <c r="X1201" s="32"/>
      <c r="Y1201" s="32"/>
      <c r="Z1201" s="32"/>
      <c r="AA1201" s="32"/>
      <c r="AB1201" s="32"/>
      <c r="AC1201" s="32"/>
    </row>
    <row r="1202">
      <c r="A1202" s="32"/>
      <c r="B1202" s="16"/>
      <c r="C1202" s="16"/>
      <c r="D1202" s="16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84"/>
      <c r="P1202" s="54"/>
      <c r="Q1202" s="54"/>
      <c r="R1202" s="55"/>
      <c r="S1202" s="55"/>
      <c r="T1202" s="32"/>
      <c r="U1202" s="32"/>
      <c r="V1202" s="32"/>
      <c r="W1202" s="32"/>
      <c r="X1202" s="32"/>
      <c r="Y1202" s="32"/>
      <c r="Z1202" s="32"/>
      <c r="AA1202" s="32"/>
      <c r="AB1202" s="32"/>
      <c r="AC1202" s="32"/>
    </row>
    <row r="1203">
      <c r="A1203" s="32"/>
      <c r="B1203" s="16"/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84"/>
      <c r="P1203" s="54"/>
      <c r="Q1203" s="54"/>
      <c r="R1203" s="55"/>
      <c r="S1203" s="55"/>
      <c r="T1203" s="32"/>
      <c r="U1203" s="32"/>
      <c r="V1203" s="32"/>
      <c r="W1203" s="32"/>
      <c r="X1203" s="32"/>
      <c r="Y1203" s="32"/>
      <c r="Z1203" s="32"/>
      <c r="AA1203" s="32"/>
      <c r="AB1203" s="32"/>
      <c r="AC1203" s="32"/>
    </row>
    <row r="1204">
      <c r="A1204" s="32"/>
      <c r="B1204" s="16"/>
      <c r="C1204" s="16"/>
      <c r="D1204" s="16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84"/>
      <c r="P1204" s="54"/>
      <c r="Q1204" s="54"/>
      <c r="R1204" s="55"/>
      <c r="S1204" s="55"/>
      <c r="T1204" s="32"/>
      <c r="U1204" s="32"/>
      <c r="V1204" s="32"/>
      <c r="W1204" s="32"/>
      <c r="X1204" s="32"/>
      <c r="Y1204" s="32"/>
      <c r="Z1204" s="32"/>
      <c r="AA1204" s="32"/>
      <c r="AB1204" s="32"/>
      <c r="AC1204" s="32"/>
    </row>
    <row r="1205">
      <c r="A1205" s="32"/>
      <c r="B1205" s="16"/>
      <c r="C1205" s="16"/>
      <c r="D1205" s="16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84"/>
      <c r="P1205" s="54"/>
      <c r="Q1205" s="54"/>
      <c r="R1205" s="55"/>
      <c r="S1205" s="55"/>
      <c r="T1205" s="32"/>
      <c r="U1205" s="32"/>
      <c r="V1205" s="32"/>
      <c r="W1205" s="32"/>
      <c r="X1205" s="32"/>
      <c r="Y1205" s="32"/>
      <c r="Z1205" s="32"/>
      <c r="AA1205" s="32"/>
      <c r="AB1205" s="32"/>
      <c r="AC1205" s="32"/>
    </row>
    <row r="1206">
      <c r="A1206" s="32"/>
      <c r="B1206" s="16"/>
      <c r="C1206" s="16"/>
      <c r="D1206" s="16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84"/>
      <c r="P1206" s="54"/>
      <c r="Q1206" s="54"/>
      <c r="R1206" s="55"/>
      <c r="S1206" s="55"/>
      <c r="T1206" s="32"/>
      <c r="U1206" s="32"/>
      <c r="V1206" s="32"/>
      <c r="W1206" s="32"/>
      <c r="X1206" s="32"/>
      <c r="Y1206" s="32"/>
      <c r="Z1206" s="32"/>
      <c r="AA1206" s="32"/>
      <c r="AB1206" s="32"/>
      <c r="AC1206" s="32"/>
    </row>
    <row r="1207">
      <c r="A1207" s="32"/>
      <c r="B1207" s="16"/>
      <c r="C1207" s="1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84"/>
      <c r="P1207" s="54"/>
      <c r="Q1207" s="54"/>
      <c r="R1207" s="55"/>
      <c r="S1207" s="55"/>
      <c r="T1207" s="32"/>
      <c r="U1207" s="32"/>
      <c r="V1207" s="32"/>
      <c r="W1207" s="32"/>
      <c r="X1207" s="32"/>
      <c r="Y1207" s="32"/>
      <c r="Z1207" s="32"/>
      <c r="AA1207" s="32"/>
      <c r="AB1207" s="32"/>
      <c r="AC1207" s="32"/>
    </row>
    <row r="1208">
      <c r="A1208" s="32"/>
      <c r="B1208" s="16"/>
      <c r="C1208" s="16"/>
      <c r="D1208" s="16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84"/>
      <c r="P1208" s="54"/>
      <c r="Q1208" s="54"/>
      <c r="R1208" s="55"/>
      <c r="S1208" s="55"/>
      <c r="T1208" s="32"/>
      <c r="U1208" s="32"/>
      <c r="V1208" s="32"/>
      <c r="W1208" s="32"/>
      <c r="X1208" s="32"/>
      <c r="Y1208" s="32"/>
      <c r="Z1208" s="32"/>
      <c r="AA1208" s="32"/>
      <c r="AB1208" s="32"/>
      <c r="AC1208" s="32"/>
    </row>
    <row r="1209">
      <c r="A1209" s="32"/>
      <c r="B1209" s="16"/>
      <c r="C1209" s="1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84"/>
      <c r="P1209" s="54"/>
      <c r="Q1209" s="54"/>
      <c r="R1209" s="55"/>
      <c r="S1209" s="55"/>
      <c r="T1209" s="32"/>
      <c r="U1209" s="32"/>
      <c r="V1209" s="32"/>
      <c r="W1209" s="32"/>
      <c r="X1209" s="32"/>
      <c r="Y1209" s="32"/>
      <c r="Z1209" s="32"/>
      <c r="AA1209" s="32"/>
      <c r="AB1209" s="32"/>
      <c r="AC1209" s="32"/>
    </row>
    <row r="1210">
      <c r="A1210" s="32"/>
      <c r="B1210" s="16"/>
      <c r="C1210" s="16"/>
      <c r="D1210" s="16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84"/>
      <c r="P1210" s="54"/>
      <c r="Q1210" s="54"/>
      <c r="R1210" s="55"/>
      <c r="S1210" s="55"/>
      <c r="T1210" s="32"/>
      <c r="U1210" s="32"/>
      <c r="V1210" s="32"/>
      <c r="W1210" s="32"/>
      <c r="X1210" s="32"/>
      <c r="Y1210" s="32"/>
      <c r="Z1210" s="32"/>
      <c r="AA1210" s="32"/>
      <c r="AB1210" s="32"/>
      <c r="AC1210" s="32"/>
    </row>
    <row r="1211">
      <c r="A1211" s="32"/>
      <c r="B1211" s="16"/>
      <c r="C1211" s="16"/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84"/>
      <c r="P1211" s="54"/>
      <c r="Q1211" s="54"/>
      <c r="R1211" s="55"/>
      <c r="S1211" s="55"/>
      <c r="T1211" s="32"/>
      <c r="U1211" s="32"/>
      <c r="V1211" s="32"/>
      <c r="W1211" s="32"/>
      <c r="X1211" s="32"/>
      <c r="Y1211" s="32"/>
      <c r="Z1211" s="32"/>
      <c r="AA1211" s="32"/>
      <c r="AB1211" s="32"/>
      <c r="AC1211" s="32"/>
    </row>
    <row r="1212">
      <c r="A1212" s="32"/>
      <c r="B1212" s="16"/>
      <c r="C1212" s="16"/>
      <c r="D1212" s="16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84"/>
      <c r="P1212" s="54"/>
      <c r="Q1212" s="54"/>
      <c r="R1212" s="55"/>
      <c r="S1212" s="55"/>
      <c r="T1212" s="32"/>
      <c r="U1212" s="32"/>
      <c r="V1212" s="32"/>
      <c r="W1212" s="32"/>
      <c r="X1212" s="32"/>
      <c r="Y1212" s="32"/>
      <c r="Z1212" s="32"/>
      <c r="AA1212" s="32"/>
      <c r="AB1212" s="32"/>
      <c r="AC1212" s="32"/>
    </row>
    <row r="1213">
      <c r="A1213" s="32"/>
      <c r="B1213" s="16"/>
      <c r="C1213" s="16"/>
      <c r="D1213" s="16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84"/>
      <c r="P1213" s="54"/>
      <c r="Q1213" s="54"/>
      <c r="R1213" s="55"/>
      <c r="S1213" s="55"/>
      <c r="T1213" s="32"/>
      <c r="U1213" s="32"/>
      <c r="V1213" s="32"/>
      <c r="W1213" s="32"/>
      <c r="X1213" s="32"/>
      <c r="Y1213" s="32"/>
      <c r="Z1213" s="32"/>
      <c r="AA1213" s="32"/>
      <c r="AB1213" s="32"/>
      <c r="AC1213" s="32"/>
    </row>
    <row r="1214">
      <c r="A1214" s="32"/>
      <c r="B1214" s="16"/>
      <c r="C1214" s="16"/>
      <c r="D1214" s="16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84"/>
      <c r="P1214" s="54"/>
      <c r="Q1214" s="54"/>
      <c r="R1214" s="55"/>
      <c r="S1214" s="55"/>
      <c r="T1214" s="32"/>
      <c r="U1214" s="32"/>
      <c r="V1214" s="32"/>
      <c r="W1214" s="32"/>
      <c r="X1214" s="32"/>
      <c r="Y1214" s="32"/>
      <c r="Z1214" s="32"/>
      <c r="AA1214" s="32"/>
      <c r="AB1214" s="32"/>
      <c r="AC1214" s="32"/>
    </row>
    <row r="1215">
      <c r="A1215" s="32"/>
      <c r="B1215" s="16"/>
      <c r="C1215" s="16"/>
      <c r="D1215" s="16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84"/>
      <c r="P1215" s="54"/>
      <c r="Q1215" s="54"/>
      <c r="R1215" s="55"/>
      <c r="S1215" s="55"/>
      <c r="T1215" s="32"/>
      <c r="U1215" s="32"/>
      <c r="V1215" s="32"/>
      <c r="W1215" s="32"/>
      <c r="X1215" s="32"/>
      <c r="Y1215" s="32"/>
      <c r="Z1215" s="32"/>
      <c r="AA1215" s="32"/>
      <c r="AB1215" s="32"/>
      <c r="AC1215" s="32"/>
    </row>
    <row r="1216">
      <c r="A1216" s="32"/>
      <c r="B1216" s="16"/>
      <c r="C1216" s="16"/>
      <c r="D1216" s="16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84"/>
      <c r="P1216" s="54"/>
      <c r="Q1216" s="54"/>
      <c r="R1216" s="55"/>
      <c r="S1216" s="55"/>
      <c r="T1216" s="32"/>
      <c r="U1216" s="32"/>
      <c r="V1216" s="32"/>
      <c r="W1216" s="32"/>
      <c r="X1216" s="32"/>
      <c r="Y1216" s="32"/>
      <c r="Z1216" s="32"/>
      <c r="AA1216" s="32"/>
      <c r="AB1216" s="32"/>
      <c r="AC1216" s="32"/>
    </row>
    <row r="1217">
      <c r="A1217" s="32"/>
      <c r="B1217" s="16"/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84"/>
      <c r="P1217" s="54"/>
      <c r="Q1217" s="54"/>
      <c r="R1217" s="55"/>
      <c r="S1217" s="55"/>
      <c r="T1217" s="32"/>
      <c r="U1217" s="32"/>
      <c r="V1217" s="32"/>
      <c r="W1217" s="32"/>
      <c r="X1217" s="32"/>
      <c r="Y1217" s="32"/>
      <c r="Z1217" s="32"/>
      <c r="AA1217" s="32"/>
      <c r="AB1217" s="32"/>
      <c r="AC1217" s="32"/>
    </row>
    <row r="1218">
      <c r="A1218" s="32"/>
      <c r="B1218" s="16"/>
      <c r="C1218" s="16"/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84"/>
      <c r="P1218" s="54"/>
      <c r="Q1218" s="54"/>
      <c r="R1218" s="55"/>
      <c r="S1218" s="55"/>
      <c r="T1218" s="32"/>
      <c r="U1218" s="32"/>
      <c r="V1218" s="32"/>
      <c r="W1218" s="32"/>
      <c r="X1218" s="32"/>
      <c r="Y1218" s="32"/>
      <c r="Z1218" s="32"/>
      <c r="AA1218" s="32"/>
      <c r="AB1218" s="32"/>
      <c r="AC1218" s="32"/>
    </row>
    <row r="1219">
      <c r="A1219" s="32"/>
      <c r="B1219" s="16"/>
      <c r="C1219" s="16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84"/>
      <c r="P1219" s="54"/>
      <c r="Q1219" s="54"/>
      <c r="R1219" s="55"/>
      <c r="S1219" s="55"/>
      <c r="T1219" s="32"/>
      <c r="U1219" s="32"/>
      <c r="V1219" s="32"/>
      <c r="W1219" s="32"/>
      <c r="X1219" s="32"/>
      <c r="Y1219" s="32"/>
      <c r="Z1219" s="32"/>
      <c r="AA1219" s="32"/>
      <c r="AB1219" s="32"/>
      <c r="AC1219" s="32"/>
    </row>
    <row r="1220">
      <c r="A1220" s="32"/>
      <c r="B1220" s="16"/>
      <c r="C1220" s="16"/>
      <c r="D1220" s="16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84"/>
      <c r="P1220" s="54"/>
      <c r="Q1220" s="54"/>
      <c r="R1220" s="55"/>
      <c r="S1220" s="55"/>
      <c r="T1220" s="32"/>
      <c r="U1220" s="32"/>
      <c r="V1220" s="32"/>
      <c r="W1220" s="32"/>
      <c r="X1220" s="32"/>
      <c r="Y1220" s="32"/>
      <c r="Z1220" s="32"/>
      <c r="AA1220" s="32"/>
      <c r="AB1220" s="32"/>
      <c r="AC1220" s="32"/>
    </row>
    <row r="1221">
      <c r="A1221" s="32"/>
      <c r="B1221" s="16"/>
      <c r="C1221" s="16"/>
      <c r="D1221" s="16"/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  <c r="O1221" s="84"/>
      <c r="P1221" s="54"/>
      <c r="Q1221" s="54"/>
      <c r="R1221" s="55"/>
      <c r="S1221" s="55"/>
      <c r="T1221" s="32"/>
      <c r="U1221" s="32"/>
      <c r="V1221" s="32"/>
      <c r="W1221" s="32"/>
      <c r="X1221" s="32"/>
      <c r="Y1221" s="32"/>
      <c r="Z1221" s="32"/>
      <c r="AA1221" s="32"/>
      <c r="AB1221" s="32"/>
      <c r="AC1221" s="32"/>
    </row>
    <row r="1222">
      <c r="A1222" s="32"/>
      <c r="B1222" s="16"/>
      <c r="C1222" s="16"/>
      <c r="D1222" s="16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84"/>
      <c r="P1222" s="54"/>
      <c r="Q1222" s="54"/>
      <c r="R1222" s="55"/>
      <c r="S1222" s="55"/>
      <c r="T1222" s="32"/>
      <c r="U1222" s="32"/>
      <c r="V1222" s="32"/>
      <c r="W1222" s="32"/>
      <c r="X1222" s="32"/>
      <c r="Y1222" s="32"/>
      <c r="Z1222" s="32"/>
      <c r="AA1222" s="32"/>
      <c r="AB1222" s="32"/>
      <c r="AC1222" s="32"/>
    </row>
    <row r="1223">
      <c r="A1223" s="32"/>
      <c r="B1223" s="16"/>
      <c r="C1223" s="16"/>
      <c r="D1223" s="16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  <c r="O1223" s="84"/>
      <c r="P1223" s="54"/>
      <c r="Q1223" s="54"/>
      <c r="R1223" s="55"/>
      <c r="S1223" s="55"/>
      <c r="T1223" s="32"/>
      <c r="U1223" s="32"/>
      <c r="V1223" s="32"/>
      <c r="W1223" s="32"/>
      <c r="X1223" s="32"/>
      <c r="Y1223" s="32"/>
      <c r="Z1223" s="32"/>
      <c r="AA1223" s="32"/>
      <c r="AB1223" s="32"/>
      <c r="AC1223" s="32"/>
    </row>
    <row r="1224">
      <c r="A1224" s="32"/>
      <c r="B1224" s="16"/>
      <c r="C1224" s="16"/>
      <c r="D1224" s="16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84"/>
      <c r="P1224" s="54"/>
      <c r="Q1224" s="54"/>
      <c r="R1224" s="55"/>
      <c r="S1224" s="55"/>
      <c r="T1224" s="32"/>
      <c r="U1224" s="32"/>
      <c r="V1224" s="32"/>
      <c r="W1224" s="32"/>
      <c r="X1224" s="32"/>
      <c r="Y1224" s="32"/>
      <c r="Z1224" s="32"/>
      <c r="AA1224" s="32"/>
      <c r="AB1224" s="32"/>
      <c r="AC1224" s="32"/>
    </row>
    <row r="1225">
      <c r="A1225" s="32"/>
      <c r="B1225" s="16"/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84"/>
      <c r="P1225" s="54"/>
      <c r="Q1225" s="54"/>
      <c r="R1225" s="55"/>
      <c r="S1225" s="55"/>
      <c r="T1225" s="32"/>
      <c r="U1225" s="32"/>
      <c r="V1225" s="32"/>
      <c r="W1225" s="32"/>
      <c r="X1225" s="32"/>
      <c r="Y1225" s="32"/>
      <c r="Z1225" s="32"/>
      <c r="AA1225" s="32"/>
      <c r="AB1225" s="32"/>
      <c r="AC1225" s="32"/>
    </row>
    <row r="1226">
      <c r="A1226" s="32"/>
      <c r="B1226" s="16"/>
      <c r="C1226" s="16"/>
      <c r="D1226" s="16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84"/>
      <c r="P1226" s="54"/>
      <c r="Q1226" s="54"/>
      <c r="R1226" s="55"/>
      <c r="S1226" s="55"/>
      <c r="T1226" s="32"/>
      <c r="U1226" s="32"/>
      <c r="V1226" s="32"/>
      <c r="W1226" s="32"/>
      <c r="X1226" s="32"/>
      <c r="Y1226" s="32"/>
      <c r="Z1226" s="32"/>
      <c r="AA1226" s="32"/>
      <c r="AB1226" s="32"/>
      <c r="AC1226" s="32"/>
    </row>
    <row r="1227">
      <c r="A1227" s="32"/>
      <c r="B1227" s="16"/>
      <c r="C1227" s="16"/>
      <c r="D1227" s="16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  <c r="O1227" s="84"/>
      <c r="P1227" s="54"/>
      <c r="Q1227" s="54"/>
      <c r="R1227" s="55"/>
      <c r="S1227" s="55"/>
      <c r="T1227" s="32"/>
      <c r="U1227" s="32"/>
      <c r="V1227" s="32"/>
      <c r="W1227" s="32"/>
      <c r="X1227" s="32"/>
      <c r="Y1227" s="32"/>
      <c r="Z1227" s="32"/>
      <c r="AA1227" s="32"/>
      <c r="AB1227" s="32"/>
      <c r="AC1227" s="32"/>
    </row>
    <row r="1228">
      <c r="A1228" s="32"/>
      <c r="B1228" s="16"/>
      <c r="C1228" s="16"/>
      <c r="D1228" s="16"/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  <c r="O1228" s="84"/>
      <c r="P1228" s="54"/>
      <c r="Q1228" s="54"/>
      <c r="R1228" s="55"/>
      <c r="S1228" s="55"/>
      <c r="T1228" s="32"/>
      <c r="U1228" s="32"/>
      <c r="V1228" s="32"/>
      <c r="W1228" s="32"/>
      <c r="X1228" s="32"/>
      <c r="Y1228" s="32"/>
      <c r="Z1228" s="32"/>
      <c r="AA1228" s="32"/>
      <c r="AB1228" s="32"/>
      <c r="AC1228" s="32"/>
    </row>
    <row r="1229">
      <c r="A1229" s="32"/>
      <c r="B1229" s="16"/>
      <c r="C1229" s="1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84"/>
      <c r="P1229" s="54"/>
      <c r="Q1229" s="54"/>
      <c r="R1229" s="55"/>
      <c r="S1229" s="55"/>
      <c r="T1229" s="32"/>
      <c r="U1229" s="32"/>
      <c r="V1229" s="32"/>
      <c r="W1229" s="32"/>
      <c r="X1229" s="32"/>
      <c r="Y1229" s="32"/>
      <c r="Z1229" s="32"/>
      <c r="AA1229" s="32"/>
      <c r="AB1229" s="32"/>
      <c r="AC1229" s="32"/>
    </row>
    <row r="1230">
      <c r="A1230" s="32"/>
      <c r="B1230" s="16"/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84"/>
      <c r="P1230" s="54"/>
      <c r="Q1230" s="54"/>
      <c r="R1230" s="55"/>
      <c r="S1230" s="55"/>
      <c r="T1230" s="32"/>
      <c r="U1230" s="32"/>
      <c r="V1230" s="32"/>
      <c r="W1230" s="32"/>
      <c r="X1230" s="32"/>
      <c r="Y1230" s="32"/>
      <c r="Z1230" s="32"/>
      <c r="AA1230" s="32"/>
      <c r="AB1230" s="32"/>
      <c r="AC1230" s="32"/>
    </row>
    <row r="1231">
      <c r="A1231" s="32"/>
      <c r="B1231" s="16"/>
      <c r="C1231" s="16"/>
      <c r="D1231" s="16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84"/>
      <c r="P1231" s="54"/>
      <c r="Q1231" s="54"/>
      <c r="R1231" s="55"/>
      <c r="S1231" s="55"/>
      <c r="T1231" s="32"/>
      <c r="U1231" s="32"/>
      <c r="V1231" s="32"/>
      <c r="W1231" s="32"/>
      <c r="X1231" s="32"/>
      <c r="Y1231" s="32"/>
      <c r="Z1231" s="32"/>
      <c r="AA1231" s="32"/>
      <c r="AB1231" s="32"/>
      <c r="AC1231" s="32"/>
    </row>
    <row r="1232">
      <c r="A1232" s="32"/>
      <c r="B1232" s="16"/>
      <c r="C1232" s="1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84"/>
      <c r="P1232" s="54"/>
      <c r="Q1232" s="54"/>
      <c r="R1232" s="55"/>
      <c r="S1232" s="55"/>
      <c r="T1232" s="32"/>
      <c r="U1232" s="32"/>
      <c r="V1232" s="32"/>
      <c r="W1232" s="32"/>
      <c r="X1232" s="32"/>
      <c r="Y1232" s="32"/>
      <c r="Z1232" s="32"/>
      <c r="AA1232" s="32"/>
      <c r="AB1232" s="32"/>
      <c r="AC1232" s="32"/>
    </row>
    <row r="1233">
      <c r="A1233" s="32"/>
      <c r="B1233" s="16"/>
      <c r="C1233" s="16"/>
      <c r="D1233" s="16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84"/>
      <c r="P1233" s="54"/>
      <c r="Q1233" s="54"/>
      <c r="R1233" s="55"/>
      <c r="S1233" s="55"/>
      <c r="T1233" s="32"/>
      <c r="U1233" s="32"/>
      <c r="V1233" s="32"/>
      <c r="W1233" s="32"/>
      <c r="X1233" s="32"/>
      <c r="Y1233" s="32"/>
      <c r="Z1233" s="32"/>
      <c r="AA1233" s="32"/>
      <c r="AB1233" s="32"/>
      <c r="AC1233" s="32"/>
    </row>
    <row r="1234">
      <c r="A1234" s="32"/>
      <c r="B1234" s="16"/>
      <c r="C1234" s="16"/>
      <c r="D1234" s="16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  <c r="O1234" s="84"/>
      <c r="P1234" s="54"/>
      <c r="Q1234" s="54"/>
      <c r="R1234" s="55"/>
      <c r="S1234" s="55"/>
      <c r="T1234" s="32"/>
      <c r="U1234" s="32"/>
      <c r="V1234" s="32"/>
      <c r="W1234" s="32"/>
      <c r="X1234" s="32"/>
      <c r="Y1234" s="32"/>
      <c r="Z1234" s="32"/>
      <c r="AA1234" s="32"/>
      <c r="AB1234" s="32"/>
      <c r="AC1234" s="32"/>
    </row>
    <row r="1235">
      <c r="A1235" s="32"/>
      <c r="B1235" s="16"/>
      <c r="C1235" s="16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84"/>
      <c r="P1235" s="54"/>
      <c r="Q1235" s="54"/>
      <c r="R1235" s="55"/>
      <c r="S1235" s="55"/>
      <c r="T1235" s="32"/>
      <c r="U1235" s="32"/>
      <c r="V1235" s="32"/>
      <c r="W1235" s="32"/>
      <c r="X1235" s="32"/>
      <c r="Y1235" s="32"/>
      <c r="Z1235" s="32"/>
      <c r="AA1235" s="32"/>
      <c r="AB1235" s="32"/>
      <c r="AC1235" s="32"/>
    </row>
    <row r="1236">
      <c r="A1236" s="32"/>
      <c r="B1236" s="16"/>
      <c r="C1236" s="16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84"/>
      <c r="P1236" s="54"/>
      <c r="Q1236" s="54"/>
      <c r="R1236" s="55"/>
      <c r="S1236" s="55"/>
      <c r="T1236" s="32"/>
      <c r="U1236" s="32"/>
      <c r="V1236" s="32"/>
      <c r="W1236" s="32"/>
      <c r="X1236" s="32"/>
      <c r="Y1236" s="32"/>
      <c r="Z1236" s="32"/>
      <c r="AA1236" s="32"/>
      <c r="AB1236" s="32"/>
      <c r="AC1236" s="32"/>
    </row>
    <row r="1237">
      <c r="A1237" s="32"/>
      <c r="B1237" s="16"/>
      <c r="C1237" s="16"/>
      <c r="D1237" s="16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  <c r="O1237" s="84"/>
      <c r="P1237" s="54"/>
      <c r="Q1237" s="54"/>
      <c r="R1237" s="55"/>
      <c r="S1237" s="55"/>
      <c r="T1237" s="32"/>
      <c r="U1237" s="32"/>
      <c r="V1237" s="32"/>
      <c r="W1237" s="32"/>
      <c r="X1237" s="32"/>
      <c r="Y1237" s="32"/>
      <c r="Z1237" s="32"/>
      <c r="AA1237" s="32"/>
      <c r="AB1237" s="32"/>
      <c r="AC1237" s="32"/>
    </row>
    <row r="1238">
      <c r="A1238" s="32"/>
      <c r="B1238" s="16"/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84"/>
      <c r="P1238" s="54"/>
      <c r="Q1238" s="54"/>
      <c r="R1238" s="55"/>
      <c r="S1238" s="55"/>
      <c r="T1238" s="32"/>
      <c r="U1238" s="32"/>
      <c r="V1238" s="32"/>
      <c r="W1238" s="32"/>
      <c r="X1238" s="32"/>
      <c r="Y1238" s="32"/>
      <c r="Z1238" s="32"/>
      <c r="AA1238" s="32"/>
      <c r="AB1238" s="32"/>
      <c r="AC1238" s="32"/>
    </row>
    <row r="1239">
      <c r="A1239" s="32"/>
      <c r="B1239" s="16"/>
      <c r="C1239" s="16"/>
      <c r="D1239" s="16"/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  <c r="O1239" s="84"/>
      <c r="P1239" s="54"/>
      <c r="Q1239" s="54"/>
      <c r="R1239" s="55"/>
      <c r="S1239" s="55"/>
      <c r="T1239" s="32"/>
      <c r="U1239" s="32"/>
      <c r="V1239" s="32"/>
      <c r="W1239" s="32"/>
      <c r="X1239" s="32"/>
      <c r="Y1239" s="32"/>
      <c r="Z1239" s="32"/>
      <c r="AA1239" s="32"/>
      <c r="AB1239" s="32"/>
      <c r="AC1239" s="32"/>
    </row>
    <row r="1240">
      <c r="A1240" s="32"/>
      <c r="B1240" s="16"/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84"/>
      <c r="P1240" s="54"/>
      <c r="Q1240" s="54"/>
      <c r="R1240" s="55"/>
      <c r="S1240" s="55"/>
      <c r="T1240" s="32"/>
      <c r="U1240" s="32"/>
      <c r="V1240" s="32"/>
      <c r="W1240" s="32"/>
      <c r="X1240" s="32"/>
      <c r="Y1240" s="32"/>
      <c r="Z1240" s="32"/>
      <c r="AA1240" s="32"/>
      <c r="AB1240" s="32"/>
      <c r="AC1240" s="32"/>
    </row>
    <row r="1241">
      <c r="A1241" s="32"/>
      <c r="B1241" s="16"/>
      <c r="C1241" s="16"/>
      <c r="D1241" s="16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  <c r="O1241" s="84"/>
      <c r="P1241" s="54"/>
      <c r="Q1241" s="54"/>
      <c r="R1241" s="55"/>
      <c r="S1241" s="55"/>
      <c r="T1241" s="32"/>
      <c r="U1241" s="32"/>
      <c r="V1241" s="32"/>
      <c r="W1241" s="32"/>
      <c r="X1241" s="32"/>
      <c r="Y1241" s="32"/>
      <c r="Z1241" s="32"/>
      <c r="AA1241" s="32"/>
      <c r="AB1241" s="32"/>
      <c r="AC1241" s="32"/>
    </row>
    <row r="1242">
      <c r="A1242" s="32"/>
      <c r="B1242" s="16"/>
      <c r="C1242" s="16"/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84"/>
      <c r="P1242" s="54"/>
      <c r="Q1242" s="54"/>
      <c r="R1242" s="55"/>
      <c r="S1242" s="55"/>
      <c r="T1242" s="32"/>
      <c r="U1242" s="32"/>
      <c r="V1242" s="32"/>
      <c r="W1242" s="32"/>
      <c r="X1242" s="32"/>
      <c r="Y1242" s="32"/>
      <c r="Z1242" s="32"/>
      <c r="AA1242" s="32"/>
      <c r="AB1242" s="32"/>
      <c r="AC1242" s="32"/>
    </row>
    <row r="1243">
      <c r="A1243" s="32"/>
      <c r="B1243" s="16"/>
      <c r="C1243" s="16"/>
      <c r="D1243" s="16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  <c r="O1243" s="84"/>
      <c r="P1243" s="54"/>
      <c r="Q1243" s="54"/>
      <c r="R1243" s="55"/>
      <c r="S1243" s="55"/>
      <c r="T1243" s="32"/>
      <c r="U1243" s="32"/>
      <c r="V1243" s="32"/>
      <c r="W1243" s="32"/>
      <c r="X1243" s="32"/>
      <c r="Y1243" s="32"/>
      <c r="Z1243" s="32"/>
      <c r="AA1243" s="32"/>
      <c r="AB1243" s="32"/>
      <c r="AC1243" s="32"/>
    </row>
    <row r="1244">
      <c r="A1244" s="32"/>
      <c r="B1244" s="16"/>
      <c r="C1244" s="16"/>
      <c r="D1244" s="16"/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  <c r="O1244" s="84"/>
      <c r="P1244" s="54"/>
      <c r="Q1244" s="54"/>
      <c r="R1244" s="55"/>
      <c r="S1244" s="55"/>
      <c r="T1244" s="32"/>
      <c r="U1244" s="32"/>
      <c r="V1244" s="32"/>
      <c r="W1244" s="32"/>
      <c r="X1244" s="32"/>
      <c r="Y1244" s="32"/>
      <c r="Z1244" s="32"/>
      <c r="AA1244" s="32"/>
      <c r="AB1244" s="32"/>
      <c r="AC1244" s="32"/>
    </row>
    <row r="1245">
      <c r="A1245" s="32"/>
      <c r="B1245" s="16"/>
      <c r="C1245" s="16"/>
      <c r="D1245" s="16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84"/>
      <c r="P1245" s="54"/>
      <c r="Q1245" s="54"/>
      <c r="R1245" s="55"/>
      <c r="S1245" s="55"/>
      <c r="T1245" s="32"/>
      <c r="U1245" s="32"/>
      <c r="V1245" s="32"/>
      <c r="W1245" s="32"/>
      <c r="X1245" s="32"/>
      <c r="Y1245" s="32"/>
      <c r="Z1245" s="32"/>
      <c r="AA1245" s="32"/>
      <c r="AB1245" s="32"/>
      <c r="AC1245" s="32"/>
    </row>
    <row r="1246">
      <c r="A1246" s="32"/>
      <c r="B1246" s="16"/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84"/>
      <c r="P1246" s="54"/>
      <c r="Q1246" s="54"/>
      <c r="R1246" s="55"/>
      <c r="S1246" s="55"/>
      <c r="T1246" s="32"/>
      <c r="U1246" s="32"/>
      <c r="V1246" s="32"/>
      <c r="W1246" s="32"/>
      <c r="X1246" s="32"/>
      <c r="Y1246" s="32"/>
      <c r="Z1246" s="32"/>
      <c r="AA1246" s="32"/>
      <c r="AB1246" s="32"/>
      <c r="AC1246" s="32"/>
    </row>
    <row r="1247">
      <c r="A1247" s="32"/>
      <c r="B1247" s="16"/>
      <c r="C1247" s="1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84"/>
      <c r="P1247" s="54"/>
      <c r="Q1247" s="54"/>
      <c r="R1247" s="55"/>
      <c r="S1247" s="55"/>
      <c r="T1247" s="32"/>
      <c r="U1247" s="32"/>
      <c r="V1247" s="32"/>
      <c r="W1247" s="32"/>
      <c r="X1247" s="32"/>
      <c r="Y1247" s="32"/>
      <c r="Z1247" s="32"/>
      <c r="AA1247" s="32"/>
      <c r="AB1247" s="32"/>
      <c r="AC1247" s="32"/>
    </row>
    <row r="1248">
      <c r="A1248" s="32"/>
      <c r="B1248" s="16"/>
      <c r="C1248" s="16"/>
      <c r="D1248" s="16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  <c r="O1248" s="84"/>
      <c r="P1248" s="54"/>
      <c r="Q1248" s="54"/>
      <c r="R1248" s="55"/>
      <c r="S1248" s="55"/>
      <c r="T1248" s="32"/>
      <c r="U1248" s="32"/>
      <c r="V1248" s="32"/>
      <c r="W1248" s="32"/>
      <c r="X1248" s="32"/>
      <c r="Y1248" s="32"/>
      <c r="Z1248" s="32"/>
      <c r="AA1248" s="32"/>
      <c r="AB1248" s="32"/>
      <c r="AC1248" s="32"/>
    </row>
    <row r="1249">
      <c r="A1249" s="32"/>
      <c r="B1249" s="16"/>
      <c r="C1249" s="16"/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84"/>
      <c r="P1249" s="54"/>
      <c r="Q1249" s="54"/>
      <c r="R1249" s="55"/>
      <c r="S1249" s="55"/>
      <c r="T1249" s="32"/>
      <c r="U1249" s="32"/>
      <c r="V1249" s="32"/>
      <c r="W1249" s="32"/>
      <c r="X1249" s="32"/>
      <c r="Y1249" s="32"/>
      <c r="Z1249" s="32"/>
      <c r="AA1249" s="32"/>
      <c r="AB1249" s="32"/>
      <c r="AC1249" s="32"/>
    </row>
    <row r="1250">
      <c r="A1250" s="32"/>
      <c r="B1250" s="16"/>
      <c r="C1250" s="16"/>
      <c r="D1250" s="16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84"/>
      <c r="P1250" s="54"/>
      <c r="Q1250" s="54"/>
      <c r="R1250" s="55"/>
      <c r="S1250" s="55"/>
      <c r="T1250" s="32"/>
      <c r="U1250" s="32"/>
      <c r="V1250" s="32"/>
      <c r="W1250" s="32"/>
      <c r="X1250" s="32"/>
      <c r="Y1250" s="32"/>
      <c r="Z1250" s="32"/>
      <c r="AA1250" s="32"/>
      <c r="AB1250" s="32"/>
      <c r="AC1250" s="32"/>
    </row>
    <row r="1251">
      <c r="A1251" s="32"/>
      <c r="B1251" s="16"/>
      <c r="C1251" s="16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84"/>
      <c r="P1251" s="54"/>
      <c r="Q1251" s="54"/>
      <c r="R1251" s="55"/>
      <c r="S1251" s="55"/>
      <c r="T1251" s="32"/>
      <c r="U1251" s="32"/>
      <c r="V1251" s="32"/>
      <c r="W1251" s="32"/>
      <c r="X1251" s="32"/>
      <c r="Y1251" s="32"/>
      <c r="Z1251" s="32"/>
      <c r="AA1251" s="32"/>
      <c r="AB1251" s="32"/>
      <c r="AC1251" s="32"/>
    </row>
    <row r="1252">
      <c r="A1252" s="32"/>
      <c r="B1252" s="16"/>
      <c r="C1252" s="16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84"/>
      <c r="P1252" s="54"/>
      <c r="Q1252" s="54"/>
      <c r="R1252" s="55"/>
      <c r="S1252" s="55"/>
      <c r="T1252" s="32"/>
      <c r="U1252" s="32"/>
      <c r="V1252" s="32"/>
      <c r="W1252" s="32"/>
      <c r="X1252" s="32"/>
      <c r="Y1252" s="32"/>
      <c r="Z1252" s="32"/>
      <c r="AA1252" s="32"/>
      <c r="AB1252" s="32"/>
      <c r="AC1252" s="32"/>
    </row>
    <row r="1253">
      <c r="A1253" s="32"/>
      <c r="B1253" s="16"/>
      <c r="C1253" s="16"/>
      <c r="D1253" s="16"/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  <c r="O1253" s="84"/>
      <c r="P1253" s="54"/>
      <c r="Q1253" s="54"/>
      <c r="R1253" s="55"/>
      <c r="S1253" s="55"/>
      <c r="T1253" s="32"/>
      <c r="U1253" s="32"/>
      <c r="V1253" s="32"/>
      <c r="W1253" s="32"/>
      <c r="X1253" s="32"/>
      <c r="Y1253" s="32"/>
      <c r="Z1253" s="32"/>
      <c r="AA1253" s="32"/>
      <c r="AB1253" s="32"/>
      <c r="AC1253" s="32"/>
    </row>
    <row r="1254">
      <c r="A1254" s="32"/>
      <c r="B1254" s="16"/>
      <c r="C1254" s="16"/>
      <c r="D1254" s="16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84"/>
      <c r="P1254" s="54"/>
      <c r="Q1254" s="54"/>
      <c r="R1254" s="55"/>
      <c r="S1254" s="55"/>
      <c r="T1254" s="32"/>
      <c r="U1254" s="32"/>
      <c r="V1254" s="32"/>
      <c r="W1254" s="32"/>
      <c r="X1254" s="32"/>
      <c r="Y1254" s="32"/>
      <c r="Z1254" s="32"/>
      <c r="AA1254" s="32"/>
      <c r="AB1254" s="32"/>
      <c r="AC1254" s="32"/>
    </row>
    <row r="1255">
      <c r="A1255" s="32"/>
      <c r="B1255" s="16"/>
      <c r="C1255" s="16"/>
      <c r="D1255" s="16"/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  <c r="O1255" s="84"/>
      <c r="P1255" s="54"/>
      <c r="Q1255" s="54"/>
      <c r="R1255" s="55"/>
      <c r="S1255" s="55"/>
      <c r="T1255" s="32"/>
      <c r="U1255" s="32"/>
      <c r="V1255" s="32"/>
      <c r="W1255" s="32"/>
      <c r="X1255" s="32"/>
      <c r="Y1255" s="32"/>
      <c r="Z1255" s="32"/>
      <c r="AA1255" s="32"/>
      <c r="AB1255" s="32"/>
      <c r="AC1255" s="32"/>
    </row>
    <row r="1256">
      <c r="A1256" s="32"/>
      <c r="B1256" s="16"/>
      <c r="C1256" s="16"/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84"/>
      <c r="P1256" s="54"/>
      <c r="Q1256" s="54"/>
      <c r="R1256" s="55"/>
      <c r="S1256" s="55"/>
      <c r="T1256" s="32"/>
      <c r="U1256" s="32"/>
      <c r="V1256" s="32"/>
      <c r="W1256" s="32"/>
      <c r="X1256" s="32"/>
      <c r="Y1256" s="32"/>
      <c r="Z1256" s="32"/>
      <c r="AA1256" s="32"/>
      <c r="AB1256" s="32"/>
      <c r="AC1256" s="32"/>
    </row>
    <row r="1257">
      <c r="A1257" s="32"/>
      <c r="B1257" s="16"/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84"/>
      <c r="P1257" s="54"/>
      <c r="Q1257" s="54"/>
      <c r="R1257" s="55"/>
      <c r="S1257" s="55"/>
      <c r="T1257" s="32"/>
      <c r="U1257" s="32"/>
      <c r="V1257" s="32"/>
      <c r="W1257" s="32"/>
      <c r="X1257" s="32"/>
      <c r="Y1257" s="32"/>
      <c r="Z1257" s="32"/>
      <c r="AA1257" s="32"/>
      <c r="AB1257" s="32"/>
      <c r="AC1257" s="32"/>
    </row>
    <row r="1258">
      <c r="A1258" s="32"/>
      <c r="B1258" s="16"/>
      <c r="C1258" s="16"/>
      <c r="D1258" s="16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84"/>
      <c r="P1258" s="54"/>
      <c r="Q1258" s="54"/>
      <c r="R1258" s="55"/>
      <c r="S1258" s="55"/>
      <c r="T1258" s="32"/>
      <c r="U1258" s="32"/>
      <c r="V1258" s="32"/>
      <c r="W1258" s="32"/>
      <c r="X1258" s="32"/>
      <c r="Y1258" s="32"/>
      <c r="Z1258" s="32"/>
      <c r="AA1258" s="32"/>
      <c r="AB1258" s="32"/>
      <c r="AC1258" s="32"/>
    </row>
    <row r="1259">
      <c r="A1259" s="32"/>
      <c r="B1259" s="16"/>
      <c r="C1259" s="16"/>
      <c r="D1259" s="16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  <c r="O1259" s="84"/>
      <c r="P1259" s="54"/>
      <c r="Q1259" s="54"/>
      <c r="R1259" s="55"/>
      <c r="S1259" s="55"/>
      <c r="T1259" s="32"/>
      <c r="U1259" s="32"/>
      <c r="V1259" s="32"/>
      <c r="W1259" s="32"/>
      <c r="X1259" s="32"/>
      <c r="Y1259" s="32"/>
      <c r="Z1259" s="32"/>
      <c r="AA1259" s="32"/>
      <c r="AB1259" s="32"/>
      <c r="AC1259" s="32"/>
    </row>
    <row r="1260">
      <c r="A1260" s="32"/>
      <c r="B1260" s="16"/>
      <c r="C1260" s="16"/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84"/>
      <c r="P1260" s="54"/>
      <c r="Q1260" s="54"/>
      <c r="R1260" s="55"/>
      <c r="S1260" s="55"/>
      <c r="T1260" s="32"/>
      <c r="U1260" s="32"/>
      <c r="V1260" s="32"/>
      <c r="W1260" s="32"/>
      <c r="X1260" s="32"/>
      <c r="Y1260" s="32"/>
      <c r="Z1260" s="32"/>
      <c r="AA1260" s="32"/>
      <c r="AB1260" s="32"/>
      <c r="AC1260" s="32"/>
    </row>
    <row r="1261">
      <c r="A1261" s="32"/>
      <c r="B1261" s="16"/>
      <c r="C1261" s="16"/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84"/>
      <c r="P1261" s="54"/>
      <c r="Q1261" s="54"/>
      <c r="R1261" s="55"/>
      <c r="S1261" s="55"/>
      <c r="T1261" s="32"/>
      <c r="U1261" s="32"/>
      <c r="V1261" s="32"/>
      <c r="W1261" s="32"/>
      <c r="X1261" s="32"/>
      <c r="Y1261" s="32"/>
      <c r="Z1261" s="32"/>
      <c r="AA1261" s="32"/>
      <c r="AB1261" s="32"/>
      <c r="AC1261" s="32"/>
    </row>
    <row r="1262">
      <c r="A1262" s="32"/>
      <c r="B1262" s="16"/>
      <c r="C1262" s="16"/>
      <c r="D1262" s="16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  <c r="O1262" s="84"/>
      <c r="P1262" s="54"/>
      <c r="Q1262" s="54"/>
      <c r="R1262" s="55"/>
      <c r="S1262" s="55"/>
      <c r="T1262" s="32"/>
      <c r="U1262" s="32"/>
      <c r="V1262" s="32"/>
      <c r="W1262" s="32"/>
      <c r="X1262" s="32"/>
      <c r="Y1262" s="32"/>
      <c r="Z1262" s="32"/>
      <c r="AA1262" s="32"/>
      <c r="AB1262" s="32"/>
      <c r="AC1262" s="32"/>
    </row>
    <row r="1263">
      <c r="A1263" s="32"/>
      <c r="B1263" s="16"/>
      <c r="C1263" s="16"/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84"/>
      <c r="P1263" s="54"/>
      <c r="Q1263" s="54"/>
      <c r="R1263" s="55"/>
      <c r="S1263" s="55"/>
      <c r="T1263" s="32"/>
      <c r="U1263" s="32"/>
      <c r="V1263" s="32"/>
      <c r="W1263" s="32"/>
      <c r="X1263" s="32"/>
      <c r="Y1263" s="32"/>
      <c r="Z1263" s="32"/>
      <c r="AA1263" s="32"/>
      <c r="AB1263" s="32"/>
      <c r="AC1263" s="32"/>
    </row>
    <row r="1264">
      <c r="A1264" s="32"/>
      <c r="B1264" s="16"/>
      <c r="C1264" s="16"/>
      <c r="D1264" s="16"/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  <c r="O1264" s="84"/>
      <c r="P1264" s="54"/>
      <c r="Q1264" s="54"/>
      <c r="R1264" s="55"/>
      <c r="S1264" s="55"/>
      <c r="T1264" s="32"/>
      <c r="U1264" s="32"/>
      <c r="V1264" s="32"/>
      <c r="W1264" s="32"/>
      <c r="X1264" s="32"/>
      <c r="Y1264" s="32"/>
      <c r="Z1264" s="32"/>
      <c r="AA1264" s="32"/>
      <c r="AB1264" s="32"/>
      <c r="AC1264" s="32"/>
    </row>
    <row r="1265">
      <c r="A1265" s="32"/>
      <c r="B1265" s="16"/>
      <c r="C1265" s="16"/>
      <c r="D1265" s="16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  <c r="O1265" s="84"/>
      <c r="P1265" s="54"/>
      <c r="Q1265" s="54"/>
      <c r="R1265" s="55"/>
      <c r="S1265" s="55"/>
      <c r="T1265" s="32"/>
      <c r="U1265" s="32"/>
      <c r="V1265" s="32"/>
      <c r="W1265" s="32"/>
      <c r="X1265" s="32"/>
      <c r="Y1265" s="32"/>
      <c r="Z1265" s="32"/>
      <c r="AA1265" s="32"/>
      <c r="AB1265" s="32"/>
      <c r="AC1265" s="32"/>
    </row>
    <row r="1266">
      <c r="A1266" s="32"/>
      <c r="B1266" s="16"/>
      <c r="C1266" s="16"/>
      <c r="D1266" s="16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84"/>
      <c r="P1266" s="54"/>
      <c r="Q1266" s="54"/>
      <c r="R1266" s="55"/>
      <c r="S1266" s="55"/>
      <c r="T1266" s="32"/>
      <c r="U1266" s="32"/>
      <c r="V1266" s="32"/>
      <c r="W1266" s="32"/>
      <c r="X1266" s="32"/>
      <c r="Y1266" s="32"/>
      <c r="Z1266" s="32"/>
      <c r="AA1266" s="32"/>
      <c r="AB1266" s="32"/>
      <c r="AC1266" s="32"/>
    </row>
    <row r="1267">
      <c r="A1267" s="32"/>
      <c r="B1267" s="16"/>
      <c r="C1267" s="16"/>
      <c r="D1267" s="16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84"/>
      <c r="P1267" s="54"/>
      <c r="Q1267" s="54"/>
      <c r="R1267" s="55"/>
      <c r="S1267" s="55"/>
      <c r="T1267" s="32"/>
      <c r="U1267" s="32"/>
      <c r="V1267" s="32"/>
      <c r="W1267" s="32"/>
      <c r="X1267" s="32"/>
      <c r="Y1267" s="32"/>
      <c r="Z1267" s="32"/>
      <c r="AA1267" s="32"/>
      <c r="AB1267" s="32"/>
      <c r="AC1267" s="32"/>
    </row>
    <row r="1268">
      <c r="A1268" s="32"/>
      <c r="B1268" s="16"/>
      <c r="C1268" s="16"/>
      <c r="D1268" s="16"/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  <c r="O1268" s="84"/>
      <c r="P1268" s="54"/>
      <c r="Q1268" s="54"/>
      <c r="R1268" s="55"/>
      <c r="S1268" s="55"/>
      <c r="T1268" s="32"/>
      <c r="U1268" s="32"/>
      <c r="V1268" s="32"/>
      <c r="W1268" s="32"/>
      <c r="X1268" s="32"/>
      <c r="Y1268" s="32"/>
      <c r="Z1268" s="32"/>
      <c r="AA1268" s="32"/>
      <c r="AB1268" s="32"/>
      <c r="AC1268" s="32"/>
    </row>
    <row r="1269">
      <c r="A1269" s="32"/>
      <c r="B1269" s="16"/>
      <c r="C1269" s="16"/>
      <c r="D1269" s="16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84"/>
      <c r="P1269" s="54"/>
      <c r="Q1269" s="54"/>
      <c r="R1269" s="55"/>
      <c r="S1269" s="55"/>
      <c r="T1269" s="32"/>
      <c r="U1269" s="32"/>
      <c r="V1269" s="32"/>
      <c r="W1269" s="32"/>
      <c r="X1269" s="32"/>
      <c r="Y1269" s="32"/>
      <c r="Z1269" s="32"/>
      <c r="AA1269" s="32"/>
      <c r="AB1269" s="32"/>
      <c r="AC1269" s="32"/>
    </row>
    <row r="1270">
      <c r="A1270" s="32"/>
      <c r="B1270" s="16"/>
      <c r="C1270" s="16"/>
      <c r="D1270" s="16"/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  <c r="O1270" s="84"/>
      <c r="P1270" s="54"/>
      <c r="Q1270" s="54"/>
      <c r="R1270" s="55"/>
      <c r="S1270" s="55"/>
      <c r="T1270" s="32"/>
      <c r="U1270" s="32"/>
      <c r="V1270" s="32"/>
      <c r="W1270" s="32"/>
      <c r="X1270" s="32"/>
      <c r="Y1270" s="32"/>
      <c r="Z1270" s="32"/>
      <c r="AA1270" s="32"/>
      <c r="AB1270" s="32"/>
      <c r="AC1270" s="32"/>
    </row>
    <row r="1271">
      <c r="A1271" s="32"/>
      <c r="B1271" s="16"/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84"/>
      <c r="P1271" s="54"/>
      <c r="Q1271" s="54"/>
      <c r="R1271" s="55"/>
      <c r="S1271" s="55"/>
      <c r="T1271" s="32"/>
      <c r="U1271" s="32"/>
      <c r="V1271" s="32"/>
      <c r="W1271" s="32"/>
      <c r="X1271" s="32"/>
      <c r="Y1271" s="32"/>
      <c r="Z1271" s="32"/>
      <c r="AA1271" s="32"/>
      <c r="AB1271" s="32"/>
      <c r="AC1271" s="32"/>
    </row>
    <row r="1272">
      <c r="A1272" s="32"/>
      <c r="B1272" s="16"/>
      <c r="C1272" s="16"/>
      <c r="D1272" s="16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  <c r="O1272" s="84"/>
      <c r="P1272" s="54"/>
      <c r="Q1272" s="54"/>
      <c r="R1272" s="55"/>
      <c r="S1272" s="55"/>
      <c r="T1272" s="32"/>
      <c r="U1272" s="32"/>
      <c r="V1272" s="32"/>
      <c r="W1272" s="32"/>
      <c r="X1272" s="32"/>
      <c r="Y1272" s="32"/>
      <c r="Z1272" s="32"/>
      <c r="AA1272" s="32"/>
      <c r="AB1272" s="32"/>
      <c r="AC1272" s="32"/>
    </row>
    <row r="1273">
      <c r="A1273" s="32"/>
      <c r="B1273" s="16"/>
      <c r="C1273" s="16"/>
      <c r="D1273" s="16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84"/>
      <c r="P1273" s="54"/>
      <c r="Q1273" s="54"/>
      <c r="R1273" s="55"/>
      <c r="S1273" s="55"/>
      <c r="T1273" s="32"/>
      <c r="U1273" s="32"/>
      <c r="V1273" s="32"/>
      <c r="W1273" s="32"/>
      <c r="X1273" s="32"/>
      <c r="Y1273" s="32"/>
      <c r="Z1273" s="32"/>
      <c r="AA1273" s="32"/>
      <c r="AB1273" s="32"/>
      <c r="AC1273" s="32"/>
    </row>
    <row r="1274">
      <c r="A1274" s="32"/>
      <c r="B1274" s="16"/>
      <c r="C1274" s="16"/>
      <c r="D1274" s="16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  <c r="O1274" s="84"/>
      <c r="P1274" s="54"/>
      <c r="Q1274" s="54"/>
      <c r="R1274" s="55"/>
      <c r="S1274" s="55"/>
      <c r="T1274" s="32"/>
      <c r="U1274" s="32"/>
      <c r="V1274" s="32"/>
      <c r="W1274" s="32"/>
      <c r="X1274" s="32"/>
      <c r="Y1274" s="32"/>
      <c r="Z1274" s="32"/>
      <c r="AA1274" s="32"/>
      <c r="AB1274" s="32"/>
      <c r="AC1274" s="32"/>
    </row>
    <row r="1275">
      <c r="A1275" s="32"/>
      <c r="B1275" s="16"/>
      <c r="C1275" s="16"/>
      <c r="D1275" s="16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84"/>
      <c r="P1275" s="54"/>
      <c r="Q1275" s="54"/>
      <c r="R1275" s="55"/>
      <c r="S1275" s="55"/>
      <c r="T1275" s="32"/>
      <c r="U1275" s="32"/>
      <c r="V1275" s="32"/>
      <c r="W1275" s="32"/>
      <c r="X1275" s="32"/>
      <c r="Y1275" s="32"/>
      <c r="Z1275" s="32"/>
      <c r="AA1275" s="32"/>
      <c r="AB1275" s="32"/>
      <c r="AC1275" s="32"/>
    </row>
    <row r="1276">
      <c r="A1276" s="32"/>
      <c r="B1276" s="16"/>
      <c r="C1276" s="16"/>
      <c r="D1276" s="16"/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  <c r="O1276" s="84"/>
      <c r="P1276" s="54"/>
      <c r="Q1276" s="54"/>
      <c r="R1276" s="55"/>
      <c r="S1276" s="55"/>
      <c r="T1276" s="32"/>
      <c r="U1276" s="32"/>
      <c r="V1276" s="32"/>
      <c r="W1276" s="32"/>
      <c r="X1276" s="32"/>
      <c r="Y1276" s="32"/>
      <c r="Z1276" s="32"/>
      <c r="AA1276" s="32"/>
      <c r="AB1276" s="32"/>
      <c r="AC1276" s="32"/>
    </row>
    <row r="1277">
      <c r="A1277" s="32"/>
      <c r="B1277" s="16"/>
      <c r="C1277" s="16"/>
      <c r="D1277" s="16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  <c r="O1277" s="84"/>
      <c r="P1277" s="54"/>
      <c r="Q1277" s="54"/>
      <c r="R1277" s="55"/>
      <c r="S1277" s="55"/>
      <c r="T1277" s="32"/>
      <c r="U1277" s="32"/>
      <c r="V1277" s="32"/>
      <c r="W1277" s="32"/>
      <c r="X1277" s="32"/>
      <c r="Y1277" s="32"/>
      <c r="Z1277" s="32"/>
      <c r="AA1277" s="32"/>
      <c r="AB1277" s="32"/>
      <c r="AC1277" s="32"/>
    </row>
    <row r="1278">
      <c r="A1278" s="32"/>
      <c r="B1278" s="16"/>
      <c r="C1278" s="16"/>
      <c r="D1278" s="16"/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  <c r="O1278" s="84"/>
      <c r="P1278" s="54"/>
      <c r="Q1278" s="54"/>
      <c r="R1278" s="55"/>
      <c r="S1278" s="55"/>
      <c r="T1278" s="32"/>
      <c r="U1278" s="32"/>
      <c r="V1278" s="32"/>
      <c r="W1278" s="32"/>
      <c r="X1278" s="32"/>
      <c r="Y1278" s="32"/>
      <c r="Z1278" s="32"/>
      <c r="AA1278" s="32"/>
      <c r="AB1278" s="32"/>
      <c r="AC1278" s="32"/>
    </row>
    <row r="1279">
      <c r="A1279" s="32"/>
      <c r="B1279" s="16"/>
      <c r="C1279" s="16"/>
      <c r="D1279" s="16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84"/>
      <c r="P1279" s="54"/>
      <c r="Q1279" s="54"/>
      <c r="R1279" s="55"/>
      <c r="S1279" s="55"/>
      <c r="T1279" s="32"/>
      <c r="U1279" s="32"/>
      <c r="V1279" s="32"/>
      <c r="W1279" s="32"/>
      <c r="X1279" s="32"/>
      <c r="Y1279" s="32"/>
      <c r="Z1279" s="32"/>
      <c r="AA1279" s="32"/>
      <c r="AB1279" s="32"/>
      <c r="AC1279" s="32"/>
    </row>
    <row r="1280">
      <c r="A1280" s="32"/>
      <c r="B1280" s="16"/>
      <c r="C1280" s="16"/>
      <c r="D1280" s="16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84"/>
      <c r="P1280" s="54"/>
      <c r="Q1280" s="54"/>
      <c r="R1280" s="55"/>
      <c r="S1280" s="55"/>
      <c r="T1280" s="32"/>
      <c r="U1280" s="32"/>
      <c r="V1280" s="32"/>
      <c r="W1280" s="32"/>
      <c r="X1280" s="32"/>
      <c r="Y1280" s="32"/>
      <c r="Z1280" s="32"/>
      <c r="AA1280" s="32"/>
      <c r="AB1280" s="32"/>
      <c r="AC1280" s="32"/>
    </row>
    <row r="1281">
      <c r="A1281" s="32"/>
      <c r="B1281" s="16"/>
      <c r="C1281" s="16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84"/>
      <c r="P1281" s="54"/>
      <c r="Q1281" s="54"/>
      <c r="R1281" s="55"/>
      <c r="S1281" s="55"/>
      <c r="T1281" s="32"/>
      <c r="U1281" s="32"/>
      <c r="V1281" s="32"/>
      <c r="W1281" s="32"/>
      <c r="X1281" s="32"/>
      <c r="Y1281" s="32"/>
      <c r="Z1281" s="32"/>
      <c r="AA1281" s="32"/>
      <c r="AB1281" s="32"/>
      <c r="AC1281" s="32"/>
    </row>
    <row r="1282">
      <c r="A1282" s="32"/>
      <c r="B1282" s="16"/>
      <c r="C1282" s="16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84"/>
      <c r="P1282" s="54"/>
      <c r="Q1282" s="54"/>
      <c r="R1282" s="55"/>
      <c r="S1282" s="55"/>
      <c r="T1282" s="32"/>
      <c r="U1282" s="32"/>
      <c r="V1282" s="32"/>
      <c r="W1282" s="32"/>
      <c r="X1282" s="32"/>
      <c r="Y1282" s="32"/>
      <c r="Z1282" s="32"/>
      <c r="AA1282" s="32"/>
      <c r="AB1282" s="32"/>
      <c r="AC1282" s="32"/>
    </row>
    <row r="1283">
      <c r="A1283" s="32"/>
      <c r="B1283" s="16"/>
      <c r="C1283" s="16"/>
      <c r="D1283" s="16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84"/>
      <c r="P1283" s="54"/>
      <c r="Q1283" s="54"/>
      <c r="R1283" s="55"/>
      <c r="S1283" s="55"/>
      <c r="T1283" s="32"/>
      <c r="U1283" s="32"/>
      <c r="V1283" s="32"/>
      <c r="W1283" s="32"/>
      <c r="X1283" s="32"/>
      <c r="Y1283" s="32"/>
      <c r="Z1283" s="32"/>
      <c r="AA1283" s="32"/>
      <c r="AB1283" s="32"/>
      <c r="AC1283" s="32"/>
    </row>
    <row r="1284">
      <c r="A1284" s="32"/>
      <c r="B1284" s="16"/>
      <c r="C1284" s="16"/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84"/>
      <c r="P1284" s="54"/>
      <c r="Q1284" s="54"/>
      <c r="R1284" s="55"/>
      <c r="S1284" s="55"/>
      <c r="T1284" s="32"/>
      <c r="U1284" s="32"/>
      <c r="V1284" s="32"/>
      <c r="W1284" s="32"/>
      <c r="X1284" s="32"/>
      <c r="Y1284" s="32"/>
      <c r="Z1284" s="32"/>
      <c r="AA1284" s="32"/>
      <c r="AB1284" s="32"/>
      <c r="AC1284" s="32"/>
    </row>
    <row r="1285">
      <c r="A1285" s="32"/>
      <c r="B1285" s="16"/>
      <c r="C1285" s="16"/>
      <c r="D1285" s="16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84"/>
      <c r="P1285" s="54"/>
      <c r="Q1285" s="54"/>
      <c r="R1285" s="55"/>
      <c r="S1285" s="55"/>
      <c r="T1285" s="32"/>
      <c r="U1285" s="32"/>
      <c r="V1285" s="32"/>
      <c r="W1285" s="32"/>
      <c r="X1285" s="32"/>
      <c r="Y1285" s="32"/>
      <c r="Z1285" s="32"/>
      <c r="AA1285" s="32"/>
      <c r="AB1285" s="32"/>
      <c r="AC1285" s="32"/>
    </row>
    <row r="1286">
      <c r="A1286" s="32"/>
      <c r="B1286" s="16"/>
      <c r="C1286" s="16"/>
      <c r="D1286" s="16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84"/>
      <c r="P1286" s="54"/>
      <c r="Q1286" s="54"/>
      <c r="R1286" s="55"/>
      <c r="S1286" s="55"/>
      <c r="T1286" s="32"/>
      <c r="U1286" s="32"/>
      <c r="V1286" s="32"/>
      <c r="W1286" s="32"/>
      <c r="X1286" s="32"/>
      <c r="Y1286" s="32"/>
      <c r="Z1286" s="32"/>
      <c r="AA1286" s="32"/>
      <c r="AB1286" s="32"/>
      <c r="AC1286" s="32"/>
    </row>
    <row r="1287">
      <c r="A1287" s="32"/>
      <c r="B1287" s="16"/>
      <c r="C1287" s="16"/>
      <c r="D1287" s="16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  <c r="O1287" s="84"/>
      <c r="P1287" s="54"/>
      <c r="Q1287" s="54"/>
      <c r="R1287" s="55"/>
      <c r="S1287" s="55"/>
      <c r="T1287" s="32"/>
      <c r="U1287" s="32"/>
      <c r="V1287" s="32"/>
      <c r="W1287" s="32"/>
      <c r="X1287" s="32"/>
      <c r="Y1287" s="32"/>
      <c r="Z1287" s="32"/>
      <c r="AA1287" s="32"/>
      <c r="AB1287" s="32"/>
      <c r="AC1287" s="32"/>
    </row>
    <row r="1288">
      <c r="A1288" s="32"/>
      <c r="B1288" s="16"/>
      <c r="C1288" s="16"/>
      <c r="D1288" s="16"/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  <c r="O1288" s="84"/>
      <c r="P1288" s="54"/>
      <c r="Q1288" s="54"/>
      <c r="R1288" s="55"/>
      <c r="S1288" s="55"/>
      <c r="T1288" s="32"/>
      <c r="U1288" s="32"/>
      <c r="V1288" s="32"/>
      <c r="W1288" s="32"/>
      <c r="X1288" s="32"/>
      <c r="Y1288" s="32"/>
      <c r="Z1288" s="32"/>
      <c r="AA1288" s="32"/>
      <c r="AB1288" s="32"/>
      <c r="AC1288" s="32"/>
    </row>
    <row r="1289">
      <c r="A1289" s="32"/>
      <c r="B1289" s="16"/>
      <c r="C1289" s="16"/>
      <c r="D1289" s="16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  <c r="O1289" s="84"/>
      <c r="P1289" s="54"/>
      <c r="Q1289" s="54"/>
      <c r="R1289" s="55"/>
      <c r="S1289" s="55"/>
      <c r="T1289" s="32"/>
      <c r="U1289" s="32"/>
      <c r="V1289" s="32"/>
      <c r="W1289" s="32"/>
      <c r="X1289" s="32"/>
      <c r="Y1289" s="32"/>
      <c r="Z1289" s="32"/>
      <c r="AA1289" s="32"/>
      <c r="AB1289" s="32"/>
      <c r="AC1289" s="32"/>
    </row>
    <row r="1290">
      <c r="A1290" s="32"/>
      <c r="B1290" s="16"/>
      <c r="C1290" s="16"/>
      <c r="D1290" s="16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84"/>
      <c r="P1290" s="54"/>
      <c r="Q1290" s="54"/>
      <c r="R1290" s="55"/>
      <c r="S1290" s="55"/>
      <c r="T1290" s="32"/>
      <c r="U1290" s="32"/>
      <c r="V1290" s="32"/>
      <c r="W1290" s="32"/>
      <c r="X1290" s="32"/>
      <c r="Y1290" s="32"/>
      <c r="Z1290" s="32"/>
      <c r="AA1290" s="32"/>
      <c r="AB1290" s="32"/>
      <c r="AC1290" s="32"/>
    </row>
    <row r="1291">
      <c r="A1291" s="32"/>
      <c r="B1291" s="16"/>
      <c r="C1291" s="16"/>
      <c r="D1291" s="16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84"/>
      <c r="P1291" s="54"/>
      <c r="Q1291" s="54"/>
      <c r="R1291" s="55"/>
      <c r="S1291" s="55"/>
      <c r="T1291" s="32"/>
      <c r="U1291" s="32"/>
      <c r="V1291" s="32"/>
      <c r="W1291" s="32"/>
      <c r="X1291" s="32"/>
      <c r="Y1291" s="32"/>
      <c r="Z1291" s="32"/>
      <c r="AA1291" s="32"/>
      <c r="AB1291" s="32"/>
      <c r="AC1291" s="32"/>
    </row>
    <row r="1292">
      <c r="A1292" s="32"/>
      <c r="B1292" s="16"/>
      <c r="C1292" s="16"/>
      <c r="D1292" s="16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84"/>
      <c r="P1292" s="54"/>
      <c r="Q1292" s="54"/>
      <c r="R1292" s="55"/>
      <c r="S1292" s="55"/>
      <c r="T1292" s="32"/>
      <c r="U1292" s="32"/>
      <c r="V1292" s="32"/>
      <c r="W1292" s="32"/>
      <c r="X1292" s="32"/>
      <c r="Y1292" s="32"/>
      <c r="Z1292" s="32"/>
      <c r="AA1292" s="32"/>
      <c r="AB1292" s="32"/>
      <c r="AC1292" s="32"/>
    </row>
    <row r="1293">
      <c r="A1293" s="32"/>
      <c r="B1293" s="16"/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84"/>
      <c r="P1293" s="54"/>
      <c r="Q1293" s="54"/>
      <c r="R1293" s="55"/>
      <c r="S1293" s="55"/>
      <c r="T1293" s="32"/>
      <c r="U1293" s="32"/>
      <c r="V1293" s="32"/>
      <c r="W1293" s="32"/>
      <c r="X1293" s="32"/>
      <c r="Y1293" s="32"/>
      <c r="Z1293" s="32"/>
      <c r="AA1293" s="32"/>
      <c r="AB1293" s="32"/>
      <c r="AC1293" s="32"/>
    </row>
    <row r="1294">
      <c r="A1294" s="32"/>
      <c r="B1294" s="16"/>
      <c r="C1294" s="16"/>
      <c r="D1294" s="16"/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  <c r="O1294" s="84"/>
      <c r="P1294" s="54"/>
      <c r="Q1294" s="54"/>
      <c r="R1294" s="55"/>
      <c r="S1294" s="55"/>
      <c r="T1294" s="32"/>
      <c r="U1294" s="32"/>
      <c r="V1294" s="32"/>
      <c r="W1294" s="32"/>
      <c r="X1294" s="32"/>
      <c r="Y1294" s="32"/>
      <c r="Z1294" s="32"/>
      <c r="AA1294" s="32"/>
      <c r="AB1294" s="32"/>
      <c r="AC1294" s="32"/>
    </row>
    <row r="1295">
      <c r="A1295" s="32"/>
      <c r="B1295" s="16"/>
      <c r="C1295" s="16"/>
      <c r="D1295" s="16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84"/>
      <c r="P1295" s="54"/>
      <c r="Q1295" s="54"/>
      <c r="R1295" s="55"/>
      <c r="S1295" s="55"/>
      <c r="T1295" s="32"/>
      <c r="U1295" s="32"/>
      <c r="V1295" s="32"/>
      <c r="W1295" s="32"/>
      <c r="X1295" s="32"/>
      <c r="Y1295" s="32"/>
      <c r="Z1295" s="32"/>
      <c r="AA1295" s="32"/>
      <c r="AB1295" s="32"/>
      <c r="AC1295" s="32"/>
    </row>
    <row r="1296">
      <c r="A1296" s="32"/>
      <c r="B1296" s="16"/>
      <c r="C1296" s="16"/>
      <c r="D1296" s="16"/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  <c r="O1296" s="84"/>
      <c r="P1296" s="54"/>
      <c r="Q1296" s="54"/>
      <c r="R1296" s="55"/>
      <c r="S1296" s="55"/>
      <c r="T1296" s="32"/>
      <c r="U1296" s="32"/>
      <c r="V1296" s="32"/>
      <c r="W1296" s="32"/>
      <c r="X1296" s="32"/>
      <c r="Y1296" s="32"/>
      <c r="Z1296" s="32"/>
      <c r="AA1296" s="32"/>
      <c r="AB1296" s="32"/>
      <c r="AC1296" s="32"/>
    </row>
    <row r="1297">
      <c r="A1297" s="32"/>
      <c r="B1297" s="16"/>
      <c r="C1297" s="16"/>
      <c r="D1297" s="16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84"/>
      <c r="P1297" s="54"/>
      <c r="Q1297" s="54"/>
      <c r="R1297" s="55"/>
      <c r="S1297" s="55"/>
      <c r="T1297" s="32"/>
      <c r="U1297" s="32"/>
      <c r="V1297" s="32"/>
      <c r="W1297" s="32"/>
      <c r="X1297" s="32"/>
      <c r="Y1297" s="32"/>
      <c r="Z1297" s="32"/>
      <c r="AA1297" s="32"/>
      <c r="AB1297" s="32"/>
      <c r="AC1297" s="32"/>
    </row>
    <row r="1298">
      <c r="A1298" s="32"/>
      <c r="B1298" s="16"/>
      <c r="C1298" s="16"/>
      <c r="D1298" s="16"/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  <c r="O1298" s="84"/>
      <c r="P1298" s="54"/>
      <c r="Q1298" s="54"/>
      <c r="R1298" s="55"/>
      <c r="S1298" s="55"/>
      <c r="T1298" s="32"/>
      <c r="U1298" s="32"/>
      <c r="V1298" s="32"/>
      <c r="W1298" s="32"/>
      <c r="X1298" s="32"/>
      <c r="Y1298" s="32"/>
      <c r="Z1298" s="32"/>
      <c r="AA1298" s="32"/>
      <c r="AB1298" s="32"/>
      <c r="AC1298" s="32"/>
    </row>
    <row r="1299">
      <c r="A1299" s="32"/>
      <c r="B1299" s="16"/>
      <c r="C1299" s="16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84"/>
      <c r="P1299" s="54"/>
      <c r="Q1299" s="54"/>
      <c r="R1299" s="55"/>
      <c r="S1299" s="55"/>
      <c r="T1299" s="32"/>
      <c r="U1299" s="32"/>
      <c r="V1299" s="32"/>
      <c r="W1299" s="32"/>
      <c r="X1299" s="32"/>
      <c r="Y1299" s="32"/>
      <c r="Z1299" s="32"/>
      <c r="AA1299" s="32"/>
      <c r="AB1299" s="32"/>
      <c r="AC1299" s="32"/>
    </row>
    <row r="1300">
      <c r="A1300" s="32"/>
      <c r="B1300" s="16"/>
      <c r="C1300" s="16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84"/>
      <c r="P1300" s="54"/>
      <c r="Q1300" s="54"/>
      <c r="R1300" s="55"/>
      <c r="S1300" s="55"/>
      <c r="T1300" s="32"/>
      <c r="U1300" s="32"/>
      <c r="V1300" s="32"/>
      <c r="W1300" s="32"/>
      <c r="X1300" s="32"/>
      <c r="Y1300" s="32"/>
      <c r="Z1300" s="32"/>
      <c r="AA1300" s="32"/>
      <c r="AB1300" s="32"/>
      <c r="AC1300" s="32"/>
    </row>
    <row r="1301">
      <c r="A1301" s="32"/>
      <c r="B1301" s="16"/>
      <c r="C1301" s="16"/>
      <c r="D1301" s="16"/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  <c r="O1301" s="84"/>
      <c r="P1301" s="54"/>
      <c r="Q1301" s="54"/>
      <c r="R1301" s="55"/>
      <c r="S1301" s="55"/>
      <c r="T1301" s="32"/>
      <c r="U1301" s="32"/>
      <c r="V1301" s="32"/>
      <c r="W1301" s="32"/>
      <c r="X1301" s="32"/>
      <c r="Y1301" s="32"/>
      <c r="Z1301" s="32"/>
      <c r="AA1301" s="32"/>
      <c r="AB1301" s="32"/>
      <c r="AC1301" s="32"/>
    </row>
    <row r="1302">
      <c r="A1302" s="32"/>
      <c r="B1302" s="16"/>
      <c r="C1302" s="16"/>
      <c r="D1302" s="16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84"/>
      <c r="P1302" s="54"/>
      <c r="Q1302" s="54"/>
      <c r="R1302" s="55"/>
      <c r="S1302" s="55"/>
      <c r="T1302" s="32"/>
      <c r="U1302" s="32"/>
      <c r="V1302" s="32"/>
      <c r="W1302" s="32"/>
      <c r="X1302" s="32"/>
      <c r="Y1302" s="32"/>
      <c r="Z1302" s="32"/>
      <c r="AA1302" s="32"/>
      <c r="AB1302" s="32"/>
      <c r="AC1302" s="32"/>
    </row>
    <row r="1303">
      <c r="A1303" s="32"/>
      <c r="B1303" s="16"/>
      <c r="C1303" s="16"/>
      <c r="D1303" s="16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  <c r="O1303" s="84"/>
      <c r="P1303" s="54"/>
      <c r="Q1303" s="54"/>
      <c r="R1303" s="55"/>
      <c r="S1303" s="55"/>
      <c r="T1303" s="32"/>
      <c r="U1303" s="32"/>
      <c r="V1303" s="32"/>
      <c r="W1303" s="32"/>
      <c r="X1303" s="32"/>
      <c r="Y1303" s="32"/>
      <c r="Z1303" s="32"/>
      <c r="AA1303" s="32"/>
      <c r="AB1303" s="32"/>
      <c r="AC1303" s="32"/>
    </row>
    <row r="1304">
      <c r="A1304" s="32"/>
      <c r="B1304" s="16"/>
      <c r="C1304" s="16"/>
      <c r="D1304" s="16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84"/>
      <c r="P1304" s="54"/>
      <c r="Q1304" s="54"/>
      <c r="R1304" s="55"/>
      <c r="S1304" s="55"/>
      <c r="T1304" s="32"/>
      <c r="U1304" s="32"/>
      <c r="V1304" s="32"/>
      <c r="W1304" s="32"/>
      <c r="X1304" s="32"/>
      <c r="Y1304" s="32"/>
      <c r="Z1304" s="32"/>
      <c r="AA1304" s="32"/>
      <c r="AB1304" s="32"/>
      <c r="AC1304" s="32"/>
    </row>
    <row r="1305">
      <c r="A1305" s="32"/>
      <c r="B1305" s="16"/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84"/>
      <c r="P1305" s="54"/>
      <c r="Q1305" s="54"/>
      <c r="R1305" s="55"/>
      <c r="S1305" s="55"/>
      <c r="T1305" s="32"/>
      <c r="U1305" s="32"/>
      <c r="V1305" s="32"/>
      <c r="W1305" s="32"/>
      <c r="X1305" s="32"/>
      <c r="Y1305" s="32"/>
      <c r="Z1305" s="32"/>
      <c r="AA1305" s="32"/>
      <c r="AB1305" s="32"/>
      <c r="AC1305" s="32"/>
    </row>
    <row r="1306">
      <c r="A1306" s="32"/>
      <c r="B1306" s="16"/>
      <c r="C1306" s="16"/>
      <c r="D1306" s="16"/>
      <c r="E1306" s="16"/>
      <c r="F1306" s="16"/>
      <c r="G1306" s="16"/>
      <c r="H1306" s="16"/>
      <c r="I1306" s="16"/>
      <c r="J1306" s="16"/>
      <c r="K1306" s="16"/>
      <c r="L1306" s="16"/>
      <c r="M1306" s="16"/>
      <c r="N1306" s="16"/>
      <c r="O1306" s="84"/>
      <c r="P1306" s="54"/>
      <c r="Q1306" s="54"/>
      <c r="R1306" s="55"/>
      <c r="S1306" s="55"/>
      <c r="T1306" s="32"/>
      <c r="U1306" s="32"/>
      <c r="V1306" s="32"/>
      <c r="W1306" s="32"/>
      <c r="X1306" s="32"/>
      <c r="Y1306" s="32"/>
      <c r="Z1306" s="32"/>
      <c r="AA1306" s="32"/>
      <c r="AB1306" s="32"/>
      <c r="AC1306" s="32"/>
    </row>
    <row r="1307">
      <c r="A1307" s="32"/>
      <c r="B1307" s="16"/>
      <c r="C1307" s="16"/>
      <c r="D1307" s="16"/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  <c r="O1307" s="84"/>
      <c r="P1307" s="54"/>
      <c r="Q1307" s="54"/>
      <c r="R1307" s="55"/>
      <c r="S1307" s="55"/>
      <c r="T1307" s="32"/>
      <c r="U1307" s="32"/>
      <c r="V1307" s="32"/>
      <c r="W1307" s="32"/>
      <c r="X1307" s="32"/>
      <c r="Y1307" s="32"/>
      <c r="Z1307" s="32"/>
      <c r="AA1307" s="32"/>
      <c r="AB1307" s="32"/>
      <c r="AC1307" s="32"/>
    </row>
    <row r="1308">
      <c r="A1308" s="32"/>
      <c r="B1308" s="16"/>
      <c r="C1308" s="16"/>
      <c r="D1308" s="16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  <c r="O1308" s="84"/>
      <c r="P1308" s="54"/>
      <c r="Q1308" s="54"/>
      <c r="R1308" s="55"/>
      <c r="S1308" s="55"/>
      <c r="T1308" s="32"/>
      <c r="U1308" s="32"/>
      <c r="V1308" s="32"/>
      <c r="W1308" s="32"/>
      <c r="X1308" s="32"/>
      <c r="Y1308" s="32"/>
      <c r="Z1308" s="32"/>
      <c r="AA1308" s="32"/>
      <c r="AB1308" s="32"/>
      <c r="AC1308" s="32"/>
    </row>
    <row r="1309">
      <c r="A1309" s="32"/>
      <c r="B1309" s="16"/>
      <c r="C1309" s="16"/>
      <c r="D1309" s="16"/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  <c r="O1309" s="84"/>
      <c r="P1309" s="54"/>
      <c r="Q1309" s="54"/>
      <c r="R1309" s="55"/>
      <c r="S1309" s="55"/>
      <c r="T1309" s="32"/>
      <c r="U1309" s="32"/>
      <c r="V1309" s="32"/>
      <c r="W1309" s="32"/>
      <c r="X1309" s="32"/>
      <c r="Y1309" s="32"/>
      <c r="Z1309" s="32"/>
      <c r="AA1309" s="32"/>
      <c r="AB1309" s="32"/>
      <c r="AC1309" s="32"/>
    </row>
    <row r="1310">
      <c r="A1310" s="32"/>
      <c r="B1310" s="16"/>
      <c r="C1310" s="16"/>
      <c r="D1310" s="16"/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  <c r="O1310" s="84"/>
      <c r="P1310" s="54"/>
      <c r="Q1310" s="54"/>
      <c r="R1310" s="55"/>
      <c r="S1310" s="55"/>
      <c r="T1310" s="32"/>
      <c r="U1310" s="32"/>
      <c r="V1310" s="32"/>
      <c r="W1310" s="32"/>
      <c r="X1310" s="32"/>
      <c r="Y1310" s="32"/>
      <c r="Z1310" s="32"/>
      <c r="AA1310" s="32"/>
      <c r="AB1310" s="32"/>
      <c r="AC1310" s="32"/>
    </row>
    <row r="1311">
      <c r="A1311" s="32"/>
      <c r="B1311" s="16"/>
      <c r="C1311" s="16"/>
      <c r="D1311" s="16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84"/>
      <c r="P1311" s="54"/>
      <c r="Q1311" s="54"/>
      <c r="R1311" s="55"/>
      <c r="S1311" s="55"/>
      <c r="T1311" s="32"/>
      <c r="U1311" s="32"/>
      <c r="V1311" s="32"/>
      <c r="W1311" s="32"/>
      <c r="X1311" s="32"/>
      <c r="Y1311" s="32"/>
      <c r="Z1311" s="32"/>
      <c r="AA1311" s="32"/>
      <c r="AB1311" s="32"/>
      <c r="AC1311" s="32"/>
    </row>
    <row r="1312">
      <c r="A1312" s="32"/>
      <c r="B1312" s="16"/>
      <c r="C1312" s="16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84"/>
      <c r="P1312" s="54"/>
      <c r="Q1312" s="54"/>
      <c r="R1312" s="55"/>
      <c r="S1312" s="55"/>
      <c r="T1312" s="32"/>
      <c r="U1312" s="32"/>
      <c r="V1312" s="32"/>
      <c r="W1312" s="32"/>
      <c r="X1312" s="32"/>
      <c r="Y1312" s="32"/>
      <c r="Z1312" s="32"/>
      <c r="AA1312" s="32"/>
      <c r="AB1312" s="32"/>
      <c r="AC1312" s="32"/>
    </row>
    <row r="1313">
      <c r="A1313" s="32"/>
      <c r="B1313" s="16"/>
      <c r="C1313" s="16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84"/>
      <c r="P1313" s="54"/>
      <c r="Q1313" s="54"/>
      <c r="R1313" s="55"/>
      <c r="S1313" s="55"/>
      <c r="T1313" s="32"/>
      <c r="U1313" s="32"/>
      <c r="V1313" s="32"/>
      <c r="W1313" s="32"/>
      <c r="X1313" s="32"/>
      <c r="Y1313" s="32"/>
      <c r="Z1313" s="32"/>
      <c r="AA1313" s="32"/>
      <c r="AB1313" s="32"/>
      <c r="AC1313" s="32"/>
    </row>
    <row r="1314">
      <c r="A1314" s="32"/>
      <c r="B1314" s="16"/>
      <c r="C1314" s="16"/>
      <c r="D1314" s="16"/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  <c r="O1314" s="84"/>
      <c r="P1314" s="54"/>
      <c r="Q1314" s="54"/>
      <c r="R1314" s="55"/>
      <c r="S1314" s="55"/>
      <c r="T1314" s="32"/>
      <c r="U1314" s="32"/>
      <c r="V1314" s="32"/>
      <c r="W1314" s="32"/>
      <c r="X1314" s="32"/>
      <c r="Y1314" s="32"/>
      <c r="Z1314" s="32"/>
      <c r="AA1314" s="32"/>
      <c r="AB1314" s="32"/>
      <c r="AC1314" s="32"/>
    </row>
    <row r="1315">
      <c r="A1315" s="32"/>
      <c r="B1315" s="16"/>
      <c r="C1315" s="16"/>
      <c r="D1315" s="16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  <c r="O1315" s="84"/>
      <c r="P1315" s="54"/>
      <c r="Q1315" s="54"/>
      <c r="R1315" s="55"/>
      <c r="S1315" s="55"/>
      <c r="T1315" s="32"/>
      <c r="U1315" s="32"/>
      <c r="V1315" s="32"/>
      <c r="W1315" s="32"/>
      <c r="X1315" s="32"/>
      <c r="Y1315" s="32"/>
      <c r="Z1315" s="32"/>
      <c r="AA1315" s="32"/>
      <c r="AB1315" s="32"/>
      <c r="AC1315" s="32"/>
    </row>
    <row r="1316">
      <c r="A1316" s="32"/>
      <c r="B1316" s="16"/>
      <c r="C1316" s="16"/>
      <c r="D1316" s="16"/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  <c r="O1316" s="84"/>
      <c r="P1316" s="54"/>
      <c r="Q1316" s="54"/>
      <c r="R1316" s="55"/>
      <c r="S1316" s="55"/>
      <c r="T1316" s="32"/>
      <c r="U1316" s="32"/>
      <c r="V1316" s="32"/>
      <c r="W1316" s="32"/>
      <c r="X1316" s="32"/>
      <c r="Y1316" s="32"/>
      <c r="Z1316" s="32"/>
      <c r="AA1316" s="32"/>
      <c r="AB1316" s="32"/>
      <c r="AC1316" s="32"/>
    </row>
    <row r="1317">
      <c r="A1317" s="32"/>
      <c r="B1317" s="16"/>
      <c r="C1317" s="16"/>
      <c r="D1317" s="16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  <c r="O1317" s="84"/>
      <c r="P1317" s="54"/>
      <c r="Q1317" s="54"/>
      <c r="R1317" s="55"/>
      <c r="S1317" s="55"/>
      <c r="T1317" s="32"/>
      <c r="U1317" s="32"/>
      <c r="V1317" s="32"/>
      <c r="W1317" s="32"/>
      <c r="X1317" s="32"/>
      <c r="Y1317" s="32"/>
      <c r="Z1317" s="32"/>
      <c r="AA1317" s="32"/>
      <c r="AB1317" s="32"/>
      <c r="AC1317" s="32"/>
    </row>
    <row r="1318">
      <c r="A1318" s="32"/>
      <c r="B1318" s="16"/>
      <c r="C1318" s="16"/>
      <c r="D1318" s="16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  <c r="O1318" s="84"/>
      <c r="P1318" s="54"/>
      <c r="Q1318" s="54"/>
      <c r="R1318" s="55"/>
      <c r="S1318" s="55"/>
      <c r="T1318" s="32"/>
      <c r="U1318" s="32"/>
      <c r="V1318" s="32"/>
      <c r="W1318" s="32"/>
      <c r="X1318" s="32"/>
      <c r="Y1318" s="32"/>
      <c r="Z1318" s="32"/>
      <c r="AA1318" s="32"/>
      <c r="AB1318" s="32"/>
      <c r="AC1318" s="32"/>
    </row>
    <row r="1319">
      <c r="A1319" s="32"/>
      <c r="B1319" s="16"/>
      <c r="C1319" s="16"/>
      <c r="D1319" s="16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84"/>
      <c r="P1319" s="54"/>
      <c r="Q1319" s="54"/>
      <c r="R1319" s="55"/>
      <c r="S1319" s="55"/>
      <c r="T1319" s="32"/>
      <c r="U1319" s="32"/>
      <c r="V1319" s="32"/>
      <c r="W1319" s="32"/>
      <c r="X1319" s="32"/>
      <c r="Y1319" s="32"/>
      <c r="Z1319" s="32"/>
      <c r="AA1319" s="32"/>
      <c r="AB1319" s="32"/>
      <c r="AC1319" s="32"/>
    </row>
    <row r="1320">
      <c r="A1320" s="32"/>
      <c r="B1320" s="16"/>
      <c r="C1320" s="16"/>
      <c r="D1320" s="16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84"/>
      <c r="P1320" s="54"/>
      <c r="Q1320" s="54"/>
      <c r="R1320" s="55"/>
      <c r="S1320" s="55"/>
      <c r="T1320" s="32"/>
      <c r="U1320" s="32"/>
      <c r="V1320" s="32"/>
      <c r="W1320" s="32"/>
      <c r="X1320" s="32"/>
      <c r="Y1320" s="32"/>
      <c r="Z1320" s="32"/>
      <c r="AA1320" s="32"/>
      <c r="AB1320" s="32"/>
      <c r="AC1320" s="32"/>
    </row>
    <row r="1321">
      <c r="A1321" s="32"/>
      <c r="B1321" s="16"/>
      <c r="C1321" s="16"/>
      <c r="D1321" s="16"/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  <c r="O1321" s="84"/>
      <c r="P1321" s="54"/>
      <c r="Q1321" s="54"/>
      <c r="R1321" s="55"/>
      <c r="S1321" s="55"/>
      <c r="T1321" s="32"/>
      <c r="U1321" s="32"/>
      <c r="V1321" s="32"/>
      <c r="W1321" s="32"/>
      <c r="X1321" s="32"/>
      <c r="Y1321" s="32"/>
      <c r="Z1321" s="32"/>
      <c r="AA1321" s="32"/>
      <c r="AB1321" s="32"/>
      <c r="AC1321" s="32"/>
    </row>
    <row r="1322">
      <c r="A1322" s="32"/>
      <c r="B1322" s="16"/>
      <c r="C1322" s="16"/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  <c r="O1322" s="84"/>
      <c r="P1322" s="54"/>
      <c r="Q1322" s="54"/>
      <c r="R1322" s="55"/>
      <c r="S1322" s="55"/>
      <c r="T1322" s="32"/>
      <c r="U1322" s="32"/>
      <c r="V1322" s="32"/>
      <c r="W1322" s="32"/>
      <c r="X1322" s="32"/>
      <c r="Y1322" s="32"/>
      <c r="Z1322" s="32"/>
      <c r="AA1322" s="32"/>
      <c r="AB1322" s="32"/>
      <c r="AC1322" s="32"/>
    </row>
    <row r="1323">
      <c r="A1323" s="32"/>
      <c r="B1323" s="16"/>
      <c r="C1323" s="16"/>
      <c r="D1323" s="16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84"/>
      <c r="P1323" s="54"/>
      <c r="Q1323" s="54"/>
      <c r="R1323" s="55"/>
      <c r="S1323" s="55"/>
      <c r="T1323" s="32"/>
      <c r="U1323" s="32"/>
      <c r="V1323" s="32"/>
      <c r="W1323" s="32"/>
      <c r="X1323" s="32"/>
      <c r="Y1323" s="32"/>
      <c r="Z1323" s="32"/>
      <c r="AA1323" s="32"/>
      <c r="AB1323" s="32"/>
      <c r="AC1323" s="32"/>
    </row>
    <row r="1324">
      <c r="A1324" s="32"/>
      <c r="B1324" s="16"/>
      <c r="C1324" s="16"/>
      <c r="D1324" s="16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84"/>
      <c r="P1324" s="54"/>
      <c r="Q1324" s="54"/>
      <c r="R1324" s="55"/>
      <c r="S1324" s="55"/>
      <c r="T1324" s="32"/>
      <c r="U1324" s="32"/>
      <c r="V1324" s="32"/>
      <c r="W1324" s="32"/>
      <c r="X1324" s="32"/>
      <c r="Y1324" s="32"/>
      <c r="Z1324" s="32"/>
      <c r="AA1324" s="32"/>
      <c r="AB1324" s="32"/>
      <c r="AC1324" s="32"/>
    </row>
    <row r="1325">
      <c r="A1325" s="32"/>
      <c r="B1325" s="16"/>
      <c r="C1325" s="16"/>
      <c r="D1325" s="16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84"/>
      <c r="P1325" s="54"/>
      <c r="Q1325" s="54"/>
      <c r="R1325" s="55"/>
      <c r="S1325" s="55"/>
      <c r="T1325" s="32"/>
      <c r="U1325" s="32"/>
      <c r="V1325" s="32"/>
      <c r="W1325" s="32"/>
      <c r="X1325" s="32"/>
      <c r="Y1325" s="32"/>
      <c r="Z1325" s="32"/>
      <c r="AA1325" s="32"/>
      <c r="AB1325" s="32"/>
      <c r="AC1325" s="32"/>
    </row>
    <row r="1326">
      <c r="A1326" s="32"/>
      <c r="B1326" s="16"/>
      <c r="C1326" s="16"/>
      <c r="D1326" s="16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84"/>
      <c r="P1326" s="54"/>
      <c r="Q1326" s="54"/>
      <c r="R1326" s="55"/>
      <c r="S1326" s="55"/>
      <c r="T1326" s="32"/>
      <c r="U1326" s="32"/>
      <c r="V1326" s="32"/>
      <c r="W1326" s="32"/>
      <c r="X1326" s="32"/>
      <c r="Y1326" s="32"/>
      <c r="Z1326" s="32"/>
      <c r="AA1326" s="32"/>
      <c r="AB1326" s="32"/>
      <c r="AC1326" s="32"/>
    </row>
    <row r="1327">
      <c r="A1327" s="32"/>
      <c r="B1327" s="16"/>
      <c r="C1327" s="16"/>
      <c r="D1327" s="16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84"/>
      <c r="P1327" s="54"/>
      <c r="Q1327" s="54"/>
      <c r="R1327" s="55"/>
      <c r="S1327" s="55"/>
      <c r="T1327" s="32"/>
      <c r="U1327" s="32"/>
      <c r="V1327" s="32"/>
      <c r="W1327" s="32"/>
      <c r="X1327" s="32"/>
      <c r="Y1327" s="32"/>
      <c r="Z1327" s="32"/>
      <c r="AA1327" s="32"/>
      <c r="AB1327" s="32"/>
      <c r="AC1327" s="32"/>
    </row>
    <row r="1328">
      <c r="A1328" s="32"/>
      <c r="B1328" s="16"/>
      <c r="C1328" s="16"/>
      <c r="D1328" s="16"/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84"/>
      <c r="P1328" s="54"/>
      <c r="Q1328" s="54"/>
      <c r="R1328" s="55"/>
      <c r="S1328" s="55"/>
      <c r="T1328" s="32"/>
      <c r="U1328" s="32"/>
      <c r="V1328" s="32"/>
      <c r="W1328" s="32"/>
      <c r="X1328" s="32"/>
      <c r="Y1328" s="32"/>
      <c r="Z1328" s="32"/>
      <c r="AA1328" s="32"/>
      <c r="AB1328" s="32"/>
      <c r="AC1328" s="32"/>
    </row>
    <row r="1329">
      <c r="A1329" s="32"/>
      <c r="B1329" s="16"/>
      <c r="C1329" s="16"/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84"/>
      <c r="P1329" s="54"/>
      <c r="Q1329" s="54"/>
      <c r="R1329" s="55"/>
      <c r="S1329" s="55"/>
      <c r="T1329" s="32"/>
      <c r="U1329" s="32"/>
      <c r="V1329" s="32"/>
      <c r="W1329" s="32"/>
      <c r="X1329" s="32"/>
      <c r="Y1329" s="32"/>
      <c r="Z1329" s="32"/>
      <c r="AA1329" s="32"/>
      <c r="AB1329" s="32"/>
      <c r="AC1329" s="32"/>
    </row>
    <row r="1330">
      <c r="A1330" s="32"/>
      <c r="B1330" s="16"/>
      <c r="C1330" s="16"/>
      <c r="D1330" s="16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84"/>
      <c r="P1330" s="54"/>
      <c r="Q1330" s="54"/>
      <c r="R1330" s="55"/>
      <c r="S1330" s="55"/>
      <c r="T1330" s="32"/>
      <c r="U1330" s="32"/>
      <c r="V1330" s="32"/>
      <c r="W1330" s="32"/>
      <c r="X1330" s="32"/>
      <c r="Y1330" s="32"/>
      <c r="Z1330" s="32"/>
      <c r="AA1330" s="32"/>
      <c r="AB1330" s="32"/>
      <c r="AC1330" s="32"/>
    </row>
    <row r="1331">
      <c r="A1331" s="32"/>
      <c r="B1331" s="16"/>
      <c r="C1331" s="16"/>
      <c r="D1331" s="16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84"/>
      <c r="P1331" s="54"/>
      <c r="Q1331" s="54"/>
      <c r="R1331" s="55"/>
      <c r="S1331" s="55"/>
      <c r="T1331" s="32"/>
      <c r="U1331" s="32"/>
      <c r="V1331" s="32"/>
      <c r="W1331" s="32"/>
      <c r="X1331" s="32"/>
      <c r="Y1331" s="32"/>
      <c r="Z1331" s="32"/>
      <c r="AA1331" s="32"/>
      <c r="AB1331" s="32"/>
      <c r="AC1331" s="32"/>
    </row>
    <row r="1332">
      <c r="A1332" s="32"/>
      <c r="B1332" s="16"/>
      <c r="C1332" s="16"/>
      <c r="D1332" s="16"/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  <c r="O1332" s="84"/>
      <c r="P1332" s="54"/>
      <c r="Q1332" s="54"/>
      <c r="R1332" s="55"/>
      <c r="S1332" s="55"/>
      <c r="T1332" s="32"/>
      <c r="U1332" s="32"/>
      <c r="V1332" s="32"/>
      <c r="W1332" s="32"/>
      <c r="X1332" s="32"/>
      <c r="Y1332" s="32"/>
      <c r="Z1332" s="32"/>
      <c r="AA1332" s="32"/>
      <c r="AB1332" s="32"/>
      <c r="AC1332" s="32"/>
    </row>
    <row r="1333">
      <c r="A1333" s="32"/>
      <c r="B1333" s="16"/>
      <c r="C1333" s="16"/>
      <c r="D1333" s="16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84"/>
      <c r="P1333" s="54"/>
      <c r="Q1333" s="54"/>
      <c r="R1333" s="55"/>
      <c r="S1333" s="55"/>
      <c r="T1333" s="32"/>
      <c r="U1333" s="32"/>
      <c r="V1333" s="32"/>
      <c r="W1333" s="32"/>
      <c r="X1333" s="32"/>
      <c r="Y1333" s="32"/>
      <c r="Z1333" s="32"/>
      <c r="AA1333" s="32"/>
      <c r="AB1333" s="32"/>
      <c r="AC1333" s="32"/>
    </row>
    <row r="1334">
      <c r="A1334" s="32"/>
      <c r="B1334" s="16"/>
      <c r="C1334" s="16"/>
      <c r="D1334" s="16"/>
      <c r="E1334" s="16"/>
      <c r="F1334" s="16"/>
      <c r="G1334" s="16"/>
      <c r="H1334" s="16"/>
      <c r="I1334" s="16"/>
      <c r="J1334" s="16"/>
      <c r="K1334" s="16"/>
      <c r="L1334" s="16"/>
      <c r="M1334" s="16"/>
      <c r="N1334" s="16"/>
      <c r="O1334" s="84"/>
      <c r="P1334" s="54"/>
      <c r="Q1334" s="54"/>
      <c r="R1334" s="55"/>
      <c r="S1334" s="55"/>
      <c r="T1334" s="32"/>
      <c r="U1334" s="32"/>
      <c r="V1334" s="32"/>
      <c r="W1334" s="32"/>
      <c r="X1334" s="32"/>
      <c r="Y1334" s="32"/>
      <c r="Z1334" s="32"/>
      <c r="AA1334" s="32"/>
      <c r="AB1334" s="32"/>
      <c r="AC1334" s="32"/>
    </row>
    <row r="1335">
      <c r="A1335" s="32"/>
      <c r="B1335" s="16"/>
      <c r="C1335" s="16"/>
      <c r="D1335" s="16"/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  <c r="O1335" s="84"/>
      <c r="P1335" s="54"/>
      <c r="Q1335" s="54"/>
      <c r="R1335" s="55"/>
      <c r="S1335" s="55"/>
      <c r="T1335" s="32"/>
      <c r="U1335" s="32"/>
      <c r="V1335" s="32"/>
      <c r="W1335" s="32"/>
      <c r="X1335" s="32"/>
      <c r="Y1335" s="32"/>
      <c r="Z1335" s="32"/>
      <c r="AA1335" s="32"/>
      <c r="AB1335" s="32"/>
      <c r="AC1335" s="32"/>
    </row>
    <row r="1336">
      <c r="A1336" s="32"/>
      <c r="B1336" s="16"/>
      <c r="C1336" s="16"/>
      <c r="D1336" s="16"/>
      <c r="E1336" s="16"/>
      <c r="F1336" s="16"/>
      <c r="G1336" s="16"/>
      <c r="H1336" s="16"/>
      <c r="I1336" s="16"/>
      <c r="J1336" s="16"/>
      <c r="K1336" s="16"/>
      <c r="L1336" s="16"/>
      <c r="M1336" s="16"/>
      <c r="N1336" s="16"/>
      <c r="O1336" s="84"/>
      <c r="P1336" s="54"/>
      <c r="Q1336" s="54"/>
      <c r="R1336" s="55"/>
      <c r="S1336" s="55"/>
      <c r="T1336" s="32"/>
      <c r="U1336" s="32"/>
      <c r="V1336" s="32"/>
      <c r="W1336" s="32"/>
      <c r="X1336" s="32"/>
      <c r="Y1336" s="32"/>
      <c r="Z1336" s="32"/>
      <c r="AA1336" s="32"/>
      <c r="AB1336" s="32"/>
      <c r="AC1336" s="32"/>
    </row>
    <row r="1337">
      <c r="A1337" s="32"/>
      <c r="B1337" s="16"/>
      <c r="C1337" s="16"/>
      <c r="D1337" s="16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84"/>
      <c r="P1337" s="54"/>
      <c r="Q1337" s="54"/>
      <c r="R1337" s="55"/>
      <c r="S1337" s="55"/>
      <c r="T1337" s="32"/>
      <c r="U1337" s="32"/>
      <c r="V1337" s="32"/>
      <c r="W1337" s="32"/>
      <c r="X1337" s="32"/>
      <c r="Y1337" s="32"/>
      <c r="Z1337" s="32"/>
      <c r="AA1337" s="32"/>
      <c r="AB1337" s="32"/>
      <c r="AC1337" s="32"/>
    </row>
    <row r="1338">
      <c r="A1338" s="32"/>
      <c r="B1338" s="16"/>
      <c r="C1338" s="16"/>
      <c r="D1338" s="16"/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  <c r="O1338" s="84"/>
      <c r="P1338" s="54"/>
      <c r="Q1338" s="54"/>
      <c r="R1338" s="55"/>
      <c r="S1338" s="55"/>
      <c r="T1338" s="32"/>
      <c r="U1338" s="32"/>
      <c r="V1338" s="32"/>
      <c r="W1338" s="32"/>
      <c r="X1338" s="32"/>
      <c r="Y1338" s="32"/>
      <c r="Z1338" s="32"/>
      <c r="AA1338" s="32"/>
      <c r="AB1338" s="32"/>
      <c r="AC1338" s="32"/>
    </row>
    <row r="1339">
      <c r="A1339" s="32"/>
      <c r="B1339" s="16"/>
      <c r="C1339" s="16"/>
      <c r="D1339" s="16"/>
      <c r="E1339" s="16"/>
      <c r="F1339" s="16"/>
      <c r="G1339" s="16"/>
      <c r="H1339" s="16"/>
      <c r="I1339" s="16"/>
      <c r="J1339" s="16"/>
      <c r="K1339" s="16"/>
      <c r="L1339" s="16"/>
      <c r="M1339" s="16"/>
      <c r="N1339" s="16"/>
      <c r="O1339" s="84"/>
      <c r="P1339" s="54"/>
      <c r="Q1339" s="54"/>
      <c r="R1339" s="55"/>
      <c r="S1339" s="55"/>
      <c r="T1339" s="32"/>
      <c r="U1339" s="32"/>
      <c r="V1339" s="32"/>
      <c r="W1339" s="32"/>
      <c r="X1339" s="32"/>
      <c r="Y1339" s="32"/>
      <c r="Z1339" s="32"/>
      <c r="AA1339" s="32"/>
      <c r="AB1339" s="32"/>
      <c r="AC1339" s="32"/>
    </row>
    <row r="1340">
      <c r="A1340" s="32"/>
      <c r="B1340" s="16"/>
      <c r="C1340" s="16"/>
      <c r="D1340" s="16"/>
      <c r="E1340" s="16"/>
      <c r="F1340" s="16"/>
      <c r="G1340" s="16"/>
      <c r="H1340" s="16"/>
      <c r="I1340" s="16"/>
      <c r="J1340" s="16"/>
      <c r="K1340" s="16"/>
      <c r="L1340" s="16"/>
      <c r="M1340" s="16"/>
      <c r="N1340" s="16"/>
      <c r="O1340" s="84"/>
      <c r="P1340" s="54"/>
      <c r="Q1340" s="54"/>
      <c r="R1340" s="55"/>
      <c r="S1340" s="55"/>
      <c r="T1340" s="32"/>
      <c r="U1340" s="32"/>
      <c r="V1340" s="32"/>
      <c r="W1340" s="32"/>
      <c r="X1340" s="32"/>
      <c r="Y1340" s="32"/>
      <c r="Z1340" s="32"/>
      <c r="AA1340" s="32"/>
      <c r="AB1340" s="32"/>
      <c r="AC1340" s="32"/>
    </row>
    <row r="1341">
      <c r="A1341" s="32"/>
      <c r="B1341" s="16"/>
      <c r="C1341" s="16"/>
      <c r="D1341" s="16"/>
      <c r="E1341" s="16"/>
      <c r="F1341" s="16"/>
      <c r="G1341" s="16"/>
      <c r="H1341" s="16"/>
      <c r="I1341" s="16"/>
      <c r="J1341" s="16"/>
      <c r="K1341" s="16"/>
      <c r="L1341" s="16"/>
      <c r="M1341" s="16"/>
      <c r="N1341" s="16"/>
      <c r="O1341" s="84"/>
      <c r="P1341" s="54"/>
      <c r="Q1341" s="54"/>
      <c r="R1341" s="55"/>
      <c r="S1341" s="55"/>
      <c r="T1341" s="32"/>
      <c r="U1341" s="32"/>
      <c r="V1341" s="32"/>
      <c r="W1341" s="32"/>
      <c r="X1341" s="32"/>
      <c r="Y1341" s="32"/>
      <c r="Z1341" s="32"/>
      <c r="AA1341" s="32"/>
      <c r="AB1341" s="32"/>
      <c r="AC1341" s="32"/>
    </row>
    <row r="1342">
      <c r="A1342" s="32"/>
      <c r="B1342" s="16"/>
      <c r="C1342" s="16"/>
      <c r="D1342" s="16"/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  <c r="O1342" s="84"/>
      <c r="P1342" s="54"/>
      <c r="Q1342" s="54"/>
      <c r="R1342" s="55"/>
      <c r="S1342" s="55"/>
      <c r="T1342" s="32"/>
      <c r="U1342" s="32"/>
      <c r="V1342" s="32"/>
      <c r="W1342" s="32"/>
      <c r="X1342" s="32"/>
      <c r="Y1342" s="32"/>
      <c r="Z1342" s="32"/>
      <c r="AA1342" s="32"/>
      <c r="AB1342" s="32"/>
      <c r="AC1342" s="32"/>
    </row>
    <row r="1343">
      <c r="A1343" s="32"/>
      <c r="B1343" s="16"/>
      <c r="C1343" s="16"/>
      <c r="D1343" s="16"/>
      <c r="E1343" s="16"/>
      <c r="F1343" s="16"/>
      <c r="G1343" s="16"/>
      <c r="H1343" s="16"/>
      <c r="I1343" s="16"/>
      <c r="J1343" s="16"/>
      <c r="K1343" s="16"/>
      <c r="L1343" s="16"/>
      <c r="M1343" s="16"/>
      <c r="N1343" s="16"/>
      <c r="O1343" s="84"/>
      <c r="P1343" s="54"/>
      <c r="Q1343" s="54"/>
      <c r="R1343" s="55"/>
      <c r="S1343" s="55"/>
      <c r="T1343" s="32"/>
      <c r="U1343" s="32"/>
      <c r="V1343" s="32"/>
      <c r="W1343" s="32"/>
      <c r="X1343" s="32"/>
      <c r="Y1343" s="32"/>
      <c r="Z1343" s="32"/>
      <c r="AA1343" s="32"/>
      <c r="AB1343" s="32"/>
      <c r="AC1343" s="32"/>
    </row>
    <row r="1344">
      <c r="A1344" s="32"/>
      <c r="B1344" s="16"/>
      <c r="C1344" s="16"/>
      <c r="D1344" s="16"/>
      <c r="E1344" s="16"/>
      <c r="F1344" s="16"/>
      <c r="G1344" s="16"/>
      <c r="H1344" s="16"/>
      <c r="I1344" s="16"/>
      <c r="J1344" s="16"/>
      <c r="K1344" s="16"/>
      <c r="L1344" s="16"/>
      <c r="M1344" s="16"/>
      <c r="N1344" s="16"/>
      <c r="O1344" s="84"/>
      <c r="P1344" s="54"/>
      <c r="Q1344" s="54"/>
      <c r="R1344" s="55"/>
      <c r="S1344" s="55"/>
      <c r="T1344" s="32"/>
      <c r="U1344" s="32"/>
      <c r="V1344" s="32"/>
      <c r="W1344" s="32"/>
      <c r="X1344" s="32"/>
      <c r="Y1344" s="32"/>
      <c r="Z1344" s="32"/>
      <c r="AA1344" s="32"/>
      <c r="AB1344" s="32"/>
      <c r="AC1344" s="32"/>
    </row>
    <row r="1345">
      <c r="A1345" s="32"/>
      <c r="B1345" s="16"/>
      <c r="C1345" s="16"/>
      <c r="D1345" s="16"/>
      <c r="E1345" s="16"/>
      <c r="F1345" s="16"/>
      <c r="G1345" s="16"/>
      <c r="H1345" s="16"/>
      <c r="I1345" s="16"/>
      <c r="J1345" s="16"/>
      <c r="K1345" s="16"/>
      <c r="L1345" s="16"/>
      <c r="M1345" s="16"/>
      <c r="N1345" s="16"/>
      <c r="O1345" s="84"/>
      <c r="P1345" s="54"/>
      <c r="Q1345" s="54"/>
      <c r="R1345" s="55"/>
      <c r="S1345" s="55"/>
      <c r="T1345" s="32"/>
      <c r="U1345" s="32"/>
      <c r="V1345" s="32"/>
      <c r="W1345" s="32"/>
      <c r="X1345" s="32"/>
      <c r="Y1345" s="32"/>
      <c r="Z1345" s="32"/>
      <c r="AA1345" s="32"/>
      <c r="AB1345" s="32"/>
      <c r="AC1345" s="32"/>
    </row>
    <row r="1346">
      <c r="A1346" s="32"/>
      <c r="B1346" s="16"/>
      <c r="C1346" s="16"/>
      <c r="D1346" s="16"/>
      <c r="E1346" s="16"/>
      <c r="F1346" s="16"/>
      <c r="G1346" s="16"/>
      <c r="H1346" s="16"/>
      <c r="I1346" s="16"/>
      <c r="J1346" s="16"/>
      <c r="K1346" s="16"/>
      <c r="L1346" s="16"/>
      <c r="M1346" s="16"/>
      <c r="N1346" s="16"/>
      <c r="O1346" s="84"/>
      <c r="P1346" s="54"/>
      <c r="Q1346" s="54"/>
      <c r="R1346" s="55"/>
      <c r="S1346" s="55"/>
      <c r="T1346" s="32"/>
      <c r="U1346" s="32"/>
      <c r="V1346" s="32"/>
      <c r="W1346" s="32"/>
      <c r="X1346" s="32"/>
      <c r="Y1346" s="32"/>
      <c r="Z1346" s="32"/>
      <c r="AA1346" s="32"/>
      <c r="AB1346" s="32"/>
      <c r="AC1346" s="32"/>
    </row>
    <row r="1347">
      <c r="A1347" s="32"/>
      <c r="B1347" s="16"/>
      <c r="C1347" s="16"/>
      <c r="D1347" s="16"/>
      <c r="E1347" s="16"/>
      <c r="F1347" s="16"/>
      <c r="G1347" s="16"/>
      <c r="H1347" s="16"/>
      <c r="I1347" s="16"/>
      <c r="J1347" s="16"/>
      <c r="K1347" s="16"/>
      <c r="L1347" s="16"/>
      <c r="M1347" s="16"/>
      <c r="N1347" s="16"/>
      <c r="O1347" s="84"/>
      <c r="P1347" s="54"/>
      <c r="Q1347" s="54"/>
      <c r="R1347" s="55"/>
      <c r="S1347" s="55"/>
      <c r="T1347" s="32"/>
      <c r="U1347" s="32"/>
      <c r="V1347" s="32"/>
      <c r="W1347" s="32"/>
      <c r="X1347" s="32"/>
      <c r="Y1347" s="32"/>
      <c r="Z1347" s="32"/>
      <c r="AA1347" s="32"/>
      <c r="AB1347" s="32"/>
      <c r="AC1347" s="32"/>
    </row>
    <row r="1348">
      <c r="A1348" s="32"/>
      <c r="B1348" s="16"/>
      <c r="C1348" s="16"/>
      <c r="D1348" s="16"/>
      <c r="E1348" s="16"/>
      <c r="F1348" s="16"/>
      <c r="G1348" s="16"/>
      <c r="H1348" s="16"/>
      <c r="I1348" s="16"/>
      <c r="J1348" s="16"/>
      <c r="K1348" s="16"/>
      <c r="L1348" s="16"/>
      <c r="M1348" s="16"/>
      <c r="N1348" s="16"/>
      <c r="O1348" s="84"/>
      <c r="P1348" s="54"/>
      <c r="Q1348" s="54"/>
      <c r="R1348" s="55"/>
      <c r="S1348" s="55"/>
      <c r="T1348" s="32"/>
      <c r="U1348" s="32"/>
      <c r="V1348" s="32"/>
      <c r="W1348" s="32"/>
      <c r="X1348" s="32"/>
      <c r="Y1348" s="32"/>
      <c r="Z1348" s="32"/>
      <c r="AA1348" s="32"/>
      <c r="AB1348" s="32"/>
      <c r="AC1348" s="32"/>
    </row>
    <row r="1349">
      <c r="A1349" s="32"/>
      <c r="B1349" s="16"/>
      <c r="C1349" s="16"/>
      <c r="D1349" s="16"/>
      <c r="E1349" s="16"/>
      <c r="F1349" s="16"/>
      <c r="G1349" s="16"/>
      <c r="H1349" s="16"/>
      <c r="I1349" s="16"/>
      <c r="J1349" s="16"/>
      <c r="K1349" s="16"/>
      <c r="L1349" s="16"/>
      <c r="M1349" s="16"/>
      <c r="N1349" s="16"/>
      <c r="O1349" s="84"/>
      <c r="P1349" s="54"/>
      <c r="Q1349" s="54"/>
      <c r="R1349" s="55"/>
      <c r="S1349" s="55"/>
      <c r="T1349" s="32"/>
      <c r="U1349" s="32"/>
      <c r="V1349" s="32"/>
      <c r="W1349" s="32"/>
      <c r="X1349" s="32"/>
      <c r="Y1349" s="32"/>
      <c r="Z1349" s="32"/>
      <c r="AA1349" s="32"/>
      <c r="AB1349" s="32"/>
      <c r="AC1349" s="32"/>
    </row>
    <row r="1350">
      <c r="A1350" s="32"/>
      <c r="B1350" s="16"/>
      <c r="C1350" s="16"/>
      <c r="D1350" s="16"/>
      <c r="E1350" s="16"/>
      <c r="F1350" s="16"/>
      <c r="G1350" s="16"/>
      <c r="H1350" s="16"/>
      <c r="I1350" s="16"/>
      <c r="J1350" s="16"/>
      <c r="K1350" s="16"/>
      <c r="L1350" s="16"/>
      <c r="M1350" s="16"/>
      <c r="N1350" s="16"/>
      <c r="O1350" s="84"/>
      <c r="P1350" s="54"/>
      <c r="Q1350" s="54"/>
      <c r="R1350" s="55"/>
      <c r="S1350" s="55"/>
      <c r="T1350" s="32"/>
      <c r="U1350" s="32"/>
      <c r="V1350" s="32"/>
      <c r="W1350" s="32"/>
      <c r="X1350" s="32"/>
      <c r="Y1350" s="32"/>
      <c r="Z1350" s="32"/>
      <c r="AA1350" s="32"/>
      <c r="AB1350" s="32"/>
      <c r="AC1350" s="32"/>
    </row>
    <row r="1351">
      <c r="A1351" s="32"/>
      <c r="B1351" s="16"/>
      <c r="C1351" s="16"/>
      <c r="D1351" s="16"/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  <c r="O1351" s="84"/>
      <c r="P1351" s="54"/>
      <c r="Q1351" s="54"/>
      <c r="R1351" s="55"/>
      <c r="S1351" s="55"/>
      <c r="T1351" s="32"/>
      <c r="U1351" s="32"/>
      <c r="V1351" s="32"/>
      <c r="W1351" s="32"/>
      <c r="X1351" s="32"/>
      <c r="Y1351" s="32"/>
      <c r="Z1351" s="32"/>
      <c r="AA1351" s="32"/>
      <c r="AB1351" s="32"/>
      <c r="AC1351" s="32"/>
    </row>
    <row r="1352">
      <c r="A1352" s="32"/>
      <c r="B1352" s="16"/>
      <c r="C1352" s="16"/>
      <c r="D1352" s="16"/>
      <c r="E1352" s="16"/>
      <c r="F1352" s="16"/>
      <c r="G1352" s="16"/>
      <c r="H1352" s="16"/>
      <c r="I1352" s="16"/>
      <c r="J1352" s="16"/>
      <c r="K1352" s="16"/>
      <c r="L1352" s="16"/>
      <c r="M1352" s="16"/>
      <c r="N1352" s="16"/>
      <c r="O1352" s="84"/>
      <c r="P1352" s="54"/>
      <c r="Q1352" s="54"/>
      <c r="R1352" s="55"/>
      <c r="S1352" s="55"/>
      <c r="T1352" s="32"/>
      <c r="U1352" s="32"/>
      <c r="V1352" s="32"/>
      <c r="W1352" s="32"/>
      <c r="X1352" s="32"/>
      <c r="Y1352" s="32"/>
      <c r="Z1352" s="32"/>
      <c r="AA1352" s="32"/>
      <c r="AB1352" s="32"/>
      <c r="AC1352" s="32"/>
    </row>
    <row r="1353">
      <c r="A1353" s="32"/>
      <c r="B1353" s="16"/>
      <c r="C1353" s="16"/>
      <c r="D1353" s="16"/>
      <c r="E1353" s="16"/>
      <c r="F1353" s="16"/>
      <c r="G1353" s="16"/>
      <c r="H1353" s="16"/>
      <c r="I1353" s="16"/>
      <c r="J1353" s="16"/>
      <c r="K1353" s="16"/>
      <c r="L1353" s="16"/>
      <c r="M1353" s="16"/>
      <c r="N1353" s="16"/>
      <c r="O1353" s="84"/>
      <c r="P1353" s="54"/>
      <c r="Q1353" s="54"/>
      <c r="R1353" s="55"/>
      <c r="S1353" s="55"/>
      <c r="T1353" s="32"/>
      <c r="U1353" s="32"/>
      <c r="V1353" s="32"/>
      <c r="W1353" s="32"/>
      <c r="X1353" s="32"/>
      <c r="Y1353" s="32"/>
      <c r="Z1353" s="32"/>
      <c r="AA1353" s="32"/>
      <c r="AB1353" s="32"/>
      <c r="AC1353" s="32"/>
    </row>
    <row r="1354">
      <c r="A1354" s="32"/>
      <c r="B1354" s="16"/>
      <c r="C1354" s="16"/>
      <c r="D1354" s="16"/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  <c r="O1354" s="84"/>
      <c r="P1354" s="54"/>
      <c r="Q1354" s="54"/>
      <c r="R1354" s="55"/>
      <c r="S1354" s="55"/>
      <c r="T1354" s="32"/>
      <c r="U1354" s="32"/>
      <c r="V1354" s="32"/>
      <c r="W1354" s="32"/>
      <c r="X1354" s="32"/>
      <c r="Y1354" s="32"/>
      <c r="Z1354" s="32"/>
      <c r="AA1354" s="32"/>
      <c r="AB1354" s="32"/>
      <c r="AC1354" s="32"/>
    </row>
    <row r="1355">
      <c r="A1355" s="32"/>
      <c r="B1355" s="16"/>
      <c r="C1355" s="16"/>
      <c r="D1355" s="16"/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  <c r="O1355" s="84"/>
      <c r="P1355" s="54"/>
      <c r="Q1355" s="54"/>
      <c r="R1355" s="55"/>
      <c r="S1355" s="55"/>
      <c r="T1355" s="32"/>
      <c r="U1355" s="32"/>
      <c r="V1355" s="32"/>
      <c r="W1355" s="32"/>
      <c r="X1355" s="32"/>
      <c r="Y1355" s="32"/>
      <c r="Z1355" s="32"/>
      <c r="AA1355" s="32"/>
      <c r="AB1355" s="32"/>
      <c r="AC1355" s="32"/>
    </row>
    <row r="1356">
      <c r="A1356" s="32"/>
      <c r="B1356" s="16"/>
      <c r="C1356" s="16"/>
      <c r="D1356" s="16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  <c r="O1356" s="84"/>
      <c r="P1356" s="54"/>
      <c r="Q1356" s="54"/>
      <c r="R1356" s="55"/>
      <c r="S1356" s="55"/>
      <c r="T1356" s="32"/>
      <c r="U1356" s="32"/>
      <c r="V1356" s="32"/>
      <c r="W1356" s="32"/>
      <c r="X1356" s="32"/>
      <c r="Y1356" s="32"/>
      <c r="Z1356" s="32"/>
      <c r="AA1356" s="32"/>
      <c r="AB1356" s="32"/>
      <c r="AC1356" s="32"/>
    </row>
    <row r="1357">
      <c r="A1357" s="32"/>
      <c r="B1357" s="16"/>
      <c r="C1357" s="16"/>
      <c r="D1357" s="16"/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  <c r="O1357" s="84"/>
      <c r="P1357" s="54"/>
      <c r="Q1357" s="54"/>
      <c r="R1357" s="55"/>
      <c r="S1357" s="55"/>
      <c r="T1357" s="32"/>
      <c r="U1357" s="32"/>
      <c r="V1357" s="32"/>
      <c r="W1357" s="32"/>
      <c r="X1357" s="32"/>
      <c r="Y1357" s="32"/>
      <c r="Z1357" s="32"/>
      <c r="AA1357" s="32"/>
      <c r="AB1357" s="32"/>
      <c r="AC1357" s="32"/>
    </row>
    <row r="1358">
      <c r="A1358" s="32"/>
      <c r="B1358" s="16"/>
      <c r="C1358" s="16"/>
      <c r="D1358" s="16"/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  <c r="O1358" s="84"/>
      <c r="P1358" s="54"/>
      <c r="Q1358" s="54"/>
      <c r="R1358" s="55"/>
      <c r="S1358" s="55"/>
      <c r="T1358" s="32"/>
      <c r="U1358" s="32"/>
      <c r="V1358" s="32"/>
      <c r="W1358" s="32"/>
      <c r="X1358" s="32"/>
      <c r="Y1358" s="32"/>
      <c r="Z1358" s="32"/>
      <c r="AA1358" s="32"/>
      <c r="AB1358" s="32"/>
      <c r="AC1358" s="32"/>
    </row>
    <row r="1359">
      <c r="A1359" s="32"/>
      <c r="B1359" s="16"/>
      <c r="C1359" s="16"/>
      <c r="D1359" s="16"/>
      <c r="E1359" s="16"/>
      <c r="F1359" s="16"/>
      <c r="G1359" s="16"/>
      <c r="H1359" s="16"/>
      <c r="I1359" s="16"/>
      <c r="J1359" s="16"/>
      <c r="K1359" s="16"/>
      <c r="L1359" s="16"/>
      <c r="M1359" s="16"/>
      <c r="N1359" s="16"/>
      <c r="O1359" s="84"/>
      <c r="P1359" s="54"/>
      <c r="Q1359" s="54"/>
      <c r="R1359" s="55"/>
      <c r="S1359" s="55"/>
      <c r="T1359" s="32"/>
      <c r="U1359" s="32"/>
      <c r="V1359" s="32"/>
      <c r="W1359" s="32"/>
      <c r="X1359" s="32"/>
      <c r="Y1359" s="32"/>
      <c r="Z1359" s="32"/>
      <c r="AA1359" s="32"/>
      <c r="AB1359" s="32"/>
      <c r="AC1359" s="32"/>
    </row>
    <row r="1360">
      <c r="A1360" s="32"/>
      <c r="B1360" s="16"/>
      <c r="C1360" s="16"/>
      <c r="D1360" s="16"/>
      <c r="E1360" s="16"/>
      <c r="F1360" s="16"/>
      <c r="G1360" s="16"/>
      <c r="H1360" s="16"/>
      <c r="I1360" s="16"/>
      <c r="J1360" s="16"/>
      <c r="K1360" s="16"/>
      <c r="L1360" s="16"/>
      <c r="M1360" s="16"/>
      <c r="N1360" s="16"/>
      <c r="O1360" s="84"/>
      <c r="P1360" s="54"/>
      <c r="Q1360" s="54"/>
      <c r="R1360" s="55"/>
      <c r="S1360" s="55"/>
      <c r="T1360" s="32"/>
      <c r="U1360" s="32"/>
      <c r="V1360" s="32"/>
      <c r="W1360" s="32"/>
      <c r="X1360" s="32"/>
      <c r="Y1360" s="32"/>
      <c r="Z1360" s="32"/>
      <c r="AA1360" s="32"/>
      <c r="AB1360" s="32"/>
      <c r="AC1360" s="32"/>
    </row>
    <row r="1361">
      <c r="A1361" s="32"/>
      <c r="B1361" s="16"/>
      <c r="C1361" s="16"/>
      <c r="D1361" s="16"/>
      <c r="E1361" s="16"/>
      <c r="F1361" s="16"/>
      <c r="G1361" s="16"/>
      <c r="H1361" s="16"/>
      <c r="I1361" s="16"/>
      <c r="J1361" s="16"/>
      <c r="K1361" s="16"/>
      <c r="L1361" s="16"/>
      <c r="M1361" s="16"/>
      <c r="N1361" s="16"/>
      <c r="O1361" s="84"/>
      <c r="P1361" s="54"/>
      <c r="Q1361" s="54"/>
      <c r="R1361" s="55"/>
      <c r="S1361" s="55"/>
      <c r="T1361" s="32"/>
      <c r="U1361" s="32"/>
      <c r="V1361" s="32"/>
      <c r="W1361" s="32"/>
      <c r="X1361" s="32"/>
      <c r="Y1361" s="32"/>
      <c r="Z1361" s="32"/>
      <c r="AA1361" s="32"/>
      <c r="AB1361" s="32"/>
      <c r="AC1361" s="32"/>
    </row>
    <row r="1362">
      <c r="A1362" s="32"/>
      <c r="B1362" s="16"/>
      <c r="C1362" s="16"/>
      <c r="D1362" s="16"/>
      <c r="E1362" s="16"/>
      <c r="F1362" s="16"/>
      <c r="G1362" s="16"/>
      <c r="H1362" s="16"/>
      <c r="I1362" s="16"/>
      <c r="J1362" s="16"/>
      <c r="K1362" s="16"/>
      <c r="L1362" s="16"/>
      <c r="M1362" s="16"/>
      <c r="N1362" s="16"/>
      <c r="O1362" s="84"/>
      <c r="P1362" s="54"/>
      <c r="Q1362" s="54"/>
      <c r="R1362" s="55"/>
      <c r="S1362" s="55"/>
      <c r="T1362" s="32"/>
      <c r="U1362" s="32"/>
      <c r="V1362" s="32"/>
      <c r="W1362" s="32"/>
      <c r="X1362" s="32"/>
      <c r="Y1362" s="32"/>
      <c r="Z1362" s="32"/>
      <c r="AA1362" s="32"/>
      <c r="AB1362" s="32"/>
      <c r="AC1362" s="32"/>
    </row>
    <row r="1363">
      <c r="A1363" s="32"/>
      <c r="B1363" s="16"/>
      <c r="C1363" s="16"/>
      <c r="D1363" s="16"/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  <c r="O1363" s="84"/>
      <c r="P1363" s="54"/>
      <c r="Q1363" s="54"/>
      <c r="R1363" s="55"/>
      <c r="S1363" s="55"/>
      <c r="T1363" s="32"/>
      <c r="U1363" s="32"/>
      <c r="V1363" s="32"/>
      <c r="W1363" s="32"/>
      <c r="X1363" s="32"/>
      <c r="Y1363" s="32"/>
      <c r="Z1363" s="32"/>
      <c r="AA1363" s="32"/>
      <c r="AB1363" s="32"/>
      <c r="AC1363" s="32"/>
    </row>
    <row r="1364">
      <c r="A1364" s="32"/>
      <c r="B1364" s="16"/>
      <c r="C1364" s="16"/>
      <c r="D1364" s="16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84"/>
      <c r="P1364" s="54"/>
      <c r="Q1364" s="54"/>
      <c r="R1364" s="55"/>
      <c r="S1364" s="55"/>
      <c r="T1364" s="32"/>
      <c r="U1364" s="32"/>
      <c r="V1364" s="32"/>
      <c r="W1364" s="32"/>
      <c r="X1364" s="32"/>
      <c r="Y1364" s="32"/>
      <c r="Z1364" s="32"/>
      <c r="AA1364" s="32"/>
      <c r="AB1364" s="32"/>
      <c r="AC1364" s="32"/>
    </row>
    <row r="1365">
      <c r="A1365" s="32"/>
      <c r="B1365" s="16"/>
      <c r="C1365" s="16"/>
      <c r="D1365" s="16"/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  <c r="O1365" s="84"/>
      <c r="P1365" s="54"/>
      <c r="Q1365" s="54"/>
      <c r="R1365" s="55"/>
      <c r="S1365" s="55"/>
      <c r="T1365" s="32"/>
      <c r="U1365" s="32"/>
      <c r="V1365" s="32"/>
      <c r="W1365" s="32"/>
      <c r="X1365" s="32"/>
      <c r="Y1365" s="32"/>
      <c r="Z1365" s="32"/>
      <c r="AA1365" s="32"/>
      <c r="AB1365" s="32"/>
      <c r="AC1365" s="32"/>
    </row>
    <row r="1366">
      <c r="A1366" s="32"/>
      <c r="B1366" s="16"/>
      <c r="C1366" s="16"/>
      <c r="D1366" s="16"/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  <c r="O1366" s="84"/>
      <c r="P1366" s="54"/>
      <c r="Q1366" s="54"/>
      <c r="R1366" s="55"/>
      <c r="S1366" s="55"/>
      <c r="T1366" s="32"/>
      <c r="U1366" s="32"/>
      <c r="V1366" s="32"/>
      <c r="W1366" s="32"/>
      <c r="X1366" s="32"/>
      <c r="Y1366" s="32"/>
      <c r="Z1366" s="32"/>
      <c r="AA1366" s="32"/>
      <c r="AB1366" s="32"/>
      <c r="AC1366" s="32"/>
    </row>
    <row r="1367">
      <c r="A1367" s="32"/>
      <c r="B1367" s="16"/>
      <c r="C1367" s="16"/>
      <c r="D1367" s="16"/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  <c r="O1367" s="84"/>
      <c r="P1367" s="54"/>
      <c r="Q1367" s="54"/>
      <c r="R1367" s="55"/>
      <c r="S1367" s="55"/>
      <c r="T1367" s="32"/>
      <c r="U1367" s="32"/>
      <c r="V1367" s="32"/>
      <c r="W1367" s="32"/>
      <c r="X1367" s="32"/>
      <c r="Y1367" s="32"/>
      <c r="Z1367" s="32"/>
      <c r="AA1367" s="32"/>
      <c r="AB1367" s="32"/>
      <c r="AC1367" s="32"/>
    </row>
    <row r="1368">
      <c r="A1368" s="32"/>
      <c r="B1368" s="16"/>
      <c r="C1368" s="16"/>
      <c r="D1368" s="16"/>
      <c r="E1368" s="16"/>
      <c r="F1368" s="16"/>
      <c r="G1368" s="16"/>
      <c r="H1368" s="16"/>
      <c r="I1368" s="16"/>
      <c r="J1368" s="16"/>
      <c r="K1368" s="16"/>
      <c r="L1368" s="16"/>
      <c r="M1368" s="16"/>
      <c r="N1368" s="16"/>
      <c r="O1368" s="84"/>
      <c r="P1368" s="54"/>
      <c r="Q1368" s="54"/>
      <c r="R1368" s="55"/>
      <c r="S1368" s="55"/>
      <c r="T1368" s="32"/>
      <c r="U1368" s="32"/>
      <c r="V1368" s="32"/>
      <c r="W1368" s="32"/>
      <c r="X1368" s="32"/>
      <c r="Y1368" s="32"/>
      <c r="Z1368" s="32"/>
      <c r="AA1368" s="32"/>
      <c r="AB1368" s="32"/>
      <c r="AC1368" s="32"/>
    </row>
    <row r="1369">
      <c r="A1369" s="32"/>
      <c r="B1369" s="16"/>
      <c r="C1369" s="16"/>
      <c r="D1369" s="16"/>
      <c r="E1369" s="16"/>
      <c r="F1369" s="16"/>
      <c r="G1369" s="16"/>
      <c r="H1369" s="16"/>
      <c r="I1369" s="16"/>
      <c r="J1369" s="16"/>
      <c r="K1369" s="16"/>
      <c r="L1369" s="16"/>
      <c r="M1369" s="16"/>
      <c r="N1369" s="16"/>
      <c r="O1369" s="84"/>
      <c r="P1369" s="54"/>
      <c r="Q1369" s="54"/>
      <c r="R1369" s="55"/>
      <c r="S1369" s="55"/>
      <c r="T1369" s="32"/>
      <c r="U1369" s="32"/>
      <c r="V1369" s="32"/>
      <c r="W1369" s="32"/>
      <c r="X1369" s="32"/>
      <c r="Y1369" s="32"/>
      <c r="Z1369" s="32"/>
      <c r="AA1369" s="32"/>
      <c r="AB1369" s="32"/>
      <c r="AC1369" s="32"/>
    </row>
    <row r="1370">
      <c r="A1370" s="32"/>
      <c r="B1370" s="16"/>
      <c r="C1370" s="16"/>
      <c r="D1370" s="16"/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  <c r="O1370" s="84"/>
      <c r="P1370" s="54"/>
      <c r="Q1370" s="54"/>
      <c r="R1370" s="55"/>
      <c r="S1370" s="55"/>
      <c r="T1370" s="32"/>
      <c r="U1370" s="32"/>
      <c r="V1370" s="32"/>
      <c r="W1370" s="32"/>
      <c r="X1370" s="32"/>
      <c r="Y1370" s="32"/>
      <c r="Z1370" s="32"/>
      <c r="AA1370" s="32"/>
      <c r="AB1370" s="32"/>
      <c r="AC1370" s="32"/>
    </row>
    <row r="1371">
      <c r="A1371" s="32"/>
      <c r="B1371" s="16"/>
      <c r="C1371" s="16"/>
      <c r="D1371" s="16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  <c r="O1371" s="84"/>
      <c r="P1371" s="54"/>
      <c r="Q1371" s="54"/>
      <c r="R1371" s="55"/>
      <c r="S1371" s="55"/>
      <c r="T1371" s="32"/>
      <c r="U1371" s="32"/>
      <c r="V1371" s="32"/>
      <c r="W1371" s="32"/>
      <c r="X1371" s="32"/>
      <c r="Y1371" s="32"/>
      <c r="Z1371" s="32"/>
      <c r="AA1371" s="32"/>
      <c r="AB1371" s="32"/>
      <c r="AC1371" s="32"/>
    </row>
    <row r="1372">
      <c r="A1372" s="32"/>
      <c r="B1372" s="16"/>
      <c r="C1372" s="16"/>
      <c r="D1372" s="16"/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  <c r="O1372" s="84"/>
      <c r="P1372" s="54"/>
      <c r="Q1372" s="54"/>
      <c r="R1372" s="55"/>
      <c r="S1372" s="55"/>
      <c r="T1372" s="32"/>
      <c r="U1372" s="32"/>
      <c r="V1372" s="32"/>
      <c r="W1372" s="32"/>
      <c r="X1372" s="32"/>
      <c r="Y1372" s="32"/>
      <c r="Z1372" s="32"/>
      <c r="AA1372" s="32"/>
      <c r="AB1372" s="32"/>
      <c r="AC1372" s="32"/>
    </row>
    <row r="1373">
      <c r="A1373" s="32"/>
      <c r="B1373" s="16"/>
      <c r="C1373" s="16"/>
      <c r="D1373" s="16"/>
      <c r="E1373" s="16"/>
      <c r="F1373" s="16"/>
      <c r="G1373" s="16"/>
      <c r="H1373" s="16"/>
      <c r="I1373" s="16"/>
      <c r="J1373" s="16"/>
      <c r="K1373" s="16"/>
      <c r="L1373" s="16"/>
      <c r="M1373" s="16"/>
      <c r="N1373" s="16"/>
      <c r="O1373" s="84"/>
      <c r="P1373" s="54"/>
      <c r="Q1373" s="54"/>
      <c r="R1373" s="55"/>
      <c r="S1373" s="55"/>
      <c r="T1373" s="32"/>
      <c r="U1373" s="32"/>
      <c r="V1373" s="32"/>
      <c r="W1373" s="32"/>
      <c r="X1373" s="32"/>
      <c r="Y1373" s="32"/>
      <c r="Z1373" s="32"/>
      <c r="AA1373" s="32"/>
      <c r="AB1373" s="32"/>
      <c r="AC1373" s="32"/>
    </row>
    <row r="1374">
      <c r="A1374" s="32"/>
      <c r="B1374" s="16"/>
      <c r="C1374" s="16"/>
      <c r="D1374" s="16"/>
      <c r="E1374" s="16"/>
      <c r="F1374" s="16"/>
      <c r="G1374" s="16"/>
      <c r="H1374" s="16"/>
      <c r="I1374" s="16"/>
      <c r="J1374" s="16"/>
      <c r="K1374" s="16"/>
      <c r="L1374" s="16"/>
      <c r="M1374" s="16"/>
      <c r="N1374" s="16"/>
      <c r="O1374" s="84"/>
      <c r="P1374" s="54"/>
      <c r="Q1374" s="54"/>
      <c r="R1374" s="55"/>
      <c r="S1374" s="55"/>
      <c r="T1374" s="32"/>
      <c r="U1374" s="32"/>
      <c r="V1374" s="32"/>
      <c r="W1374" s="32"/>
      <c r="X1374" s="32"/>
      <c r="Y1374" s="32"/>
      <c r="Z1374" s="32"/>
      <c r="AA1374" s="32"/>
      <c r="AB1374" s="32"/>
      <c r="AC1374" s="32"/>
    </row>
    <row r="1375">
      <c r="A1375" s="32"/>
      <c r="B1375" s="16"/>
      <c r="C1375" s="16"/>
      <c r="D1375" s="16"/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  <c r="O1375" s="84"/>
      <c r="P1375" s="54"/>
      <c r="Q1375" s="54"/>
      <c r="R1375" s="55"/>
      <c r="S1375" s="55"/>
      <c r="T1375" s="32"/>
      <c r="U1375" s="32"/>
      <c r="V1375" s="32"/>
      <c r="W1375" s="32"/>
      <c r="X1375" s="32"/>
      <c r="Y1375" s="32"/>
      <c r="Z1375" s="32"/>
      <c r="AA1375" s="32"/>
      <c r="AB1375" s="32"/>
      <c r="AC1375" s="32"/>
    </row>
    <row r="1376">
      <c r="A1376" s="32"/>
      <c r="B1376" s="16"/>
      <c r="C1376" s="16"/>
      <c r="D1376" s="16"/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  <c r="O1376" s="84"/>
      <c r="P1376" s="54"/>
      <c r="Q1376" s="54"/>
      <c r="R1376" s="55"/>
      <c r="S1376" s="55"/>
      <c r="T1376" s="32"/>
      <c r="U1376" s="32"/>
      <c r="V1376" s="32"/>
      <c r="W1376" s="32"/>
      <c r="X1376" s="32"/>
      <c r="Y1376" s="32"/>
      <c r="Z1376" s="32"/>
      <c r="AA1376" s="32"/>
      <c r="AB1376" s="32"/>
      <c r="AC1376" s="32"/>
    </row>
    <row r="1377">
      <c r="A1377" s="32"/>
      <c r="B1377" s="16"/>
      <c r="C1377" s="16"/>
      <c r="D1377" s="16"/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  <c r="O1377" s="84"/>
      <c r="P1377" s="54"/>
      <c r="Q1377" s="54"/>
      <c r="R1377" s="55"/>
      <c r="S1377" s="55"/>
      <c r="T1377" s="32"/>
      <c r="U1377" s="32"/>
      <c r="V1377" s="32"/>
      <c r="W1377" s="32"/>
      <c r="X1377" s="32"/>
      <c r="Y1377" s="32"/>
      <c r="Z1377" s="32"/>
      <c r="AA1377" s="32"/>
      <c r="AB1377" s="32"/>
      <c r="AC1377" s="32"/>
    </row>
    <row r="1378">
      <c r="A1378" s="32"/>
      <c r="B1378" s="16"/>
      <c r="C1378" s="16"/>
      <c r="D1378" s="16"/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  <c r="O1378" s="84"/>
      <c r="P1378" s="54"/>
      <c r="Q1378" s="54"/>
      <c r="R1378" s="55"/>
      <c r="S1378" s="55"/>
      <c r="T1378" s="32"/>
      <c r="U1378" s="32"/>
      <c r="V1378" s="32"/>
      <c r="W1378" s="32"/>
      <c r="X1378" s="32"/>
      <c r="Y1378" s="32"/>
      <c r="Z1378" s="32"/>
      <c r="AA1378" s="32"/>
      <c r="AB1378" s="32"/>
      <c r="AC1378" s="32"/>
    </row>
    <row r="1379">
      <c r="A1379" s="32"/>
      <c r="B1379" s="16"/>
      <c r="C1379" s="16"/>
      <c r="D1379" s="16"/>
      <c r="E1379" s="16"/>
      <c r="F1379" s="16"/>
      <c r="G1379" s="16"/>
      <c r="H1379" s="16"/>
      <c r="I1379" s="16"/>
      <c r="J1379" s="16"/>
      <c r="K1379" s="16"/>
      <c r="L1379" s="16"/>
      <c r="M1379" s="16"/>
      <c r="N1379" s="16"/>
      <c r="O1379" s="84"/>
      <c r="P1379" s="54"/>
      <c r="Q1379" s="54"/>
      <c r="R1379" s="55"/>
      <c r="S1379" s="55"/>
      <c r="T1379" s="32"/>
      <c r="U1379" s="32"/>
      <c r="V1379" s="32"/>
      <c r="W1379" s="32"/>
      <c r="X1379" s="32"/>
      <c r="Y1379" s="32"/>
      <c r="Z1379" s="32"/>
      <c r="AA1379" s="32"/>
      <c r="AB1379" s="32"/>
      <c r="AC1379" s="32"/>
    </row>
    <row r="1380">
      <c r="A1380" s="32"/>
      <c r="B1380" s="16"/>
      <c r="C1380" s="16"/>
      <c r="D1380" s="16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84"/>
      <c r="P1380" s="54"/>
      <c r="Q1380" s="54"/>
      <c r="R1380" s="55"/>
      <c r="S1380" s="55"/>
      <c r="T1380" s="32"/>
      <c r="U1380" s="32"/>
      <c r="V1380" s="32"/>
      <c r="W1380" s="32"/>
      <c r="X1380" s="32"/>
      <c r="Y1380" s="32"/>
      <c r="Z1380" s="32"/>
      <c r="AA1380" s="32"/>
      <c r="AB1380" s="32"/>
      <c r="AC1380" s="32"/>
    </row>
    <row r="1381">
      <c r="A1381" s="32"/>
      <c r="B1381" s="16"/>
      <c r="C1381" s="16"/>
      <c r="D1381" s="16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84"/>
      <c r="P1381" s="54"/>
      <c r="Q1381" s="54"/>
      <c r="R1381" s="55"/>
      <c r="S1381" s="55"/>
      <c r="T1381" s="32"/>
      <c r="U1381" s="32"/>
      <c r="V1381" s="32"/>
      <c r="W1381" s="32"/>
      <c r="X1381" s="32"/>
      <c r="Y1381" s="32"/>
      <c r="Z1381" s="32"/>
      <c r="AA1381" s="32"/>
      <c r="AB1381" s="32"/>
      <c r="AC1381" s="32"/>
    </row>
    <row r="1382">
      <c r="A1382" s="32"/>
      <c r="B1382" s="16"/>
      <c r="C1382" s="16"/>
      <c r="D1382" s="16"/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  <c r="O1382" s="84"/>
      <c r="P1382" s="54"/>
      <c r="Q1382" s="54"/>
      <c r="R1382" s="55"/>
      <c r="S1382" s="55"/>
      <c r="T1382" s="32"/>
      <c r="U1382" s="32"/>
      <c r="V1382" s="32"/>
      <c r="W1382" s="32"/>
      <c r="X1382" s="32"/>
      <c r="Y1382" s="32"/>
      <c r="Z1382" s="32"/>
      <c r="AA1382" s="32"/>
      <c r="AB1382" s="32"/>
      <c r="AC1382" s="32"/>
    </row>
    <row r="1383">
      <c r="A1383" s="32"/>
      <c r="B1383" s="16"/>
      <c r="C1383" s="16"/>
      <c r="D1383" s="16"/>
      <c r="E1383" s="16"/>
      <c r="F1383" s="16"/>
      <c r="G1383" s="16"/>
      <c r="H1383" s="16"/>
      <c r="I1383" s="16"/>
      <c r="J1383" s="16"/>
      <c r="K1383" s="16"/>
      <c r="L1383" s="16"/>
      <c r="M1383" s="16"/>
      <c r="N1383" s="16"/>
      <c r="O1383" s="84"/>
      <c r="P1383" s="54"/>
      <c r="Q1383" s="54"/>
      <c r="R1383" s="55"/>
      <c r="S1383" s="55"/>
      <c r="T1383" s="32"/>
      <c r="U1383" s="32"/>
      <c r="V1383" s="32"/>
      <c r="W1383" s="32"/>
      <c r="X1383" s="32"/>
      <c r="Y1383" s="32"/>
      <c r="Z1383" s="32"/>
      <c r="AA1383" s="32"/>
      <c r="AB1383" s="32"/>
      <c r="AC1383" s="32"/>
    </row>
    <row r="1384">
      <c r="A1384" s="32"/>
      <c r="B1384" s="16"/>
      <c r="C1384" s="16"/>
      <c r="D1384" s="16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84"/>
      <c r="P1384" s="54"/>
      <c r="Q1384" s="54"/>
      <c r="R1384" s="55"/>
      <c r="S1384" s="55"/>
      <c r="T1384" s="32"/>
      <c r="U1384" s="32"/>
      <c r="V1384" s="32"/>
      <c r="W1384" s="32"/>
      <c r="X1384" s="32"/>
      <c r="Y1384" s="32"/>
      <c r="Z1384" s="32"/>
      <c r="AA1384" s="32"/>
      <c r="AB1384" s="32"/>
      <c r="AC1384" s="32"/>
    </row>
    <row r="1385">
      <c r="A1385" s="32"/>
      <c r="B1385" s="16"/>
      <c r="C1385" s="16"/>
      <c r="D1385" s="16"/>
      <c r="E1385" s="16"/>
      <c r="F1385" s="16"/>
      <c r="G1385" s="16"/>
      <c r="H1385" s="16"/>
      <c r="I1385" s="16"/>
      <c r="J1385" s="16"/>
      <c r="K1385" s="16"/>
      <c r="L1385" s="16"/>
      <c r="M1385" s="16"/>
      <c r="N1385" s="16"/>
      <c r="O1385" s="84"/>
      <c r="P1385" s="54"/>
      <c r="Q1385" s="54"/>
      <c r="R1385" s="55"/>
      <c r="S1385" s="55"/>
      <c r="T1385" s="32"/>
      <c r="U1385" s="32"/>
      <c r="V1385" s="32"/>
      <c r="W1385" s="32"/>
      <c r="X1385" s="32"/>
      <c r="Y1385" s="32"/>
      <c r="Z1385" s="32"/>
      <c r="AA1385" s="32"/>
      <c r="AB1385" s="32"/>
      <c r="AC1385" s="32"/>
    </row>
    <row r="1386">
      <c r="A1386" s="32"/>
      <c r="B1386" s="16"/>
      <c r="C1386" s="16"/>
      <c r="D1386" s="16"/>
      <c r="E1386" s="16"/>
      <c r="F1386" s="16"/>
      <c r="G1386" s="16"/>
      <c r="H1386" s="16"/>
      <c r="I1386" s="16"/>
      <c r="J1386" s="16"/>
      <c r="K1386" s="16"/>
      <c r="L1386" s="16"/>
      <c r="M1386" s="16"/>
      <c r="N1386" s="16"/>
      <c r="O1386" s="84"/>
      <c r="P1386" s="54"/>
      <c r="Q1386" s="54"/>
      <c r="R1386" s="55"/>
      <c r="S1386" s="55"/>
      <c r="T1386" s="32"/>
      <c r="U1386" s="32"/>
      <c r="V1386" s="32"/>
      <c r="W1386" s="32"/>
      <c r="X1386" s="32"/>
      <c r="Y1386" s="32"/>
      <c r="Z1386" s="32"/>
      <c r="AA1386" s="32"/>
      <c r="AB1386" s="32"/>
      <c r="AC1386" s="32"/>
    </row>
    <row r="1387">
      <c r="A1387" s="32"/>
      <c r="B1387" s="16"/>
      <c r="C1387" s="16"/>
      <c r="D1387" s="16"/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  <c r="O1387" s="84"/>
      <c r="P1387" s="54"/>
      <c r="Q1387" s="54"/>
      <c r="R1387" s="55"/>
      <c r="S1387" s="55"/>
      <c r="T1387" s="32"/>
      <c r="U1387" s="32"/>
      <c r="V1387" s="32"/>
      <c r="W1387" s="32"/>
      <c r="X1387" s="32"/>
      <c r="Y1387" s="32"/>
      <c r="Z1387" s="32"/>
      <c r="AA1387" s="32"/>
      <c r="AB1387" s="32"/>
      <c r="AC1387" s="32"/>
    </row>
    <row r="1388">
      <c r="A1388" s="32"/>
      <c r="B1388" s="16"/>
      <c r="C1388" s="16"/>
      <c r="D1388" s="16"/>
      <c r="E1388" s="16"/>
      <c r="F1388" s="16"/>
      <c r="G1388" s="16"/>
      <c r="H1388" s="16"/>
      <c r="I1388" s="16"/>
      <c r="J1388" s="16"/>
      <c r="K1388" s="16"/>
      <c r="L1388" s="16"/>
      <c r="M1388" s="16"/>
      <c r="N1388" s="16"/>
      <c r="O1388" s="84"/>
      <c r="P1388" s="54"/>
      <c r="Q1388" s="54"/>
      <c r="R1388" s="55"/>
      <c r="S1388" s="55"/>
      <c r="T1388" s="32"/>
      <c r="U1388" s="32"/>
      <c r="V1388" s="32"/>
      <c r="W1388" s="32"/>
      <c r="X1388" s="32"/>
      <c r="Y1388" s="32"/>
      <c r="Z1388" s="32"/>
      <c r="AA1388" s="32"/>
      <c r="AB1388" s="32"/>
      <c r="AC1388" s="32"/>
    </row>
    <row r="1389">
      <c r="A1389" s="32"/>
      <c r="B1389" s="16"/>
      <c r="C1389" s="16"/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84"/>
      <c r="P1389" s="54"/>
      <c r="Q1389" s="54"/>
      <c r="R1389" s="55"/>
      <c r="S1389" s="55"/>
      <c r="T1389" s="32"/>
      <c r="U1389" s="32"/>
      <c r="V1389" s="32"/>
      <c r="W1389" s="32"/>
      <c r="X1389" s="32"/>
      <c r="Y1389" s="32"/>
      <c r="Z1389" s="32"/>
      <c r="AA1389" s="32"/>
      <c r="AB1389" s="32"/>
      <c r="AC1389" s="32"/>
    </row>
    <row r="1390">
      <c r="A1390" s="32"/>
      <c r="B1390" s="16"/>
      <c r="C1390" s="16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84"/>
      <c r="P1390" s="54"/>
      <c r="Q1390" s="54"/>
      <c r="R1390" s="55"/>
      <c r="S1390" s="55"/>
      <c r="T1390" s="32"/>
      <c r="U1390" s="32"/>
      <c r="V1390" s="32"/>
      <c r="W1390" s="32"/>
      <c r="X1390" s="32"/>
      <c r="Y1390" s="32"/>
      <c r="Z1390" s="32"/>
      <c r="AA1390" s="32"/>
      <c r="AB1390" s="32"/>
      <c r="AC1390" s="32"/>
    </row>
    <row r="1391">
      <c r="A1391" s="32"/>
      <c r="B1391" s="16"/>
      <c r="C1391" s="16"/>
      <c r="D1391" s="16"/>
      <c r="E1391" s="16"/>
      <c r="F1391" s="16"/>
      <c r="G1391" s="16"/>
      <c r="H1391" s="16"/>
      <c r="I1391" s="16"/>
      <c r="J1391" s="16"/>
      <c r="K1391" s="16"/>
      <c r="L1391" s="16"/>
      <c r="M1391" s="16"/>
      <c r="N1391" s="16"/>
      <c r="O1391" s="84"/>
      <c r="P1391" s="54"/>
      <c r="Q1391" s="54"/>
      <c r="R1391" s="55"/>
      <c r="S1391" s="55"/>
      <c r="T1391" s="32"/>
      <c r="U1391" s="32"/>
      <c r="V1391" s="32"/>
      <c r="W1391" s="32"/>
      <c r="X1391" s="32"/>
      <c r="Y1391" s="32"/>
      <c r="Z1391" s="32"/>
      <c r="AA1391" s="32"/>
      <c r="AB1391" s="32"/>
      <c r="AC1391" s="32"/>
    </row>
    <row r="1392">
      <c r="A1392" s="32"/>
      <c r="B1392" s="16"/>
      <c r="C1392" s="16"/>
      <c r="D1392" s="16"/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84"/>
      <c r="P1392" s="54"/>
      <c r="Q1392" s="54"/>
      <c r="R1392" s="55"/>
      <c r="S1392" s="55"/>
      <c r="T1392" s="32"/>
      <c r="U1392" s="32"/>
      <c r="V1392" s="32"/>
      <c r="W1392" s="32"/>
      <c r="X1392" s="32"/>
      <c r="Y1392" s="32"/>
      <c r="Z1392" s="32"/>
      <c r="AA1392" s="32"/>
      <c r="AB1392" s="32"/>
      <c r="AC1392" s="32"/>
    </row>
    <row r="1393">
      <c r="A1393" s="32"/>
      <c r="B1393" s="16"/>
      <c r="C1393" s="16"/>
      <c r="D1393" s="16"/>
      <c r="E1393" s="16"/>
      <c r="F1393" s="16"/>
      <c r="G1393" s="16"/>
      <c r="H1393" s="16"/>
      <c r="I1393" s="16"/>
      <c r="J1393" s="16"/>
      <c r="K1393" s="16"/>
      <c r="L1393" s="16"/>
      <c r="M1393" s="16"/>
      <c r="N1393" s="16"/>
      <c r="O1393" s="84"/>
      <c r="P1393" s="54"/>
      <c r="Q1393" s="54"/>
      <c r="R1393" s="55"/>
      <c r="S1393" s="55"/>
      <c r="T1393" s="32"/>
      <c r="U1393" s="32"/>
      <c r="V1393" s="32"/>
      <c r="W1393" s="32"/>
      <c r="X1393" s="32"/>
      <c r="Y1393" s="32"/>
      <c r="Z1393" s="32"/>
      <c r="AA1393" s="32"/>
      <c r="AB1393" s="32"/>
      <c r="AC1393" s="32"/>
    </row>
    <row r="1394">
      <c r="A1394" s="32"/>
      <c r="B1394" s="16"/>
      <c r="C1394" s="16"/>
      <c r="D1394" s="16"/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  <c r="O1394" s="84"/>
      <c r="P1394" s="54"/>
      <c r="Q1394" s="54"/>
      <c r="R1394" s="55"/>
      <c r="S1394" s="55"/>
      <c r="T1394" s="32"/>
      <c r="U1394" s="32"/>
      <c r="V1394" s="32"/>
      <c r="W1394" s="32"/>
      <c r="X1394" s="32"/>
      <c r="Y1394" s="32"/>
      <c r="Z1394" s="32"/>
      <c r="AA1394" s="32"/>
      <c r="AB1394" s="32"/>
      <c r="AC1394" s="32"/>
    </row>
    <row r="1395">
      <c r="A1395" s="32"/>
      <c r="B1395" s="16"/>
      <c r="C1395" s="16"/>
      <c r="D1395" s="16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84"/>
      <c r="P1395" s="54"/>
      <c r="Q1395" s="54"/>
      <c r="R1395" s="55"/>
      <c r="S1395" s="55"/>
      <c r="T1395" s="32"/>
      <c r="U1395" s="32"/>
      <c r="V1395" s="32"/>
      <c r="W1395" s="32"/>
      <c r="X1395" s="32"/>
      <c r="Y1395" s="32"/>
      <c r="Z1395" s="32"/>
      <c r="AA1395" s="32"/>
      <c r="AB1395" s="32"/>
      <c r="AC1395" s="32"/>
    </row>
    <row r="1396">
      <c r="A1396" s="32"/>
      <c r="B1396" s="16"/>
      <c r="C1396" s="16"/>
      <c r="D1396" s="16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84"/>
      <c r="P1396" s="54"/>
      <c r="Q1396" s="54"/>
      <c r="R1396" s="55"/>
      <c r="S1396" s="55"/>
      <c r="T1396" s="32"/>
      <c r="U1396" s="32"/>
      <c r="V1396" s="32"/>
      <c r="W1396" s="32"/>
      <c r="X1396" s="32"/>
      <c r="Y1396" s="32"/>
      <c r="Z1396" s="32"/>
      <c r="AA1396" s="32"/>
      <c r="AB1396" s="32"/>
      <c r="AC1396" s="32"/>
    </row>
    <row r="1397">
      <c r="A1397" s="32"/>
      <c r="B1397" s="16"/>
      <c r="C1397" s="16"/>
      <c r="D1397" s="16"/>
      <c r="E1397" s="16"/>
      <c r="F1397" s="16"/>
      <c r="G1397" s="16"/>
      <c r="H1397" s="16"/>
      <c r="I1397" s="16"/>
      <c r="J1397" s="16"/>
      <c r="K1397" s="16"/>
      <c r="L1397" s="16"/>
      <c r="M1397" s="16"/>
      <c r="N1397" s="16"/>
      <c r="O1397" s="84"/>
      <c r="P1397" s="54"/>
      <c r="Q1397" s="54"/>
      <c r="R1397" s="55"/>
      <c r="S1397" s="55"/>
      <c r="T1397" s="32"/>
      <c r="U1397" s="32"/>
      <c r="V1397" s="32"/>
      <c r="W1397" s="32"/>
      <c r="X1397" s="32"/>
      <c r="Y1397" s="32"/>
      <c r="Z1397" s="32"/>
      <c r="AA1397" s="32"/>
      <c r="AB1397" s="32"/>
      <c r="AC1397" s="32"/>
    </row>
    <row r="1398">
      <c r="A1398" s="32"/>
      <c r="B1398" s="16"/>
      <c r="C1398" s="16"/>
      <c r="D1398" s="16"/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  <c r="O1398" s="84"/>
      <c r="P1398" s="54"/>
      <c r="Q1398" s="54"/>
      <c r="R1398" s="55"/>
      <c r="S1398" s="55"/>
      <c r="T1398" s="32"/>
      <c r="U1398" s="32"/>
      <c r="V1398" s="32"/>
      <c r="W1398" s="32"/>
      <c r="X1398" s="32"/>
      <c r="Y1398" s="32"/>
      <c r="Z1398" s="32"/>
      <c r="AA1398" s="32"/>
      <c r="AB1398" s="32"/>
      <c r="AC1398" s="32"/>
    </row>
    <row r="1399">
      <c r="A1399" s="32"/>
      <c r="B1399" s="16"/>
      <c r="C1399" s="16"/>
      <c r="D1399" s="16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84"/>
      <c r="P1399" s="54"/>
      <c r="Q1399" s="54"/>
      <c r="R1399" s="55"/>
      <c r="S1399" s="55"/>
      <c r="T1399" s="32"/>
      <c r="U1399" s="32"/>
      <c r="V1399" s="32"/>
      <c r="W1399" s="32"/>
      <c r="X1399" s="32"/>
      <c r="Y1399" s="32"/>
      <c r="Z1399" s="32"/>
      <c r="AA1399" s="32"/>
      <c r="AB1399" s="32"/>
      <c r="AC1399" s="32"/>
    </row>
    <row r="1400">
      <c r="A1400" s="32"/>
      <c r="B1400" s="16"/>
      <c r="C1400" s="16"/>
      <c r="D1400" s="16"/>
      <c r="E1400" s="16"/>
      <c r="F1400" s="16"/>
      <c r="G1400" s="16"/>
      <c r="H1400" s="16"/>
      <c r="I1400" s="16"/>
      <c r="J1400" s="16"/>
      <c r="K1400" s="16"/>
      <c r="L1400" s="16"/>
      <c r="M1400" s="16"/>
      <c r="N1400" s="16"/>
      <c r="O1400" s="84"/>
      <c r="P1400" s="54"/>
      <c r="Q1400" s="54"/>
      <c r="R1400" s="55"/>
      <c r="S1400" s="55"/>
      <c r="T1400" s="32"/>
      <c r="U1400" s="32"/>
      <c r="V1400" s="32"/>
      <c r="W1400" s="32"/>
      <c r="X1400" s="32"/>
      <c r="Y1400" s="32"/>
      <c r="Z1400" s="32"/>
      <c r="AA1400" s="32"/>
      <c r="AB1400" s="32"/>
      <c r="AC1400" s="32"/>
    </row>
    <row r="1401">
      <c r="A1401" s="32"/>
      <c r="B1401" s="16"/>
      <c r="C1401" s="16"/>
      <c r="D1401" s="16"/>
      <c r="E1401" s="16"/>
      <c r="F1401" s="16"/>
      <c r="G1401" s="16"/>
      <c r="H1401" s="16"/>
      <c r="I1401" s="16"/>
      <c r="J1401" s="16"/>
      <c r="K1401" s="16"/>
      <c r="L1401" s="16"/>
      <c r="M1401" s="16"/>
      <c r="N1401" s="16"/>
      <c r="O1401" s="84"/>
      <c r="P1401" s="54"/>
      <c r="Q1401" s="54"/>
      <c r="R1401" s="55"/>
      <c r="S1401" s="55"/>
      <c r="T1401" s="32"/>
      <c r="U1401" s="32"/>
      <c r="V1401" s="32"/>
      <c r="W1401" s="32"/>
      <c r="X1401" s="32"/>
      <c r="Y1401" s="32"/>
      <c r="Z1401" s="32"/>
      <c r="AA1401" s="32"/>
      <c r="AB1401" s="32"/>
      <c r="AC1401" s="32"/>
    </row>
    <row r="1402">
      <c r="A1402" s="32"/>
      <c r="B1402" s="16"/>
      <c r="C1402" s="16"/>
      <c r="D1402" s="16"/>
      <c r="E1402" s="16"/>
      <c r="F1402" s="16"/>
      <c r="G1402" s="16"/>
      <c r="H1402" s="16"/>
      <c r="I1402" s="16"/>
      <c r="J1402" s="16"/>
      <c r="K1402" s="16"/>
      <c r="L1402" s="16"/>
      <c r="M1402" s="16"/>
      <c r="N1402" s="16"/>
      <c r="O1402" s="84"/>
      <c r="P1402" s="54"/>
      <c r="Q1402" s="54"/>
      <c r="R1402" s="55"/>
      <c r="S1402" s="55"/>
      <c r="T1402" s="32"/>
      <c r="U1402" s="32"/>
      <c r="V1402" s="32"/>
      <c r="W1402" s="32"/>
      <c r="X1402" s="32"/>
      <c r="Y1402" s="32"/>
      <c r="Z1402" s="32"/>
      <c r="AA1402" s="32"/>
      <c r="AB1402" s="32"/>
      <c r="AC1402" s="32"/>
    </row>
    <row r="1403">
      <c r="A1403" s="32"/>
      <c r="B1403" s="16"/>
      <c r="C1403" s="16"/>
      <c r="D1403" s="16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84"/>
      <c r="P1403" s="54"/>
      <c r="Q1403" s="54"/>
      <c r="R1403" s="55"/>
      <c r="S1403" s="55"/>
      <c r="T1403" s="32"/>
      <c r="U1403" s="32"/>
      <c r="V1403" s="32"/>
      <c r="W1403" s="32"/>
      <c r="X1403" s="32"/>
      <c r="Y1403" s="32"/>
      <c r="Z1403" s="32"/>
      <c r="AA1403" s="32"/>
      <c r="AB1403" s="32"/>
      <c r="AC1403" s="32"/>
    </row>
    <row r="1404">
      <c r="A1404" s="32"/>
      <c r="B1404" s="16"/>
      <c r="C1404" s="16"/>
      <c r="D1404" s="16"/>
      <c r="E1404" s="16"/>
      <c r="F1404" s="16"/>
      <c r="G1404" s="16"/>
      <c r="H1404" s="16"/>
      <c r="I1404" s="16"/>
      <c r="J1404" s="16"/>
      <c r="K1404" s="16"/>
      <c r="L1404" s="16"/>
      <c r="M1404" s="16"/>
      <c r="N1404" s="16"/>
      <c r="O1404" s="84"/>
      <c r="P1404" s="54"/>
      <c r="Q1404" s="54"/>
      <c r="R1404" s="55"/>
      <c r="S1404" s="55"/>
      <c r="T1404" s="32"/>
      <c r="U1404" s="32"/>
      <c r="V1404" s="32"/>
      <c r="W1404" s="32"/>
      <c r="X1404" s="32"/>
      <c r="Y1404" s="32"/>
      <c r="Z1404" s="32"/>
      <c r="AA1404" s="32"/>
      <c r="AB1404" s="32"/>
      <c r="AC1404" s="32"/>
    </row>
    <row r="1405">
      <c r="A1405" s="32"/>
      <c r="B1405" s="16"/>
      <c r="C1405" s="16"/>
      <c r="D1405" s="16"/>
      <c r="E1405" s="16"/>
      <c r="F1405" s="16"/>
      <c r="G1405" s="16"/>
      <c r="H1405" s="16"/>
      <c r="I1405" s="16"/>
      <c r="J1405" s="16"/>
      <c r="K1405" s="16"/>
      <c r="L1405" s="16"/>
      <c r="M1405" s="16"/>
      <c r="N1405" s="16"/>
      <c r="O1405" s="84"/>
      <c r="P1405" s="54"/>
      <c r="Q1405" s="54"/>
      <c r="R1405" s="55"/>
      <c r="S1405" s="55"/>
      <c r="T1405" s="32"/>
      <c r="U1405" s="32"/>
      <c r="V1405" s="32"/>
      <c r="W1405" s="32"/>
      <c r="X1405" s="32"/>
      <c r="Y1405" s="32"/>
      <c r="Z1405" s="32"/>
      <c r="AA1405" s="32"/>
      <c r="AB1405" s="32"/>
      <c r="AC1405" s="32"/>
    </row>
    <row r="1406">
      <c r="A1406" s="32"/>
      <c r="B1406" s="16"/>
      <c r="C1406" s="16"/>
      <c r="D1406" s="16"/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  <c r="O1406" s="84"/>
      <c r="P1406" s="54"/>
      <c r="Q1406" s="54"/>
      <c r="R1406" s="55"/>
      <c r="S1406" s="55"/>
      <c r="T1406" s="32"/>
      <c r="U1406" s="32"/>
      <c r="V1406" s="32"/>
      <c r="W1406" s="32"/>
      <c r="X1406" s="32"/>
      <c r="Y1406" s="32"/>
      <c r="Z1406" s="32"/>
      <c r="AA1406" s="32"/>
      <c r="AB1406" s="32"/>
      <c r="AC1406" s="32"/>
    </row>
    <row r="1407">
      <c r="A1407" s="32"/>
      <c r="B1407" s="16"/>
      <c r="C1407" s="16"/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84"/>
      <c r="P1407" s="54"/>
      <c r="Q1407" s="54"/>
      <c r="R1407" s="55"/>
      <c r="S1407" s="55"/>
      <c r="T1407" s="32"/>
      <c r="U1407" s="32"/>
      <c r="V1407" s="32"/>
      <c r="W1407" s="32"/>
      <c r="X1407" s="32"/>
      <c r="Y1407" s="32"/>
      <c r="Z1407" s="32"/>
      <c r="AA1407" s="32"/>
      <c r="AB1407" s="32"/>
      <c r="AC1407" s="32"/>
    </row>
    <row r="1408">
      <c r="A1408" s="32"/>
      <c r="B1408" s="16"/>
      <c r="C1408" s="16"/>
      <c r="D1408" s="16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84"/>
      <c r="P1408" s="54"/>
      <c r="Q1408" s="54"/>
      <c r="R1408" s="55"/>
      <c r="S1408" s="55"/>
      <c r="T1408" s="32"/>
      <c r="U1408" s="32"/>
      <c r="V1408" s="32"/>
      <c r="W1408" s="32"/>
      <c r="X1408" s="32"/>
      <c r="Y1408" s="32"/>
      <c r="Z1408" s="32"/>
      <c r="AA1408" s="32"/>
      <c r="AB1408" s="32"/>
      <c r="AC1408" s="32"/>
    </row>
    <row r="1409">
      <c r="A1409" s="32"/>
      <c r="B1409" s="16"/>
      <c r="C1409" s="16"/>
      <c r="D1409" s="16"/>
      <c r="E1409" s="16"/>
      <c r="F1409" s="16"/>
      <c r="G1409" s="16"/>
      <c r="H1409" s="16"/>
      <c r="I1409" s="16"/>
      <c r="J1409" s="16"/>
      <c r="K1409" s="16"/>
      <c r="L1409" s="16"/>
      <c r="M1409" s="16"/>
      <c r="N1409" s="16"/>
      <c r="O1409" s="84"/>
      <c r="P1409" s="54"/>
      <c r="Q1409" s="54"/>
      <c r="R1409" s="55"/>
      <c r="S1409" s="55"/>
      <c r="T1409" s="32"/>
      <c r="U1409" s="32"/>
      <c r="V1409" s="32"/>
      <c r="W1409" s="32"/>
      <c r="X1409" s="32"/>
      <c r="Y1409" s="32"/>
      <c r="Z1409" s="32"/>
      <c r="AA1409" s="32"/>
      <c r="AB1409" s="32"/>
      <c r="AC1409" s="32"/>
    </row>
    <row r="1410">
      <c r="A1410" s="32"/>
      <c r="B1410" s="16"/>
      <c r="C1410" s="16"/>
      <c r="D1410" s="16"/>
      <c r="E1410" s="16"/>
      <c r="F1410" s="16"/>
      <c r="G1410" s="16"/>
      <c r="H1410" s="16"/>
      <c r="I1410" s="16"/>
      <c r="J1410" s="16"/>
      <c r="K1410" s="16"/>
      <c r="L1410" s="16"/>
      <c r="M1410" s="16"/>
      <c r="N1410" s="16"/>
      <c r="O1410" s="84"/>
      <c r="P1410" s="54"/>
      <c r="Q1410" s="54"/>
      <c r="R1410" s="55"/>
      <c r="S1410" s="55"/>
      <c r="T1410" s="32"/>
      <c r="U1410" s="32"/>
      <c r="V1410" s="32"/>
      <c r="W1410" s="32"/>
      <c r="X1410" s="32"/>
      <c r="Y1410" s="32"/>
      <c r="Z1410" s="32"/>
      <c r="AA1410" s="32"/>
      <c r="AB1410" s="32"/>
      <c r="AC1410" s="32"/>
    </row>
    <row r="1411">
      <c r="A1411" s="32"/>
      <c r="B1411" s="16"/>
      <c r="C1411" s="16"/>
      <c r="D1411" s="16"/>
      <c r="E1411" s="16"/>
      <c r="F1411" s="16"/>
      <c r="G1411" s="16"/>
      <c r="H1411" s="16"/>
      <c r="I1411" s="16"/>
      <c r="J1411" s="16"/>
      <c r="K1411" s="16"/>
      <c r="L1411" s="16"/>
      <c r="M1411" s="16"/>
      <c r="N1411" s="16"/>
      <c r="O1411" s="84"/>
      <c r="P1411" s="54"/>
      <c r="Q1411" s="54"/>
      <c r="R1411" s="55"/>
      <c r="S1411" s="55"/>
      <c r="T1411" s="32"/>
      <c r="U1411" s="32"/>
      <c r="V1411" s="32"/>
      <c r="W1411" s="32"/>
      <c r="X1411" s="32"/>
      <c r="Y1411" s="32"/>
      <c r="Z1411" s="32"/>
      <c r="AA1411" s="32"/>
      <c r="AB1411" s="32"/>
      <c r="AC1411" s="32"/>
    </row>
    <row r="1412">
      <c r="A1412" s="32"/>
      <c r="B1412" s="16"/>
      <c r="C1412" s="16"/>
      <c r="D1412" s="16"/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  <c r="O1412" s="84"/>
      <c r="P1412" s="54"/>
      <c r="Q1412" s="54"/>
      <c r="R1412" s="55"/>
      <c r="S1412" s="55"/>
      <c r="T1412" s="32"/>
      <c r="U1412" s="32"/>
      <c r="V1412" s="32"/>
      <c r="W1412" s="32"/>
      <c r="X1412" s="32"/>
      <c r="Y1412" s="32"/>
      <c r="Z1412" s="32"/>
      <c r="AA1412" s="32"/>
      <c r="AB1412" s="32"/>
      <c r="AC1412" s="32"/>
    </row>
    <row r="1413">
      <c r="A1413" s="32"/>
      <c r="B1413" s="16"/>
      <c r="C1413" s="16"/>
      <c r="D1413" s="16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  <c r="O1413" s="84"/>
      <c r="P1413" s="54"/>
      <c r="Q1413" s="54"/>
      <c r="R1413" s="55"/>
      <c r="S1413" s="55"/>
      <c r="T1413" s="32"/>
      <c r="U1413" s="32"/>
      <c r="V1413" s="32"/>
      <c r="W1413" s="32"/>
      <c r="X1413" s="32"/>
      <c r="Y1413" s="32"/>
      <c r="Z1413" s="32"/>
      <c r="AA1413" s="32"/>
      <c r="AB1413" s="32"/>
      <c r="AC1413" s="32"/>
    </row>
    <row r="1414">
      <c r="A1414" s="32"/>
      <c r="B1414" s="16"/>
      <c r="C1414" s="16"/>
      <c r="D1414" s="16"/>
      <c r="E1414" s="16"/>
      <c r="F1414" s="16"/>
      <c r="G1414" s="16"/>
      <c r="H1414" s="16"/>
      <c r="I1414" s="16"/>
      <c r="J1414" s="16"/>
      <c r="K1414" s="16"/>
      <c r="L1414" s="16"/>
      <c r="M1414" s="16"/>
      <c r="N1414" s="16"/>
      <c r="O1414" s="84"/>
      <c r="P1414" s="54"/>
      <c r="Q1414" s="54"/>
      <c r="R1414" s="55"/>
      <c r="S1414" s="55"/>
      <c r="T1414" s="32"/>
      <c r="U1414" s="32"/>
      <c r="V1414" s="32"/>
      <c r="W1414" s="32"/>
      <c r="X1414" s="32"/>
      <c r="Y1414" s="32"/>
      <c r="Z1414" s="32"/>
      <c r="AA1414" s="32"/>
      <c r="AB1414" s="32"/>
      <c r="AC1414" s="32"/>
    </row>
    <row r="1415">
      <c r="A1415" s="32"/>
      <c r="B1415" s="16"/>
      <c r="C1415" s="16"/>
      <c r="D1415" s="16"/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  <c r="O1415" s="84"/>
      <c r="P1415" s="54"/>
      <c r="Q1415" s="54"/>
      <c r="R1415" s="55"/>
      <c r="S1415" s="55"/>
      <c r="T1415" s="32"/>
      <c r="U1415" s="32"/>
      <c r="V1415" s="32"/>
      <c r="W1415" s="32"/>
      <c r="X1415" s="32"/>
      <c r="Y1415" s="32"/>
      <c r="Z1415" s="32"/>
      <c r="AA1415" s="32"/>
      <c r="AB1415" s="32"/>
      <c r="AC1415" s="32"/>
    </row>
    <row r="1416">
      <c r="A1416" s="32"/>
      <c r="B1416" s="16"/>
      <c r="C1416" s="16"/>
      <c r="D1416" s="16"/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  <c r="O1416" s="84"/>
      <c r="P1416" s="54"/>
      <c r="Q1416" s="54"/>
      <c r="R1416" s="55"/>
      <c r="S1416" s="55"/>
      <c r="T1416" s="32"/>
      <c r="U1416" s="32"/>
      <c r="V1416" s="32"/>
      <c r="W1416" s="32"/>
      <c r="X1416" s="32"/>
      <c r="Y1416" s="32"/>
      <c r="Z1416" s="32"/>
      <c r="AA1416" s="32"/>
      <c r="AB1416" s="32"/>
      <c r="AC1416" s="32"/>
    </row>
    <row r="1417">
      <c r="A1417" s="32"/>
      <c r="B1417" s="16"/>
      <c r="C1417" s="16"/>
      <c r="D1417" s="16"/>
      <c r="E1417" s="16"/>
      <c r="F1417" s="16"/>
      <c r="G1417" s="16"/>
      <c r="H1417" s="16"/>
      <c r="I1417" s="16"/>
      <c r="J1417" s="16"/>
      <c r="K1417" s="16"/>
      <c r="L1417" s="16"/>
      <c r="M1417" s="16"/>
      <c r="N1417" s="16"/>
      <c r="O1417" s="84"/>
      <c r="P1417" s="54"/>
      <c r="Q1417" s="54"/>
      <c r="R1417" s="55"/>
      <c r="S1417" s="55"/>
      <c r="T1417" s="32"/>
      <c r="U1417" s="32"/>
      <c r="V1417" s="32"/>
      <c r="W1417" s="32"/>
      <c r="X1417" s="32"/>
      <c r="Y1417" s="32"/>
      <c r="Z1417" s="32"/>
      <c r="AA1417" s="32"/>
      <c r="AB1417" s="32"/>
      <c r="AC1417" s="32"/>
    </row>
    <row r="1418">
      <c r="A1418" s="32"/>
      <c r="B1418" s="16"/>
      <c r="C1418" s="16"/>
      <c r="D1418" s="16"/>
      <c r="E1418" s="16"/>
      <c r="F1418" s="16"/>
      <c r="G1418" s="16"/>
      <c r="H1418" s="16"/>
      <c r="I1418" s="16"/>
      <c r="J1418" s="16"/>
      <c r="K1418" s="16"/>
      <c r="L1418" s="16"/>
      <c r="M1418" s="16"/>
      <c r="N1418" s="16"/>
      <c r="O1418" s="84"/>
      <c r="P1418" s="54"/>
      <c r="Q1418" s="54"/>
      <c r="R1418" s="55"/>
      <c r="S1418" s="55"/>
      <c r="T1418" s="32"/>
      <c r="U1418" s="32"/>
      <c r="V1418" s="32"/>
      <c r="W1418" s="32"/>
      <c r="X1418" s="32"/>
      <c r="Y1418" s="32"/>
      <c r="Z1418" s="32"/>
      <c r="AA1418" s="32"/>
      <c r="AB1418" s="32"/>
      <c r="AC1418" s="32"/>
    </row>
    <row r="1419">
      <c r="A1419" s="32"/>
      <c r="B1419" s="16"/>
      <c r="C1419" s="16"/>
      <c r="D1419" s="16"/>
      <c r="E1419" s="16"/>
      <c r="F1419" s="16"/>
      <c r="G1419" s="16"/>
      <c r="H1419" s="16"/>
      <c r="I1419" s="16"/>
      <c r="J1419" s="16"/>
      <c r="K1419" s="16"/>
      <c r="L1419" s="16"/>
      <c r="M1419" s="16"/>
      <c r="N1419" s="16"/>
      <c r="O1419" s="84"/>
      <c r="P1419" s="54"/>
      <c r="Q1419" s="54"/>
      <c r="R1419" s="55"/>
      <c r="S1419" s="55"/>
      <c r="T1419" s="32"/>
      <c r="U1419" s="32"/>
      <c r="V1419" s="32"/>
      <c r="W1419" s="32"/>
      <c r="X1419" s="32"/>
      <c r="Y1419" s="32"/>
      <c r="Z1419" s="32"/>
      <c r="AA1419" s="32"/>
      <c r="AB1419" s="32"/>
      <c r="AC1419" s="32"/>
    </row>
    <row r="1420">
      <c r="A1420" s="32"/>
      <c r="B1420" s="16"/>
      <c r="C1420" s="16"/>
      <c r="D1420" s="16"/>
      <c r="E1420" s="16"/>
      <c r="F1420" s="16"/>
      <c r="G1420" s="16"/>
      <c r="H1420" s="16"/>
      <c r="I1420" s="16"/>
      <c r="J1420" s="16"/>
      <c r="K1420" s="16"/>
      <c r="L1420" s="16"/>
      <c r="M1420" s="16"/>
      <c r="N1420" s="16"/>
      <c r="O1420" s="84"/>
      <c r="P1420" s="54"/>
      <c r="Q1420" s="54"/>
      <c r="R1420" s="55"/>
      <c r="S1420" s="55"/>
      <c r="T1420" s="32"/>
      <c r="U1420" s="32"/>
      <c r="V1420" s="32"/>
      <c r="W1420" s="32"/>
      <c r="X1420" s="32"/>
      <c r="Y1420" s="32"/>
      <c r="Z1420" s="32"/>
      <c r="AA1420" s="32"/>
      <c r="AB1420" s="32"/>
      <c r="AC1420" s="32"/>
    </row>
    <row r="1421">
      <c r="A1421" s="32"/>
      <c r="B1421" s="16"/>
      <c r="C1421" s="16"/>
      <c r="D1421" s="16"/>
      <c r="E1421" s="16"/>
      <c r="F1421" s="16"/>
      <c r="G1421" s="16"/>
      <c r="H1421" s="16"/>
      <c r="I1421" s="16"/>
      <c r="J1421" s="16"/>
      <c r="K1421" s="16"/>
      <c r="L1421" s="16"/>
      <c r="M1421" s="16"/>
      <c r="N1421" s="16"/>
      <c r="O1421" s="84"/>
      <c r="P1421" s="54"/>
      <c r="Q1421" s="54"/>
      <c r="R1421" s="55"/>
      <c r="S1421" s="55"/>
      <c r="T1421" s="32"/>
      <c r="U1421" s="32"/>
      <c r="V1421" s="32"/>
      <c r="W1421" s="32"/>
      <c r="X1421" s="32"/>
      <c r="Y1421" s="32"/>
      <c r="Z1421" s="32"/>
      <c r="AA1421" s="32"/>
      <c r="AB1421" s="32"/>
      <c r="AC1421" s="32"/>
    </row>
    <row r="1422">
      <c r="A1422" s="32"/>
      <c r="B1422" s="16"/>
      <c r="C1422" s="16"/>
      <c r="D1422" s="16"/>
      <c r="E1422" s="16"/>
      <c r="F1422" s="16"/>
      <c r="G1422" s="16"/>
      <c r="H1422" s="16"/>
      <c r="I1422" s="16"/>
      <c r="J1422" s="16"/>
      <c r="K1422" s="16"/>
      <c r="L1422" s="16"/>
      <c r="M1422" s="16"/>
      <c r="N1422" s="16"/>
      <c r="O1422" s="84"/>
      <c r="P1422" s="54"/>
      <c r="Q1422" s="54"/>
      <c r="R1422" s="55"/>
      <c r="S1422" s="55"/>
      <c r="T1422" s="32"/>
      <c r="U1422" s="32"/>
      <c r="V1422" s="32"/>
      <c r="W1422" s="32"/>
      <c r="X1422" s="32"/>
      <c r="Y1422" s="32"/>
      <c r="Z1422" s="32"/>
      <c r="AA1422" s="32"/>
      <c r="AB1422" s="32"/>
      <c r="AC1422" s="32"/>
    </row>
    <row r="1423">
      <c r="A1423" s="32"/>
      <c r="B1423" s="16"/>
      <c r="C1423" s="16"/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84"/>
      <c r="P1423" s="54"/>
      <c r="Q1423" s="54"/>
      <c r="R1423" s="55"/>
      <c r="S1423" s="55"/>
      <c r="T1423" s="32"/>
      <c r="U1423" s="32"/>
      <c r="V1423" s="32"/>
      <c r="W1423" s="32"/>
      <c r="X1423" s="32"/>
      <c r="Y1423" s="32"/>
      <c r="Z1423" s="32"/>
      <c r="AA1423" s="32"/>
      <c r="AB1423" s="32"/>
      <c r="AC1423" s="32"/>
    </row>
    <row r="1424">
      <c r="A1424" s="32"/>
      <c r="B1424" s="16"/>
      <c r="C1424" s="16"/>
      <c r="D1424" s="16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84"/>
      <c r="P1424" s="54"/>
      <c r="Q1424" s="54"/>
      <c r="R1424" s="55"/>
      <c r="S1424" s="55"/>
      <c r="T1424" s="32"/>
      <c r="U1424" s="32"/>
      <c r="V1424" s="32"/>
      <c r="W1424" s="32"/>
      <c r="X1424" s="32"/>
      <c r="Y1424" s="32"/>
      <c r="Z1424" s="32"/>
      <c r="AA1424" s="32"/>
      <c r="AB1424" s="32"/>
      <c r="AC1424" s="32"/>
    </row>
    <row r="1425">
      <c r="A1425" s="32"/>
      <c r="B1425" s="16"/>
      <c r="C1425" s="16"/>
      <c r="D1425" s="16"/>
      <c r="E1425" s="16"/>
      <c r="F1425" s="16"/>
      <c r="G1425" s="16"/>
      <c r="H1425" s="16"/>
      <c r="I1425" s="16"/>
      <c r="J1425" s="16"/>
      <c r="K1425" s="16"/>
      <c r="L1425" s="16"/>
      <c r="M1425" s="16"/>
      <c r="N1425" s="16"/>
      <c r="O1425" s="84"/>
      <c r="P1425" s="54"/>
      <c r="Q1425" s="54"/>
      <c r="R1425" s="55"/>
      <c r="S1425" s="55"/>
      <c r="T1425" s="32"/>
      <c r="U1425" s="32"/>
      <c r="V1425" s="32"/>
      <c r="W1425" s="32"/>
      <c r="X1425" s="32"/>
      <c r="Y1425" s="32"/>
      <c r="Z1425" s="32"/>
      <c r="AA1425" s="32"/>
      <c r="AB1425" s="32"/>
      <c r="AC1425" s="32"/>
    </row>
    <row r="1426">
      <c r="A1426" s="32"/>
      <c r="B1426" s="16"/>
      <c r="C1426" s="16"/>
      <c r="D1426" s="16"/>
      <c r="E1426" s="16"/>
      <c r="F1426" s="16"/>
      <c r="G1426" s="16"/>
      <c r="H1426" s="16"/>
      <c r="I1426" s="16"/>
      <c r="J1426" s="16"/>
      <c r="K1426" s="16"/>
      <c r="L1426" s="16"/>
      <c r="M1426" s="16"/>
      <c r="N1426" s="16"/>
      <c r="O1426" s="84"/>
      <c r="P1426" s="54"/>
      <c r="Q1426" s="54"/>
      <c r="R1426" s="55"/>
      <c r="S1426" s="55"/>
      <c r="T1426" s="32"/>
      <c r="U1426" s="32"/>
      <c r="V1426" s="32"/>
      <c r="W1426" s="32"/>
      <c r="X1426" s="32"/>
      <c r="Y1426" s="32"/>
      <c r="Z1426" s="32"/>
      <c r="AA1426" s="32"/>
      <c r="AB1426" s="32"/>
      <c r="AC1426" s="32"/>
    </row>
    <row r="1427">
      <c r="A1427" s="32"/>
      <c r="B1427" s="16"/>
      <c r="C1427" s="16"/>
      <c r="D1427" s="16"/>
      <c r="E1427" s="16"/>
      <c r="F1427" s="16"/>
      <c r="G1427" s="16"/>
      <c r="H1427" s="16"/>
      <c r="I1427" s="16"/>
      <c r="J1427" s="16"/>
      <c r="K1427" s="16"/>
      <c r="L1427" s="16"/>
      <c r="M1427" s="16"/>
      <c r="N1427" s="16"/>
      <c r="O1427" s="84"/>
      <c r="P1427" s="54"/>
      <c r="Q1427" s="54"/>
      <c r="R1427" s="55"/>
      <c r="S1427" s="55"/>
      <c r="T1427" s="32"/>
      <c r="U1427" s="32"/>
      <c r="V1427" s="32"/>
      <c r="W1427" s="32"/>
      <c r="X1427" s="32"/>
      <c r="Y1427" s="32"/>
      <c r="Z1427" s="32"/>
      <c r="AA1427" s="32"/>
      <c r="AB1427" s="32"/>
      <c r="AC1427" s="32"/>
    </row>
    <row r="1428">
      <c r="A1428" s="32"/>
      <c r="B1428" s="16"/>
      <c r="C1428" s="16"/>
      <c r="D1428" s="16"/>
      <c r="E1428" s="16"/>
      <c r="F1428" s="16"/>
      <c r="G1428" s="16"/>
      <c r="H1428" s="16"/>
      <c r="I1428" s="16"/>
      <c r="J1428" s="16"/>
      <c r="K1428" s="16"/>
      <c r="L1428" s="16"/>
      <c r="M1428" s="16"/>
      <c r="N1428" s="16"/>
      <c r="O1428" s="84"/>
      <c r="P1428" s="54"/>
      <c r="Q1428" s="54"/>
      <c r="R1428" s="55"/>
      <c r="S1428" s="55"/>
      <c r="T1428" s="32"/>
      <c r="U1428" s="32"/>
      <c r="V1428" s="32"/>
      <c r="W1428" s="32"/>
      <c r="X1428" s="32"/>
      <c r="Y1428" s="32"/>
      <c r="Z1428" s="32"/>
      <c r="AA1428" s="32"/>
      <c r="AB1428" s="32"/>
      <c r="AC1428" s="32"/>
    </row>
    <row r="1429">
      <c r="A1429" s="32"/>
      <c r="B1429" s="16"/>
      <c r="C1429" s="16"/>
      <c r="D1429" s="16"/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84"/>
      <c r="P1429" s="54"/>
      <c r="Q1429" s="54"/>
      <c r="R1429" s="55"/>
      <c r="S1429" s="55"/>
      <c r="T1429" s="32"/>
      <c r="U1429" s="32"/>
      <c r="V1429" s="32"/>
      <c r="W1429" s="32"/>
      <c r="X1429" s="32"/>
      <c r="Y1429" s="32"/>
      <c r="Z1429" s="32"/>
      <c r="AA1429" s="32"/>
      <c r="AB1429" s="32"/>
      <c r="AC1429" s="32"/>
    </row>
    <row r="1430">
      <c r="A1430" s="32"/>
      <c r="B1430" s="16"/>
      <c r="C1430" s="16"/>
      <c r="D1430" s="16"/>
      <c r="E1430" s="16"/>
      <c r="F1430" s="16"/>
      <c r="G1430" s="16"/>
      <c r="H1430" s="16"/>
      <c r="I1430" s="16"/>
      <c r="J1430" s="16"/>
      <c r="K1430" s="16"/>
      <c r="L1430" s="16"/>
      <c r="M1430" s="16"/>
      <c r="N1430" s="16"/>
      <c r="O1430" s="84"/>
      <c r="P1430" s="54"/>
      <c r="Q1430" s="54"/>
      <c r="R1430" s="55"/>
      <c r="S1430" s="55"/>
      <c r="T1430" s="32"/>
      <c r="U1430" s="32"/>
      <c r="V1430" s="32"/>
      <c r="W1430" s="32"/>
      <c r="X1430" s="32"/>
      <c r="Y1430" s="32"/>
      <c r="Z1430" s="32"/>
      <c r="AA1430" s="32"/>
      <c r="AB1430" s="32"/>
      <c r="AC1430" s="32"/>
    </row>
    <row r="1431">
      <c r="A1431" s="32"/>
      <c r="B1431" s="16"/>
      <c r="C1431" s="16"/>
      <c r="D1431" s="16"/>
      <c r="E1431" s="16"/>
      <c r="F1431" s="16"/>
      <c r="G1431" s="16"/>
      <c r="H1431" s="16"/>
      <c r="I1431" s="16"/>
      <c r="J1431" s="16"/>
      <c r="K1431" s="16"/>
      <c r="L1431" s="16"/>
      <c r="M1431" s="16"/>
      <c r="N1431" s="16"/>
      <c r="O1431" s="84"/>
      <c r="P1431" s="54"/>
      <c r="Q1431" s="54"/>
      <c r="R1431" s="55"/>
      <c r="S1431" s="55"/>
      <c r="T1431" s="32"/>
      <c r="U1431" s="32"/>
      <c r="V1431" s="32"/>
      <c r="W1431" s="32"/>
      <c r="X1431" s="32"/>
      <c r="Y1431" s="32"/>
      <c r="Z1431" s="32"/>
      <c r="AA1431" s="32"/>
      <c r="AB1431" s="32"/>
      <c r="AC1431" s="32"/>
    </row>
    <row r="1432">
      <c r="A1432" s="32"/>
      <c r="B1432" s="16"/>
      <c r="C1432" s="16"/>
      <c r="D1432" s="16"/>
      <c r="E1432" s="16"/>
      <c r="F1432" s="16"/>
      <c r="G1432" s="16"/>
      <c r="H1432" s="16"/>
      <c r="I1432" s="16"/>
      <c r="J1432" s="16"/>
      <c r="K1432" s="16"/>
      <c r="L1432" s="16"/>
      <c r="M1432" s="16"/>
      <c r="N1432" s="16"/>
      <c r="O1432" s="84"/>
      <c r="P1432" s="54"/>
      <c r="Q1432" s="54"/>
      <c r="R1432" s="55"/>
      <c r="S1432" s="55"/>
      <c r="T1432" s="32"/>
      <c r="U1432" s="32"/>
      <c r="V1432" s="32"/>
      <c r="W1432" s="32"/>
      <c r="X1432" s="32"/>
      <c r="Y1432" s="32"/>
      <c r="Z1432" s="32"/>
      <c r="AA1432" s="32"/>
      <c r="AB1432" s="32"/>
      <c r="AC1432" s="32"/>
    </row>
    <row r="1433">
      <c r="A1433" s="32"/>
      <c r="B1433" s="16"/>
      <c r="C1433" s="16"/>
      <c r="D1433" s="16"/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  <c r="O1433" s="84"/>
      <c r="P1433" s="54"/>
      <c r="Q1433" s="54"/>
      <c r="R1433" s="55"/>
      <c r="S1433" s="55"/>
      <c r="T1433" s="32"/>
      <c r="U1433" s="32"/>
      <c r="V1433" s="32"/>
      <c r="W1433" s="32"/>
      <c r="X1433" s="32"/>
      <c r="Y1433" s="32"/>
      <c r="Z1433" s="32"/>
      <c r="AA1433" s="32"/>
      <c r="AB1433" s="32"/>
      <c r="AC1433" s="32"/>
    </row>
    <row r="1434">
      <c r="A1434" s="32"/>
      <c r="B1434" s="16"/>
      <c r="C1434" s="16"/>
      <c r="D1434" s="16"/>
      <c r="E1434" s="16"/>
      <c r="F1434" s="16"/>
      <c r="G1434" s="16"/>
      <c r="H1434" s="16"/>
      <c r="I1434" s="16"/>
      <c r="J1434" s="16"/>
      <c r="K1434" s="16"/>
      <c r="L1434" s="16"/>
      <c r="M1434" s="16"/>
      <c r="N1434" s="16"/>
      <c r="O1434" s="84"/>
      <c r="P1434" s="54"/>
      <c r="Q1434" s="54"/>
      <c r="R1434" s="55"/>
      <c r="S1434" s="55"/>
      <c r="T1434" s="32"/>
      <c r="U1434" s="32"/>
      <c r="V1434" s="32"/>
      <c r="W1434" s="32"/>
      <c r="X1434" s="32"/>
      <c r="Y1434" s="32"/>
      <c r="Z1434" s="32"/>
      <c r="AA1434" s="32"/>
      <c r="AB1434" s="32"/>
      <c r="AC1434" s="32"/>
    </row>
    <row r="1435">
      <c r="A1435" s="32"/>
      <c r="B1435" s="16"/>
      <c r="C1435" s="16"/>
      <c r="D1435" s="16"/>
      <c r="E1435" s="16"/>
      <c r="F1435" s="16"/>
      <c r="G1435" s="16"/>
      <c r="H1435" s="16"/>
      <c r="I1435" s="16"/>
      <c r="J1435" s="16"/>
      <c r="K1435" s="16"/>
      <c r="L1435" s="16"/>
      <c r="M1435" s="16"/>
      <c r="N1435" s="16"/>
      <c r="O1435" s="84"/>
      <c r="P1435" s="54"/>
      <c r="Q1435" s="54"/>
      <c r="R1435" s="55"/>
      <c r="S1435" s="55"/>
      <c r="T1435" s="32"/>
      <c r="U1435" s="32"/>
      <c r="V1435" s="32"/>
      <c r="W1435" s="32"/>
      <c r="X1435" s="32"/>
      <c r="Y1435" s="32"/>
      <c r="Z1435" s="32"/>
      <c r="AA1435" s="32"/>
      <c r="AB1435" s="32"/>
      <c r="AC1435" s="32"/>
    </row>
    <row r="1436">
      <c r="A1436" s="32"/>
      <c r="B1436" s="16"/>
      <c r="C1436" s="16"/>
      <c r="D1436" s="16"/>
      <c r="E1436" s="16"/>
      <c r="F1436" s="16"/>
      <c r="G1436" s="16"/>
      <c r="H1436" s="16"/>
      <c r="I1436" s="16"/>
      <c r="J1436" s="16"/>
      <c r="K1436" s="16"/>
      <c r="L1436" s="16"/>
      <c r="M1436" s="16"/>
      <c r="N1436" s="16"/>
      <c r="O1436" s="84"/>
      <c r="P1436" s="54"/>
      <c r="Q1436" s="54"/>
      <c r="R1436" s="55"/>
      <c r="S1436" s="55"/>
      <c r="T1436" s="32"/>
      <c r="U1436" s="32"/>
      <c r="V1436" s="32"/>
      <c r="W1436" s="32"/>
      <c r="X1436" s="32"/>
      <c r="Y1436" s="32"/>
      <c r="Z1436" s="32"/>
      <c r="AA1436" s="32"/>
      <c r="AB1436" s="32"/>
      <c r="AC1436" s="32"/>
    </row>
    <row r="1437">
      <c r="A1437" s="32"/>
      <c r="B1437" s="16"/>
      <c r="C1437" s="16"/>
      <c r="D1437" s="16"/>
      <c r="E1437" s="16"/>
      <c r="F1437" s="16"/>
      <c r="G1437" s="16"/>
      <c r="H1437" s="16"/>
      <c r="I1437" s="16"/>
      <c r="J1437" s="16"/>
      <c r="K1437" s="16"/>
      <c r="L1437" s="16"/>
      <c r="M1437" s="16"/>
      <c r="N1437" s="16"/>
      <c r="O1437" s="84"/>
      <c r="P1437" s="54"/>
      <c r="Q1437" s="54"/>
      <c r="R1437" s="55"/>
      <c r="S1437" s="55"/>
      <c r="T1437" s="32"/>
      <c r="U1437" s="32"/>
      <c r="V1437" s="32"/>
      <c r="W1437" s="32"/>
      <c r="X1437" s="32"/>
      <c r="Y1437" s="32"/>
      <c r="Z1437" s="32"/>
      <c r="AA1437" s="32"/>
      <c r="AB1437" s="32"/>
      <c r="AC1437" s="32"/>
    </row>
    <row r="1438">
      <c r="A1438" s="32"/>
      <c r="B1438" s="16"/>
      <c r="C1438" s="16"/>
      <c r="D1438" s="16"/>
      <c r="E1438" s="16"/>
      <c r="F1438" s="16"/>
      <c r="G1438" s="16"/>
      <c r="H1438" s="16"/>
      <c r="I1438" s="16"/>
      <c r="J1438" s="16"/>
      <c r="K1438" s="16"/>
      <c r="L1438" s="16"/>
      <c r="M1438" s="16"/>
      <c r="N1438" s="16"/>
      <c r="O1438" s="84"/>
      <c r="P1438" s="54"/>
      <c r="Q1438" s="54"/>
      <c r="R1438" s="55"/>
      <c r="S1438" s="55"/>
      <c r="T1438" s="32"/>
      <c r="U1438" s="32"/>
      <c r="V1438" s="32"/>
      <c r="W1438" s="32"/>
      <c r="X1438" s="32"/>
      <c r="Y1438" s="32"/>
      <c r="Z1438" s="32"/>
      <c r="AA1438" s="32"/>
      <c r="AB1438" s="32"/>
      <c r="AC1438" s="32"/>
    </row>
    <row r="1439">
      <c r="A1439" s="32"/>
      <c r="B1439" s="16"/>
      <c r="C1439" s="16"/>
      <c r="D1439" s="16"/>
      <c r="E1439" s="16"/>
      <c r="F1439" s="16"/>
      <c r="G1439" s="16"/>
      <c r="H1439" s="16"/>
      <c r="I1439" s="16"/>
      <c r="J1439" s="16"/>
      <c r="K1439" s="16"/>
      <c r="L1439" s="16"/>
      <c r="M1439" s="16"/>
      <c r="N1439" s="16"/>
      <c r="O1439" s="84"/>
      <c r="P1439" s="54"/>
      <c r="Q1439" s="54"/>
      <c r="R1439" s="55"/>
      <c r="S1439" s="55"/>
      <c r="T1439" s="32"/>
      <c r="U1439" s="32"/>
      <c r="V1439" s="32"/>
      <c r="W1439" s="32"/>
      <c r="X1439" s="32"/>
      <c r="Y1439" s="32"/>
      <c r="Z1439" s="32"/>
      <c r="AA1439" s="32"/>
      <c r="AB1439" s="32"/>
      <c r="AC1439" s="32"/>
    </row>
    <row r="1440">
      <c r="A1440" s="32"/>
      <c r="B1440" s="16"/>
      <c r="C1440" s="16"/>
      <c r="D1440" s="16"/>
      <c r="E1440" s="16"/>
      <c r="F1440" s="16"/>
      <c r="G1440" s="16"/>
      <c r="H1440" s="16"/>
      <c r="I1440" s="16"/>
      <c r="J1440" s="16"/>
      <c r="K1440" s="16"/>
      <c r="L1440" s="16"/>
      <c r="M1440" s="16"/>
      <c r="N1440" s="16"/>
      <c r="O1440" s="84"/>
      <c r="P1440" s="54"/>
      <c r="Q1440" s="54"/>
      <c r="R1440" s="55"/>
      <c r="S1440" s="55"/>
      <c r="T1440" s="32"/>
      <c r="U1440" s="32"/>
      <c r="V1440" s="32"/>
      <c r="W1440" s="32"/>
      <c r="X1440" s="32"/>
      <c r="Y1440" s="32"/>
      <c r="Z1440" s="32"/>
      <c r="AA1440" s="32"/>
      <c r="AB1440" s="32"/>
      <c r="AC1440" s="32"/>
    </row>
    <row r="1441">
      <c r="A1441" s="32"/>
      <c r="B1441" s="16"/>
      <c r="C1441" s="16"/>
      <c r="D1441" s="16"/>
      <c r="E1441" s="16"/>
      <c r="F1441" s="16"/>
      <c r="G1441" s="16"/>
      <c r="H1441" s="16"/>
      <c r="I1441" s="16"/>
      <c r="J1441" s="16"/>
      <c r="K1441" s="16"/>
      <c r="L1441" s="16"/>
      <c r="M1441" s="16"/>
      <c r="N1441" s="16"/>
      <c r="O1441" s="84"/>
      <c r="P1441" s="54"/>
      <c r="Q1441" s="54"/>
      <c r="R1441" s="55"/>
      <c r="S1441" s="55"/>
      <c r="T1441" s="32"/>
      <c r="U1441" s="32"/>
      <c r="V1441" s="32"/>
      <c r="W1441" s="32"/>
      <c r="X1441" s="32"/>
      <c r="Y1441" s="32"/>
      <c r="Z1441" s="32"/>
      <c r="AA1441" s="32"/>
      <c r="AB1441" s="32"/>
      <c r="AC1441" s="32"/>
    </row>
    <row r="1442">
      <c r="A1442" s="32"/>
      <c r="B1442" s="16"/>
      <c r="C1442" s="16"/>
      <c r="D1442" s="16"/>
      <c r="E1442" s="16"/>
      <c r="F1442" s="16"/>
      <c r="G1442" s="16"/>
      <c r="H1442" s="16"/>
      <c r="I1442" s="16"/>
      <c r="J1442" s="16"/>
      <c r="K1442" s="16"/>
      <c r="L1442" s="16"/>
      <c r="M1442" s="16"/>
      <c r="N1442" s="16"/>
      <c r="O1442" s="84"/>
      <c r="P1442" s="54"/>
      <c r="Q1442" s="54"/>
      <c r="R1442" s="55"/>
      <c r="S1442" s="55"/>
      <c r="T1442" s="32"/>
      <c r="U1442" s="32"/>
      <c r="V1442" s="32"/>
      <c r="W1442" s="32"/>
      <c r="X1442" s="32"/>
      <c r="Y1442" s="32"/>
      <c r="Z1442" s="32"/>
      <c r="AA1442" s="32"/>
      <c r="AB1442" s="32"/>
      <c r="AC1442" s="32"/>
    </row>
    <row r="1443">
      <c r="A1443" s="32"/>
      <c r="B1443" s="16"/>
      <c r="C1443" s="16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84"/>
      <c r="P1443" s="54"/>
      <c r="Q1443" s="54"/>
      <c r="R1443" s="55"/>
      <c r="S1443" s="55"/>
      <c r="T1443" s="32"/>
      <c r="U1443" s="32"/>
      <c r="V1443" s="32"/>
      <c r="W1443" s="32"/>
      <c r="X1443" s="32"/>
      <c r="Y1443" s="32"/>
      <c r="Z1443" s="32"/>
      <c r="AA1443" s="32"/>
      <c r="AB1443" s="32"/>
      <c r="AC1443" s="32"/>
    </row>
    <row r="1444">
      <c r="A1444" s="32"/>
      <c r="B1444" s="16"/>
      <c r="C1444" s="16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84"/>
      <c r="P1444" s="54"/>
      <c r="Q1444" s="54"/>
      <c r="R1444" s="55"/>
      <c r="S1444" s="55"/>
      <c r="T1444" s="32"/>
      <c r="U1444" s="32"/>
      <c r="V1444" s="32"/>
      <c r="W1444" s="32"/>
      <c r="X1444" s="32"/>
      <c r="Y1444" s="32"/>
      <c r="Z1444" s="32"/>
      <c r="AA1444" s="32"/>
      <c r="AB1444" s="32"/>
      <c r="AC1444" s="32"/>
    </row>
    <row r="1445">
      <c r="A1445" s="32"/>
      <c r="B1445" s="16"/>
      <c r="C1445" s="16"/>
      <c r="D1445" s="16"/>
      <c r="E1445" s="16"/>
      <c r="F1445" s="16"/>
      <c r="G1445" s="16"/>
      <c r="H1445" s="16"/>
      <c r="I1445" s="16"/>
      <c r="J1445" s="16"/>
      <c r="K1445" s="16"/>
      <c r="L1445" s="16"/>
      <c r="M1445" s="16"/>
      <c r="N1445" s="16"/>
      <c r="O1445" s="84"/>
      <c r="P1445" s="54"/>
      <c r="Q1445" s="54"/>
      <c r="R1445" s="55"/>
      <c r="S1445" s="55"/>
      <c r="T1445" s="32"/>
      <c r="U1445" s="32"/>
      <c r="V1445" s="32"/>
      <c r="W1445" s="32"/>
      <c r="X1445" s="32"/>
      <c r="Y1445" s="32"/>
      <c r="Z1445" s="32"/>
      <c r="AA1445" s="32"/>
      <c r="AB1445" s="32"/>
      <c r="AC1445" s="32"/>
    </row>
    <row r="1446">
      <c r="A1446" s="32"/>
      <c r="B1446" s="16"/>
      <c r="C1446" s="16"/>
      <c r="D1446" s="16"/>
      <c r="E1446" s="16"/>
      <c r="F1446" s="16"/>
      <c r="G1446" s="16"/>
      <c r="H1446" s="16"/>
      <c r="I1446" s="16"/>
      <c r="J1446" s="16"/>
      <c r="K1446" s="16"/>
      <c r="L1446" s="16"/>
      <c r="M1446" s="16"/>
      <c r="N1446" s="16"/>
      <c r="O1446" s="84"/>
      <c r="P1446" s="54"/>
      <c r="Q1446" s="54"/>
      <c r="R1446" s="55"/>
      <c r="S1446" s="55"/>
      <c r="T1446" s="32"/>
      <c r="U1446" s="32"/>
      <c r="V1446" s="32"/>
      <c r="W1446" s="32"/>
      <c r="X1446" s="32"/>
      <c r="Y1446" s="32"/>
      <c r="Z1446" s="32"/>
      <c r="AA1446" s="32"/>
      <c r="AB1446" s="32"/>
      <c r="AC1446" s="32"/>
    </row>
    <row r="1447">
      <c r="A1447" s="32"/>
      <c r="B1447" s="16"/>
      <c r="C1447" s="16"/>
      <c r="D1447" s="16"/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84"/>
      <c r="P1447" s="54"/>
      <c r="Q1447" s="54"/>
      <c r="R1447" s="55"/>
      <c r="S1447" s="55"/>
      <c r="T1447" s="32"/>
      <c r="U1447" s="32"/>
      <c r="V1447" s="32"/>
      <c r="W1447" s="32"/>
      <c r="X1447" s="32"/>
      <c r="Y1447" s="32"/>
      <c r="Z1447" s="32"/>
      <c r="AA1447" s="32"/>
      <c r="AB1447" s="32"/>
      <c r="AC1447" s="32"/>
    </row>
    <row r="1448">
      <c r="A1448" s="32"/>
      <c r="B1448" s="16"/>
      <c r="C1448" s="16"/>
      <c r="D1448" s="16"/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84"/>
      <c r="P1448" s="54"/>
      <c r="Q1448" s="54"/>
      <c r="R1448" s="55"/>
      <c r="S1448" s="55"/>
      <c r="T1448" s="32"/>
      <c r="U1448" s="32"/>
      <c r="V1448" s="32"/>
      <c r="W1448" s="32"/>
      <c r="X1448" s="32"/>
      <c r="Y1448" s="32"/>
      <c r="Z1448" s="32"/>
      <c r="AA1448" s="32"/>
      <c r="AB1448" s="32"/>
      <c r="AC1448" s="32"/>
    </row>
    <row r="1449">
      <c r="A1449" s="32"/>
      <c r="B1449" s="16"/>
      <c r="C1449" s="16"/>
      <c r="D1449" s="16"/>
      <c r="E1449" s="16"/>
      <c r="F1449" s="16"/>
      <c r="G1449" s="16"/>
      <c r="H1449" s="16"/>
      <c r="I1449" s="16"/>
      <c r="J1449" s="16"/>
      <c r="K1449" s="16"/>
      <c r="L1449" s="16"/>
      <c r="M1449" s="16"/>
      <c r="N1449" s="16"/>
      <c r="O1449" s="84"/>
      <c r="P1449" s="54"/>
      <c r="Q1449" s="54"/>
      <c r="R1449" s="55"/>
      <c r="S1449" s="55"/>
      <c r="T1449" s="32"/>
      <c r="U1449" s="32"/>
      <c r="V1449" s="32"/>
      <c r="W1449" s="32"/>
      <c r="X1449" s="32"/>
      <c r="Y1449" s="32"/>
      <c r="Z1449" s="32"/>
      <c r="AA1449" s="32"/>
      <c r="AB1449" s="32"/>
      <c r="AC1449" s="32"/>
    </row>
    <row r="1450">
      <c r="A1450" s="32"/>
      <c r="B1450" s="16"/>
      <c r="C1450" s="16"/>
      <c r="D1450" s="16"/>
      <c r="E1450" s="16"/>
      <c r="F1450" s="16"/>
      <c r="G1450" s="16"/>
      <c r="H1450" s="16"/>
      <c r="I1450" s="16"/>
      <c r="J1450" s="16"/>
      <c r="K1450" s="16"/>
      <c r="L1450" s="16"/>
      <c r="M1450" s="16"/>
      <c r="N1450" s="16"/>
      <c r="O1450" s="84"/>
      <c r="P1450" s="54"/>
      <c r="Q1450" s="54"/>
      <c r="R1450" s="55"/>
      <c r="S1450" s="55"/>
      <c r="T1450" s="32"/>
      <c r="U1450" s="32"/>
      <c r="V1450" s="32"/>
      <c r="W1450" s="32"/>
      <c r="X1450" s="32"/>
      <c r="Y1450" s="32"/>
      <c r="Z1450" s="32"/>
      <c r="AA1450" s="32"/>
      <c r="AB1450" s="32"/>
      <c r="AC1450" s="32"/>
    </row>
    <row r="1451">
      <c r="A1451" s="32"/>
      <c r="B1451" s="16"/>
      <c r="C1451" s="16"/>
      <c r="D1451" s="16"/>
      <c r="E1451" s="16"/>
      <c r="F1451" s="16"/>
      <c r="G1451" s="16"/>
      <c r="H1451" s="16"/>
      <c r="I1451" s="16"/>
      <c r="J1451" s="16"/>
      <c r="K1451" s="16"/>
      <c r="L1451" s="16"/>
      <c r="M1451" s="16"/>
      <c r="N1451" s="16"/>
      <c r="O1451" s="84"/>
      <c r="P1451" s="54"/>
      <c r="Q1451" s="54"/>
      <c r="R1451" s="55"/>
      <c r="S1451" s="55"/>
      <c r="T1451" s="32"/>
      <c r="U1451" s="32"/>
      <c r="V1451" s="32"/>
      <c r="W1451" s="32"/>
      <c r="X1451" s="32"/>
      <c r="Y1451" s="32"/>
      <c r="Z1451" s="32"/>
      <c r="AA1451" s="32"/>
      <c r="AB1451" s="32"/>
      <c r="AC1451" s="32"/>
    </row>
    <row r="1452">
      <c r="A1452" s="32"/>
      <c r="B1452" s="16"/>
      <c r="C1452" s="16"/>
      <c r="D1452" s="16"/>
      <c r="E1452" s="16"/>
      <c r="F1452" s="16"/>
      <c r="G1452" s="16"/>
      <c r="H1452" s="16"/>
      <c r="I1452" s="16"/>
      <c r="J1452" s="16"/>
      <c r="K1452" s="16"/>
      <c r="L1452" s="16"/>
      <c r="M1452" s="16"/>
      <c r="N1452" s="16"/>
      <c r="O1452" s="84"/>
      <c r="P1452" s="54"/>
      <c r="Q1452" s="54"/>
      <c r="R1452" s="55"/>
      <c r="S1452" s="55"/>
      <c r="T1452" s="32"/>
      <c r="U1452" s="32"/>
      <c r="V1452" s="32"/>
      <c r="W1452" s="32"/>
      <c r="X1452" s="32"/>
      <c r="Y1452" s="32"/>
      <c r="Z1452" s="32"/>
      <c r="AA1452" s="32"/>
      <c r="AB1452" s="32"/>
      <c r="AC1452" s="32"/>
    </row>
    <row r="1453">
      <c r="A1453" s="32"/>
      <c r="B1453" s="16"/>
      <c r="C1453" s="16"/>
      <c r="D1453" s="16"/>
      <c r="E1453" s="16"/>
      <c r="F1453" s="16"/>
      <c r="G1453" s="16"/>
      <c r="H1453" s="16"/>
      <c r="I1453" s="16"/>
      <c r="J1453" s="16"/>
      <c r="K1453" s="16"/>
      <c r="L1453" s="16"/>
      <c r="M1453" s="16"/>
      <c r="N1453" s="16"/>
      <c r="O1453" s="84"/>
      <c r="P1453" s="54"/>
      <c r="Q1453" s="54"/>
      <c r="R1453" s="55"/>
      <c r="S1453" s="55"/>
      <c r="T1453" s="32"/>
      <c r="U1453" s="32"/>
      <c r="V1453" s="32"/>
      <c r="W1453" s="32"/>
      <c r="X1453" s="32"/>
      <c r="Y1453" s="32"/>
      <c r="Z1453" s="32"/>
      <c r="AA1453" s="32"/>
      <c r="AB1453" s="32"/>
      <c r="AC1453" s="32"/>
    </row>
    <row r="1454">
      <c r="A1454" s="32"/>
      <c r="B1454" s="16"/>
      <c r="C1454" s="16"/>
      <c r="D1454" s="16"/>
      <c r="E1454" s="16"/>
      <c r="F1454" s="16"/>
      <c r="G1454" s="16"/>
      <c r="H1454" s="16"/>
      <c r="I1454" s="16"/>
      <c r="J1454" s="16"/>
      <c r="K1454" s="16"/>
      <c r="L1454" s="16"/>
      <c r="M1454" s="16"/>
      <c r="N1454" s="16"/>
      <c r="O1454" s="84"/>
      <c r="P1454" s="54"/>
      <c r="Q1454" s="54"/>
      <c r="R1454" s="55"/>
      <c r="S1454" s="55"/>
      <c r="T1454" s="32"/>
      <c r="U1454" s="32"/>
      <c r="V1454" s="32"/>
      <c r="W1454" s="32"/>
      <c r="X1454" s="32"/>
      <c r="Y1454" s="32"/>
      <c r="Z1454" s="32"/>
      <c r="AA1454" s="32"/>
      <c r="AB1454" s="32"/>
      <c r="AC1454" s="32"/>
    </row>
    <row r="1455">
      <c r="A1455" s="32"/>
      <c r="B1455" s="16"/>
      <c r="C1455" s="16"/>
      <c r="D1455" s="16"/>
      <c r="E1455" s="16"/>
      <c r="F1455" s="16"/>
      <c r="G1455" s="16"/>
      <c r="H1455" s="16"/>
      <c r="I1455" s="16"/>
      <c r="J1455" s="16"/>
      <c r="K1455" s="16"/>
      <c r="L1455" s="16"/>
      <c r="M1455" s="16"/>
      <c r="N1455" s="16"/>
      <c r="O1455" s="84"/>
      <c r="P1455" s="54"/>
      <c r="Q1455" s="54"/>
      <c r="R1455" s="55"/>
      <c r="S1455" s="55"/>
      <c r="T1455" s="32"/>
      <c r="U1455" s="32"/>
      <c r="V1455" s="32"/>
      <c r="W1455" s="32"/>
      <c r="X1455" s="32"/>
      <c r="Y1455" s="32"/>
      <c r="Z1455" s="32"/>
      <c r="AA1455" s="32"/>
      <c r="AB1455" s="32"/>
      <c r="AC1455" s="32"/>
    </row>
    <row r="1456">
      <c r="A1456" s="32"/>
      <c r="B1456" s="16"/>
      <c r="C1456" s="16"/>
      <c r="D1456" s="16"/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  <c r="O1456" s="84"/>
      <c r="P1456" s="54"/>
      <c r="Q1456" s="54"/>
      <c r="R1456" s="55"/>
      <c r="S1456" s="55"/>
      <c r="T1456" s="32"/>
      <c r="U1456" s="32"/>
      <c r="V1456" s="32"/>
      <c r="W1456" s="32"/>
      <c r="X1456" s="32"/>
      <c r="Y1456" s="32"/>
      <c r="Z1456" s="32"/>
      <c r="AA1456" s="32"/>
      <c r="AB1456" s="32"/>
      <c r="AC1456" s="32"/>
    </row>
    <row r="1457">
      <c r="A1457" s="32"/>
      <c r="B1457" s="16"/>
      <c r="C1457" s="16"/>
      <c r="D1457" s="16"/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  <c r="O1457" s="84"/>
      <c r="P1457" s="54"/>
      <c r="Q1457" s="54"/>
      <c r="R1457" s="55"/>
      <c r="S1457" s="55"/>
      <c r="T1457" s="32"/>
      <c r="U1457" s="32"/>
      <c r="V1457" s="32"/>
      <c r="W1457" s="32"/>
      <c r="X1457" s="32"/>
      <c r="Y1457" s="32"/>
      <c r="Z1457" s="32"/>
      <c r="AA1457" s="32"/>
      <c r="AB1457" s="32"/>
      <c r="AC1457" s="32"/>
    </row>
    <row r="1458">
      <c r="A1458" s="32"/>
      <c r="B1458" s="16"/>
      <c r="C1458" s="16"/>
      <c r="D1458" s="16"/>
      <c r="E1458" s="16"/>
      <c r="F1458" s="16"/>
      <c r="G1458" s="16"/>
      <c r="H1458" s="16"/>
      <c r="I1458" s="16"/>
      <c r="J1458" s="16"/>
      <c r="K1458" s="16"/>
      <c r="L1458" s="16"/>
      <c r="M1458" s="16"/>
      <c r="N1458" s="16"/>
      <c r="O1458" s="84"/>
      <c r="P1458" s="54"/>
      <c r="Q1458" s="54"/>
      <c r="R1458" s="55"/>
      <c r="S1458" s="55"/>
      <c r="T1458" s="32"/>
      <c r="U1458" s="32"/>
      <c r="V1458" s="32"/>
      <c r="W1458" s="32"/>
      <c r="X1458" s="32"/>
      <c r="Y1458" s="32"/>
      <c r="Z1458" s="32"/>
      <c r="AA1458" s="32"/>
      <c r="AB1458" s="32"/>
      <c r="AC1458" s="32"/>
    </row>
    <row r="1459">
      <c r="A1459" s="32"/>
      <c r="B1459" s="16"/>
      <c r="C1459" s="16"/>
      <c r="D1459" s="16"/>
      <c r="E1459" s="16"/>
      <c r="F1459" s="16"/>
      <c r="G1459" s="16"/>
      <c r="H1459" s="16"/>
      <c r="I1459" s="16"/>
      <c r="J1459" s="16"/>
      <c r="K1459" s="16"/>
      <c r="L1459" s="16"/>
      <c r="M1459" s="16"/>
      <c r="N1459" s="16"/>
      <c r="O1459" s="84"/>
      <c r="P1459" s="54"/>
      <c r="Q1459" s="54"/>
      <c r="R1459" s="55"/>
      <c r="S1459" s="55"/>
      <c r="T1459" s="32"/>
      <c r="U1459" s="32"/>
      <c r="V1459" s="32"/>
      <c r="W1459" s="32"/>
      <c r="X1459" s="32"/>
      <c r="Y1459" s="32"/>
      <c r="Z1459" s="32"/>
      <c r="AA1459" s="32"/>
      <c r="AB1459" s="32"/>
      <c r="AC1459" s="32"/>
    </row>
    <row r="1460">
      <c r="A1460" s="32"/>
      <c r="B1460" s="16"/>
      <c r="C1460" s="16"/>
      <c r="D1460" s="16"/>
      <c r="E1460" s="16"/>
      <c r="F1460" s="16"/>
      <c r="G1460" s="16"/>
      <c r="H1460" s="16"/>
      <c r="I1460" s="16"/>
      <c r="J1460" s="16"/>
      <c r="K1460" s="16"/>
      <c r="L1460" s="16"/>
      <c r="M1460" s="16"/>
      <c r="N1460" s="16"/>
      <c r="O1460" s="84"/>
      <c r="P1460" s="54"/>
      <c r="Q1460" s="54"/>
      <c r="R1460" s="55"/>
      <c r="S1460" s="55"/>
      <c r="T1460" s="32"/>
      <c r="U1460" s="32"/>
      <c r="V1460" s="32"/>
      <c r="W1460" s="32"/>
      <c r="X1460" s="32"/>
      <c r="Y1460" s="32"/>
      <c r="Z1460" s="32"/>
      <c r="AA1460" s="32"/>
      <c r="AB1460" s="32"/>
      <c r="AC1460" s="32"/>
    </row>
    <row r="1461">
      <c r="A1461" s="32"/>
      <c r="B1461" s="16"/>
      <c r="C1461" s="16"/>
      <c r="D1461" s="16"/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  <c r="O1461" s="84"/>
      <c r="P1461" s="54"/>
      <c r="Q1461" s="54"/>
      <c r="R1461" s="55"/>
      <c r="S1461" s="55"/>
      <c r="T1461" s="32"/>
      <c r="U1461" s="32"/>
      <c r="V1461" s="32"/>
      <c r="W1461" s="32"/>
      <c r="X1461" s="32"/>
      <c r="Y1461" s="32"/>
      <c r="Z1461" s="32"/>
      <c r="AA1461" s="32"/>
      <c r="AB1461" s="32"/>
      <c r="AC1461" s="32"/>
    </row>
    <row r="1462">
      <c r="A1462" s="32"/>
      <c r="B1462" s="16"/>
      <c r="C1462" s="16"/>
      <c r="D1462" s="16"/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84"/>
      <c r="P1462" s="54"/>
      <c r="Q1462" s="54"/>
      <c r="R1462" s="55"/>
      <c r="S1462" s="55"/>
      <c r="T1462" s="32"/>
      <c r="U1462" s="32"/>
      <c r="V1462" s="32"/>
      <c r="W1462" s="32"/>
      <c r="X1462" s="32"/>
      <c r="Y1462" s="32"/>
      <c r="Z1462" s="32"/>
      <c r="AA1462" s="32"/>
      <c r="AB1462" s="32"/>
      <c r="AC1462" s="32"/>
    </row>
    <row r="1463">
      <c r="A1463" s="32"/>
      <c r="B1463" s="16"/>
      <c r="C1463" s="16"/>
      <c r="D1463" s="16"/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84"/>
      <c r="P1463" s="54"/>
      <c r="Q1463" s="54"/>
      <c r="R1463" s="55"/>
      <c r="S1463" s="55"/>
      <c r="T1463" s="32"/>
      <c r="U1463" s="32"/>
      <c r="V1463" s="32"/>
      <c r="W1463" s="32"/>
      <c r="X1463" s="32"/>
      <c r="Y1463" s="32"/>
      <c r="Z1463" s="32"/>
      <c r="AA1463" s="32"/>
      <c r="AB1463" s="32"/>
      <c r="AC1463" s="32"/>
    </row>
    <row r="1464">
      <c r="A1464" s="32"/>
      <c r="B1464" s="16"/>
      <c r="C1464" s="16"/>
      <c r="D1464" s="16"/>
      <c r="E1464" s="16"/>
      <c r="F1464" s="16"/>
      <c r="G1464" s="16"/>
      <c r="H1464" s="16"/>
      <c r="I1464" s="16"/>
      <c r="J1464" s="16"/>
      <c r="K1464" s="16"/>
      <c r="L1464" s="16"/>
      <c r="M1464" s="16"/>
      <c r="N1464" s="16"/>
      <c r="O1464" s="84"/>
      <c r="P1464" s="54"/>
      <c r="Q1464" s="54"/>
      <c r="R1464" s="55"/>
      <c r="S1464" s="55"/>
      <c r="T1464" s="32"/>
      <c r="U1464" s="32"/>
      <c r="V1464" s="32"/>
      <c r="W1464" s="32"/>
      <c r="X1464" s="32"/>
      <c r="Y1464" s="32"/>
      <c r="Z1464" s="32"/>
      <c r="AA1464" s="32"/>
      <c r="AB1464" s="32"/>
      <c r="AC1464" s="32"/>
    </row>
    <row r="1465">
      <c r="A1465" s="32"/>
      <c r="B1465" s="16"/>
      <c r="C1465" s="16"/>
      <c r="D1465" s="16"/>
      <c r="E1465" s="16"/>
      <c r="F1465" s="16"/>
      <c r="G1465" s="16"/>
      <c r="H1465" s="16"/>
      <c r="I1465" s="16"/>
      <c r="J1465" s="16"/>
      <c r="K1465" s="16"/>
      <c r="L1465" s="16"/>
      <c r="M1465" s="16"/>
      <c r="N1465" s="16"/>
      <c r="O1465" s="84"/>
      <c r="P1465" s="54"/>
      <c r="Q1465" s="54"/>
      <c r="R1465" s="55"/>
      <c r="S1465" s="55"/>
      <c r="T1465" s="32"/>
      <c r="U1465" s="32"/>
      <c r="V1465" s="32"/>
      <c r="W1465" s="32"/>
      <c r="X1465" s="32"/>
      <c r="Y1465" s="32"/>
      <c r="Z1465" s="32"/>
      <c r="AA1465" s="32"/>
      <c r="AB1465" s="32"/>
      <c r="AC1465" s="32"/>
    </row>
    <row r="1466">
      <c r="A1466" s="32"/>
      <c r="B1466" s="16"/>
      <c r="C1466" s="16"/>
      <c r="D1466" s="16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84"/>
      <c r="P1466" s="54"/>
      <c r="Q1466" s="54"/>
      <c r="R1466" s="55"/>
      <c r="S1466" s="55"/>
      <c r="T1466" s="32"/>
      <c r="U1466" s="32"/>
      <c r="V1466" s="32"/>
      <c r="W1466" s="32"/>
      <c r="X1466" s="32"/>
      <c r="Y1466" s="32"/>
      <c r="Z1466" s="32"/>
      <c r="AA1466" s="32"/>
      <c r="AB1466" s="32"/>
      <c r="AC1466" s="32"/>
    </row>
    <row r="1467">
      <c r="A1467" s="32"/>
      <c r="B1467" s="16"/>
      <c r="C1467" s="16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84"/>
      <c r="P1467" s="54"/>
      <c r="Q1467" s="54"/>
      <c r="R1467" s="55"/>
      <c r="S1467" s="55"/>
      <c r="T1467" s="32"/>
      <c r="U1467" s="32"/>
      <c r="V1467" s="32"/>
      <c r="W1467" s="32"/>
      <c r="X1467" s="32"/>
      <c r="Y1467" s="32"/>
      <c r="Z1467" s="32"/>
      <c r="AA1467" s="32"/>
      <c r="AB1467" s="32"/>
      <c r="AC1467" s="32"/>
    </row>
    <row r="1468">
      <c r="A1468" s="32"/>
      <c r="B1468" s="16"/>
      <c r="C1468" s="16"/>
      <c r="D1468" s="16"/>
      <c r="E1468" s="16"/>
      <c r="F1468" s="16"/>
      <c r="G1468" s="16"/>
      <c r="H1468" s="16"/>
      <c r="I1468" s="16"/>
      <c r="J1468" s="16"/>
      <c r="K1468" s="16"/>
      <c r="L1468" s="16"/>
      <c r="M1468" s="16"/>
      <c r="N1468" s="16"/>
      <c r="O1468" s="84"/>
      <c r="P1468" s="54"/>
      <c r="Q1468" s="54"/>
      <c r="R1468" s="55"/>
      <c r="S1468" s="55"/>
      <c r="T1468" s="32"/>
      <c r="U1468" s="32"/>
      <c r="V1468" s="32"/>
      <c r="W1468" s="32"/>
      <c r="X1468" s="32"/>
      <c r="Y1468" s="32"/>
      <c r="Z1468" s="32"/>
      <c r="AA1468" s="32"/>
      <c r="AB1468" s="32"/>
      <c r="AC1468" s="32"/>
    </row>
    <row r="1469">
      <c r="A1469" s="32"/>
      <c r="B1469" s="16"/>
      <c r="C1469" s="16"/>
      <c r="D1469" s="16"/>
      <c r="E1469" s="16"/>
      <c r="F1469" s="16"/>
      <c r="G1469" s="16"/>
      <c r="H1469" s="16"/>
      <c r="I1469" s="16"/>
      <c r="J1469" s="16"/>
      <c r="K1469" s="16"/>
      <c r="L1469" s="16"/>
      <c r="M1469" s="16"/>
      <c r="N1469" s="16"/>
      <c r="O1469" s="84"/>
      <c r="P1469" s="54"/>
      <c r="Q1469" s="54"/>
      <c r="R1469" s="55"/>
      <c r="S1469" s="55"/>
      <c r="T1469" s="32"/>
      <c r="U1469" s="32"/>
      <c r="V1469" s="32"/>
      <c r="W1469" s="32"/>
      <c r="X1469" s="32"/>
      <c r="Y1469" s="32"/>
      <c r="Z1469" s="32"/>
      <c r="AA1469" s="32"/>
      <c r="AB1469" s="32"/>
      <c r="AC1469" s="32"/>
    </row>
    <row r="1470">
      <c r="A1470" s="32"/>
      <c r="B1470" s="16"/>
      <c r="C1470" s="16"/>
      <c r="D1470" s="16"/>
      <c r="E1470" s="16"/>
      <c r="F1470" s="16"/>
      <c r="G1470" s="16"/>
      <c r="H1470" s="16"/>
      <c r="I1470" s="16"/>
      <c r="J1470" s="16"/>
      <c r="K1470" s="16"/>
      <c r="L1470" s="16"/>
      <c r="M1470" s="16"/>
      <c r="N1470" s="16"/>
      <c r="O1470" s="84"/>
      <c r="P1470" s="54"/>
      <c r="Q1470" s="54"/>
      <c r="R1470" s="55"/>
      <c r="S1470" s="55"/>
      <c r="T1470" s="32"/>
      <c r="U1470" s="32"/>
      <c r="V1470" s="32"/>
      <c r="W1470" s="32"/>
      <c r="X1470" s="32"/>
      <c r="Y1470" s="32"/>
      <c r="Z1470" s="32"/>
      <c r="AA1470" s="32"/>
      <c r="AB1470" s="32"/>
      <c r="AC1470" s="32"/>
    </row>
    <row r="1471">
      <c r="A1471" s="32"/>
      <c r="B1471" s="16"/>
      <c r="C1471" s="16"/>
      <c r="D1471" s="16"/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  <c r="O1471" s="84"/>
      <c r="P1471" s="54"/>
      <c r="Q1471" s="54"/>
      <c r="R1471" s="55"/>
      <c r="S1471" s="55"/>
      <c r="T1471" s="32"/>
      <c r="U1471" s="32"/>
      <c r="V1471" s="32"/>
      <c r="W1471" s="32"/>
      <c r="X1471" s="32"/>
      <c r="Y1471" s="32"/>
      <c r="Z1471" s="32"/>
      <c r="AA1471" s="32"/>
      <c r="AB1471" s="32"/>
      <c r="AC1471" s="32"/>
    </row>
    <row r="1472">
      <c r="A1472" s="32"/>
      <c r="B1472" s="16"/>
      <c r="C1472" s="16"/>
      <c r="D1472" s="16"/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  <c r="O1472" s="84"/>
      <c r="P1472" s="54"/>
      <c r="Q1472" s="54"/>
      <c r="R1472" s="55"/>
      <c r="S1472" s="55"/>
      <c r="T1472" s="32"/>
      <c r="U1472" s="32"/>
      <c r="V1472" s="32"/>
      <c r="W1472" s="32"/>
      <c r="X1472" s="32"/>
      <c r="Y1472" s="32"/>
      <c r="Z1472" s="32"/>
      <c r="AA1472" s="32"/>
      <c r="AB1472" s="32"/>
      <c r="AC1472" s="32"/>
    </row>
    <row r="1473">
      <c r="A1473" s="32"/>
      <c r="B1473" s="16"/>
      <c r="C1473" s="16"/>
      <c r="D1473" s="16"/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  <c r="O1473" s="84"/>
      <c r="P1473" s="54"/>
      <c r="Q1473" s="54"/>
      <c r="R1473" s="55"/>
      <c r="S1473" s="55"/>
      <c r="T1473" s="32"/>
      <c r="U1473" s="32"/>
      <c r="V1473" s="32"/>
      <c r="W1473" s="32"/>
      <c r="X1473" s="32"/>
      <c r="Y1473" s="32"/>
      <c r="Z1473" s="32"/>
      <c r="AA1473" s="32"/>
      <c r="AB1473" s="32"/>
      <c r="AC1473" s="32"/>
    </row>
    <row r="1474">
      <c r="A1474" s="32"/>
      <c r="B1474" s="16"/>
      <c r="C1474" s="16"/>
      <c r="D1474" s="16"/>
      <c r="E1474" s="16"/>
      <c r="F1474" s="16"/>
      <c r="G1474" s="16"/>
      <c r="H1474" s="16"/>
      <c r="I1474" s="16"/>
      <c r="J1474" s="16"/>
      <c r="K1474" s="16"/>
      <c r="L1474" s="16"/>
      <c r="M1474" s="16"/>
      <c r="N1474" s="16"/>
      <c r="O1474" s="84"/>
      <c r="P1474" s="54"/>
      <c r="Q1474" s="54"/>
      <c r="R1474" s="55"/>
      <c r="S1474" s="55"/>
      <c r="T1474" s="32"/>
      <c r="U1474" s="32"/>
      <c r="V1474" s="32"/>
      <c r="W1474" s="32"/>
      <c r="X1474" s="32"/>
      <c r="Y1474" s="32"/>
      <c r="Z1474" s="32"/>
      <c r="AA1474" s="32"/>
      <c r="AB1474" s="32"/>
      <c r="AC1474" s="32"/>
    </row>
    <row r="1475">
      <c r="A1475" s="32"/>
      <c r="B1475" s="16"/>
      <c r="C1475" s="16"/>
      <c r="D1475" s="16"/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  <c r="O1475" s="84"/>
      <c r="P1475" s="54"/>
      <c r="Q1475" s="54"/>
      <c r="R1475" s="55"/>
      <c r="S1475" s="55"/>
      <c r="T1475" s="32"/>
      <c r="U1475" s="32"/>
      <c r="V1475" s="32"/>
      <c r="W1475" s="32"/>
      <c r="X1475" s="32"/>
      <c r="Y1475" s="32"/>
      <c r="Z1475" s="32"/>
      <c r="AA1475" s="32"/>
      <c r="AB1475" s="32"/>
      <c r="AC1475" s="32"/>
    </row>
    <row r="1476">
      <c r="A1476" s="32"/>
      <c r="B1476" s="16"/>
      <c r="C1476" s="16"/>
      <c r="D1476" s="16"/>
      <c r="E1476" s="16"/>
      <c r="F1476" s="16"/>
      <c r="G1476" s="16"/>
      <c r="H1476" s="16"/>
      <c r="I1476" s="16"/>
      <c r="J1476" s="16"/>
      <c r="K1476" s="16"/>
      <c r="L1476" s="16"/>
      <c r="M1476" s="16"/>
      <c r="N1476" s="16"/>
      <c r="O1476" s="84"/>
      <c r="P1476" s="54"/>
      <c r="Q1476" s="54"/>
      <c r="R1476" s="55"/>
      <c r="S1476" s="55"/>
      <c r="T1476" s="32"/>
      <c r="U1476" s="32"/>
      <c r="V1476" s="32"/>
      <c r="W1476" s="32"/>
      <c r="X1476" s="32"/>
      <c r="Y1476" s="32"/>
      <c r="Z1476" s="32"/>
      <c r="AA1476" s="32"/>
      <c r="AB1476" s="32"/>
      <c r="AC1476" s="32"/>
    </row>
    <row r="1477">
      <c r="A1477" s="32"/>
      <c r="B1477" s="16"/>
      <c r="C1477" s="16"/>
      <c r="D1477" s="16"/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  <c r="O1477" s="84"/>
      <c r="P1477" s="54"/>
      <c r="Q1477" s="54"/>
      <c r="R1477" s="55"/>
      <c r="S1477" s="55"/>
      <c r="T1477" s="32"/>
      <c r="U1477" s="32"/>
      <c r="V1477" s="32"/>
      <c r="W1477" s="32"/>
      <c r="X1477" s="32"/>
      <c r="Y1477" s="32"/>
      <c r="Z1477" s="32"/>
      <c r="AA1477" s="32"/>
      <c r="AB1477" s="32"/>
      <c r="AC1477" s="32"/>
    </row>
    <row r="1478">
      <c r="A1478" s="32"/>
      <c r="B1478" s="16"/>
      <c r="C1478" s="16"/>
      <c r="D1478" s="16"/>
      <c r="E1478" s="16"/>
      <c r="F1478" s="16"/>
      <c r="G1478" s="16"/>
      <c r="H1478" s="16"/>
      <c r="I1478" s="16"/>
      <c r="J1478" s="16"/>
      <c r="K1478" s="16"/>
      <c r="L1478" s="16"/>
      <c r="M1478" s="16"/>
      <c r="N1478" s="16"/>
      <c r="O1478" s="84"/>
      <c r="P1478" s="54"/>
      <c r="Q1478" s="54"/>
      <c r="R1478" s="55"/>
      <c r="S1478" s="55"/>
      <c r="T1478" s="32"/>
      <c r="U1478" s="32"/>
      <c r="V1478" s="32"/>
      <c r="W1478" s="32"/>
      <c r="X1478" s="32"/>
      <c r="Y1478" s="32"/>
      <c r="Z1478" s="32"/>
      <c r="AA1478" s="32"/>
      <c r="AB1478" s="32"/>
      <c r="AC1478" s="32"/>
    </row>
    <row r="1479">
      <c r="A1479" s="32"/>
      <c r="B1479" s="16"/>
      <c r="C1479" s="16"/>
      <c r="D1479" s="16"/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  <c r="O1479" s="84"/>
      <c r="P1479" s="54"/>
      <c r="Q1479" s="54"/>
      <c r="R1479" s="55"/>
      <c r="S1479" s="55"/>
      <c r="T1479" s="32"/>
      <c r="U1479" s="32"/>
      <c r="V1479" s="32"/>
      <c r="W1479" s="32"/>
      <c r="X1479" s="32"/>
      <c r="Y1479" s="32"/>
      <c r="Z1479" s="32"/>
      <c r="AA1479" s="32"/>
      <c r="AB1479" s="32"/>
      <c r="AC1479" s="32"/>
    </row>
    <row r="1480">
      <c r="A1480" s="32"/>
      <c r="B1480" s="16"/>
      <c r="C1480" s="16"/>
      <c r="D1480" s="16"/>
      <c r="E1480" s="16"/>
      <c r="F1480" s="16"/>
      <c r="G1480" s="16"/>
      <c r="H1480" s="16"/>
      <c r="I1480" s="16"/>
      <c r="J1480" s="16"/>
      <c r="K1480" s="16"/>
      <c r="L1480" s="16"/>
      <c r="M1480" s="16"/>
      <c r="N1480" s="16"/>
      <c r="O1480" s="84"/>
      <c r="P1480" s="54"/>
      <c r="Q1480" s="54"/>
      <c r="R1480" s="55"/>
      <c r="S1480" s="55"/>
      <c r="T1480" s="32"/>
      <c r="U1480" s="32"/>
      <c r="V1480" s="32"/>
      <c r="W1480" s="32"/>
      <c r="X1480" s="32"/>
      <c r="Y1480" s="32"/>
      <c r="Z1480" s="32"/>
      <c r="AA1480" s="32"/>
      <c r="AB1480" s="32"/>
      <c r="AC1480" s="32"/>
    </row>
    <row r="1481">
      <c r="A1481" s="32"/>
      <c r="B1481" s="16"/>
      <c r="C1481" s="16"/>
      <c r="D1481" s="16"/>
      <c r="E1481" s="16"/>
      <c r="F1481" s="16"/>
      <c r="G1481" s="16"/>
      <c r="H1481" s="16"/>
      <c r="I1481" s="16"/>
      <c r="J1481" s="16"/>
      <c r="K1481" s="16"/>
      <c r="L1481" s="16"/>
      <c r="M1481" s="16"/>
      <c r="N1481" s="16"/>
      <c r="O1481" s="84"/>
      <c r="P1481" s="54"/>
      <c r="Q1481" s="54"/>
      <c r="R1481" s="55"/>
      <c r="S1481" s="55"/>
      <c r="T1481" s="32"/>
      <c r="U1481" s="32"/>
      <c r="V1481" s="32"/>
      <c r="W1481" s="32"/>
      <c r="X1481" s="32"/>
      <c r="Y1481" s="32"/>
      <c r="Z1481" s="32"/>
      <c r="AA1481" s="32"/>
      <c r="AB1481" s="32"/>
      <c r="AC1481" s="32"/>
    </row>
    <row r="1482">
      <c r="A1482" s="32"/>
      <c r="B1482" s="16"/>
      <c r="C1482" s="16"/>
      <c r="D1482" s="16"/>
      <c r="E1482" s="16"/>
      <c r="F1482" s="16"/>
      <c r="G1482" s="16"/>
      <c r="H1482" s="16"/>
      <c r="I1482" s="16"/>
      <c r="J1482" s="16"/>
      <c r="K1482" s="16"/>
      <c r="L1482" s="16"/>
      <c r="M1482" s="16"/>
      <c r="N1482" s="16"/>
      <c r="O1482" s="84"/>
      <c r="P1482" s="54"/>
      <c r="Q1482" s="54"/>
      <c r="R1482" s="55"/>
      <c r="S1482" s="55"/>
      <c r="T1482" s="32"/>
      <c r="U1482" s="32"/>
      <c r="V1482" s="32"/>
      <c r="W1482" s="32"/>
      <c r="X1482" s="32"/>
      <c r="Y1482" s="32"/>
      <c r="Z1482" s="32"/>
      <c r="AA1482" s="32"/>
      <c r="AB1482" s="32"/>
      <c r="AC1482" s="32"/>
    </row>
    <row r="1483">
      <c r="A1483" s="32"/>
      <c r="B1483" s="16"/>
      <c r="C1483" s="16"/>
      <c r="D1483" s="16"/>
      <c r="E1483" s="16"/>
      <c r="F1483" s="16"/>
      <c r="G1483" s="16"/>
      <c r="H1483" s="16"/>
      <c r="I1483" s="16"/>
      <c r="J1483" s="16"/>
      <c r="K1483" s="16"/>
      <c r="L1483" s="16"/>
      <c r="M1483" s="16"/>
      <c r="N1483" s="16"/>
      <c r="O1483" s="84"/>
      <c r="P1483" s="54"/>
      <c r="Q1483" s="54"/>
      <c r="R1483" s="55"/>
      <c r="S1483" s="55"/>
      <c r="T1483" s="32"/>
      <c r="U1483" s="32"/>
      <c r="V1483" s="32"/>
      <c r="W1483" s="32"/>
      <c r="X1483" s="32"/>
      <c r="Y1483" s="32"/>
      <c r="Z1483" s="32"/>
      <c r="AA1483" s="32"/>
      <c r="AB1483" s="32"/>
      <c r="AC1483" s="32"/>
    </row>
    <row r="1484">
      <c r="A1484" s="32"/>
      <c r="B1484" s="16"/>
      <c r="C1484" s="16"/>
      <c r="D1484" s="16"/>
      <c r="E1484" s="16"/>
      <c r="F1484" s="16"/>
      <c r="G1484" s="16"/>
      <c r="H1484" s="16"/>
      <c r="I1484" s="16"/>
      <c r="J1484" s="16"/>
      <c r="K1484" s="16"/>
      <c r="L1484" s="16"/>
      <c r="M1484" s="16"/>
      <c r="N1484" s="16"/>
      <c r="O1484" s="84"/>
      <c r="P1484" s="54"/>
      <c r="Q1484" s="54"/>
      <c r="R1484" s="55"/>
      <c r="S1484" s="55"/>
      <c r="T1484" s="32"/>
      <c r="U1484" s="32"/>
      <c r="V1484" s="32"/>
      <c r="W1484" s="32"/>
      <c r="X1484" s="32"/>
      <c r="Y1484" s="32"/>
      <c r="Z1484" s="32"/>
      <c r="AA1484" s="32"/>
      <c r="AB1484" s="32"/>
      <c r="AC1484" s="32"/>
    </row>
    <row r="1485">
      <c r="A1485" s="32"/>
      <c r="B1485" s="16"/>
      <c r="C1485" s="16"/>
      <c r="D1485" s="16"/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  <c r="O1485" s="84"/>
      <c r="P1485" s="54"/>
      <c r="Q1485" s="54"/>
      <c r="R1485" s="55"/>
      <c r="S1485" s="55"/>
      <c r="T1485" s="32"/>
      <c r="U1485" s="32"/>
      <c r="V1485" s="32"/>
      <c r="W1485" s="32"/>
      <c r="X1485" s="32"/>
      <c r="Y1485" s="32"/>
      <c r="Z1485" s="32"/>
      <c r="AA1485" s="32"/>
      <c r="AB1485" s="32"/>
      <c r="AC1485" s="32"/>
    </row>
    <row r="1486">
      <c r="A1486" s="32"/>
      <c r="B1486" s="16"/>
      <c r="C1486" s="16"/>
      <c r="D1486" s="16"/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  <c r="O1486" s="84"/>
      <c r="P1486" s="54"/>
      <c r="Q1486" s="54"/>
      <c r="R1486" s="55"/>
      <c r="S1486" s="55"/>
      <c r="T1486" s="32"/>
      <c r="U1486" s="32"/>
      <c r="V1486" s="32"/>
      <c r="W1486" s="32"/>
      <c r="X1486" s="32"/>
      <c r="Y1486" s="32"/>
      <c r="Z1486" s="32"/>
      <c r="AA1486" s="32"/>
      <c r="AB1486" s="32"/>
      <c r="AC1486" s="32"/>
    </row>
    <row r="1487">
      <c r="A1487" s="32"/>
      <c r="B1487" s="16"/>
      <c r="C1487" s="16"/>
      <c r="D1487" s="16"/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  <c r="O1487" s="84"/>
      <c r="P1487" s="54"/>
      <c r="Q1487" s="54"/>
      <c r="R1487" s="55"/>
      <c r="S1487" s="55"/>
      <c r="T1487" s="32"/>
      <c r="U1487" s="32"/>
      <c r="V1487" s="32"/>
      <c r="W1487" s="32"/>
      <c r="X1487" s="32"/>
      <c r="Y1487" s="32"/>
      <c r="Z1487" s="32"/>
      <c r="AA1487" s="32"/>
      <c r="AB1487" s="32"/>
      <c r="AC1487" s="32"/>
    </row>
    <row r="1488">
      <c r="A1488" s="32"/>
      <c r="B1488" s="16"/>
      <c r="C1488" s="16"/>
      <c r="D1488" s="16"/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  <c r="O1488" s="84"/>
      <c r="P1488" s="54"/>
      <c r="Q1488" s="54"/>
      <c r="R1488" s="55"/>
      <c r="S1488" s="55"/>
      <c r="T1488" s="32"/>
      <c r="U1488" s="32"/>
      <c r="V1488" s="32"/>
      <c r="W1488" s="32"/>
      <c r="X1488" s="32"/>
      <c r="Y1488" s="32"/>
      <c r="Z1488" s="32"/>
      <c r="AA1488" s="32"/>
      <c r="AB1488" s="32"/>
      <c r="AC1488" s="32"/>
    </row>
    <row r="1489">
      <c r="A1489" s="32"/>
      <c r="B1489" s="16"/>
      <c r="C1489" s="16"/>
      <c r="D1489" s="16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84"/>
      <c r="P1489" s="54"/>
      <c r="Q1489" s="54"/>
      <c r="R1489" s="55"/>
      <c r="S1489" s="55"/>
      <c r="T1489" s="32"/>
      <c r="U1489" s="32"/>
      <c r="V1489" s="32"/>
      <c r="W1489" s="32"/>
      <c r="X1489" s="32"/>
      <c r="Y1489" s="32"/>
      <c r="Z1489" s="32"/>
      <c r="AA1489" s="32"/>
      <c r="AB1489" s="32"/>
      <c r="AC1489" s="32"/>
    </row>
    <row r="1490">
      <c r="A1490" s="32"/>
      <c r="B1490" s="16"/>
      <c r="C1490" s="16"/>
      <c r="D1490" s="16"/>
      <c r="E1490" s="16"/>
      <c r="F1490" s="16"/>
      <c r="G1490" s="16"/>
      <c r="H1490" s="16"/>
      <c r="I1490" s="16"/>
      <c r="J1490" s="16"/>
      <c r="K1490" s="16"/>
      <c r="L1490" s="16"/>
      <c r="M1490" s="16"/>
      <c r="N1490" s="16"/>
      <c r="O1490" s="84"/>
      <c r="P1490" s="54"/>
      <c r="Q1490" s="54"/>
      <c r="R1490" s="55"/>
      <c r="S1490" s="55"/>
      <c r="T1490" s="32"/>
      <c r="U1490" s="32"/>
      <c r="V1490" s="32"/>
      <c r="W1490" s="32"/>
      <c r="X1490" s="32"/>
      <c r="Y1490" s="32"/>
      <c r="Z1490" s="32"/>
      <c r="AA1490" s="32"/>
      <c r="AB1490" s="32"/>
      <c r="AC1490" s="32"/>
    </row>
    <row r="1491">
      <c r="A1491" s="32"/>
      <c r="B1491" s="16"/>
      <c r="C1491" s="16"/>
      <c r="D1491" s="16"/>
      <c r="E1491" s="16"/>
      <c r="F1491" s="16"/>
      <c r="G1491" s="16"/>
      <c r="H1491" s="16"/>
      <c r="I1491" s="16"/>
      <c r="J1491" s="16"/>
      <c r="K1491" s="16"/>
      <c r="L1491" s="16"/>
      <c r="M1491" s="16"/>
      <c r="N1491" s="16"/>
      <c r="O1491" s="84"/>
      <c r="P1491" s="54"/>
      <c r="Q1491" s="54"/>
      <c r="R1491" s="55"/>
      <c r="S1491" s="55"/>
      <c r="T1491" s="32"/>
      <c r="U1491" s="32"/>
      <c r="V1491" s="32"/>
      <c r="W1491" s="32"/>
      <c r="X1491" s="32"/>
      <c r="Y1491" s="32"/>
      <c r="Z1491" s="32"/>
      <c r="AA1491" s="32"/>
      <c r="AB1491" s="32"/>
      <c r="AC1491" s="32"/>
    </row>
    <row r="1492">
      <c r="A1492" s="32"/>
      <c r="B1492" s="16"/>
      <c r="C1492" s="16"/>
      <c r="D1492" s="16"/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  <c r="O1492" s="84"/>
      <c r="P1492" s="54"/>
      <c r="Q1492" s="54"/>
      <c r="R1492" s="55"/>
      <c r="S1492" s="55"/>
      <c r="T1492" s="32"/>
      <c r="U1492" s="32"/>
      <c r="V1492" s="32"/>
      <c r="W1492" s="32"/>
      <c r="X1492" s="32"/>
      <c r="Y1492" s="32"/>
      <c r="Z1492" s="32"/>
      <c r="AA1492" s="32"/>
      <c r="AB1492" s="32"/>
      <c r="AC1492" s="32"/>
    </row>
    <row r="1493">
      <c r="A1493" s="32"/>
      <c r="B1493" s="16"/>
      <c r="C1493" s="16"/>
      <c r="D1493" s="16"/>
      <c r="E1493" s="16"/>
      <c r="F1493" s="16"/>
      <c r="G1493" s="16"/>
      <c r="H1493" s="16"/>
      <c r="I1493" s="16"/>
      <c r="J1493" s="16"/>
      <c r="K1493" s="16"/>
      <c r="L1493" s="16"/>
      <c r="M1493" s="16"/>
      <c r="N1493" s="16"/>
      <c r="O1493" s="84"/>
      <c r="P1493" s="54"/>
      <c r="Q1493" s="54"/>
      <c r="R1493" s="55"/>
      <c r="S1493" s="55"/>
      <c r="T1493" s="32"/>
      <c r="U1493" s="32"/>
      <c r="V1493" s="32"/>
      <c r="W1493" s="32"/>
      <c r="X1493" s="32"/>
      <c r="Y1493" s="32"/>
      <c r="Z1493" s="32"/>
      <c r="AA1493" s="32"/>
      <c r="AB1493" s="32"/>
      <c r="AC1493" s="32"/>
    </row>
    <row r="1494">
      <c r="A1494" s="32"/>
      <c r="B1494" s="16"/>
      <c r="C1494" s="16"/>
      <c r="D1494" s="16"/>
      <c r="E1494" s="16"/>
      <c r="F1494" s="16"/>
      <c r="G1494" s="16"/>
      <c r="H1494" s="16"/>
      <c r="I1494" s="16"/>
      <c r="J1494" s="16"/>
      <c r="K1494" s="16"/>
      <c r="L1494" s="16"/>
      <c r="M1494" s="16"/>
      <c r="N1494" s="16"/>
      <c r="O1494" s="84"/>
      <c r="P1494" s="54"/>
      <c r="Q1494" s="54"/>
      <c r="R1494" s="55"/>
      <c r="S1494" s="55"/>
      <c r="T1494" s="32"/>
      <c r="U1494" s="32"/>
      <c r="V1494" s="32"/>
      <c r="W1494" s="32"/>
      <c r="X1494" s="32"/>
      <c r="Y1494" s="32"/>
      <c r="Z1494" s="32"/>
      <c r="AA1494" s="32"/>
      <c r="AB1494" s="32"/>
      <c r="AC1494" s="32"/>
    </row>
    <row r="1495">
      <c r="A1495" s="32"/>
      <c r="B1495" s="16"/>
      <c r="C1495" s="16"/>
      <c r="D1495" s="16"/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  <c r="O1495" s="84"/>
      <c r="P1495" s="54"/>
      <c r="Q1495" s="54"/>
      <c r="R1495" s="55"/>
      <c r="S1495" s="55"/>
      <c r="T1495" s="32"/>
      <c r="U1495" s="32"/>
      <c r="V1495" s="32"/>
      <c r="W1495" s="32"/>
      <c r="X1495" s="32"/>
      <c r="Y1495" s="32"/>
      <c r="Z1495" s="32"/>
      <c r="AA1495" s="32"/>
      <c r="AB1495" s="32"/>
      <c r="AC1495" s="32"/>
    </row>
    <row r="1496">
      <c r="A1496" s="32"/>
      <c r="B1496" s="16"/>
      <c r="C1496" s="16"/>
      <c r="D1496" s="16"/>
      <c r="E1496" s="16"/>
      <c r="F1496" s="16"/>
      <c r="G1496" s="16"/>
      <c r="H1496" s="16"/>
      <c r="I1496" s="16"/>
      <c r="J1496" s="16"/>
      <c r="K1496" s="16"/>
      <c r="L1496" s="16"/>
      <c r="M1496" s="16"/>
      <c r="N1496" s="16"/>
      <c r="O1496" s="84"/>
      <c r="P1496" s="54"/>
      <c r="Q1496" s="54"/>
      <c r="R1496" s="55"/>
      <c r="S1496" s="55"/>
      <c r="T1496" s="32"/>
      <c r="U1496" s="32"/>
      <c r="V1496" s="32"/>
      <c r="W1496" s="32"/>
      <c r="X1496" s="32"/>
      <c r="Y1496" s="32"/>
      <c r="Z1496" s="32"/>
      <c r="AA1496" s="32"/>
      <c r="AB1496" s="32"/>
      <c r="AC1496" s="32"/>
    </row>
    <row r="1497">
      <c r="A1497" s="32"/>
      <c r="B1497" s="16"/>
      <c r="C1497" s="16"/>
      <c r="D1497" s="16"/>
      <c r="E1497" s="16"/>
      <c r="F1497" s="16"/>
      <c r="G1497" s="16"/>
      <c r="H1497" s="16"/>
      <c r="I1497" s="16"/>
      <c r="J1497" s="16"/>
      <c r="K1497" s="16"/>
      <c r="L1497" s="16"/>
      <c r="M1497" s="16"/>
      <c r="N1497" s="16"/>
      <c r="O1497" s="84"/>
      <c r="P1497" s="54"/>
      <c r="Q1497" s="54"/>
      <c r="R1497" s="55"/>
      <c r="S1497" s="55"/>
      <c r="T1497" s="32"/>
      <c r="U1497" s="32"/>
      <c r="V1497" s="32"/>
      <c r="W1497" s="32"/>
      <c r="X1497" s="32"/>
      <c r="Y1497" s="32"/>
      <c r="Z1497" s="32"/>
      <c r="AA1497" s="32"/>
      <c r="AB1497" s="32"/>
      <c r="AC1497" s="32"/>
    </row>
    <row r="1498">
      <c r="A1498" s="32"/>
      <c r="B1498" s="16"/>
      <c r="C1498" s="16"/>
      <c r="D1498" s="16"/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  <c r="O1498" s="84"/>
      <c r="P1498" s="54"/>
      <c r="Q1498" s="54"/>
      <c r="R1498" s="55"/>
      <c r="S1498" s="55"/>
      <c r="T1498" s="32"/>
      <c r="U1498" s="32"/>
      <c r="V1498" s="32"/>
      <c r="W1498" s="32"/>
      <c r="X1498" s="32"/>
      <c r="Y1498" s="32"/>
      <c r="Z1498" s="32"/>
      <c r="AA1498" s="32"/>
      <c r="AB1498" s="32"/>
      <c r="AC1498" s="32"/>
    </row>
    <row r="1499">
      <c r="A1499" s="32"/>
      <c r="B1499" s="16"/>
      <c r="C1499" s="16"/>
      <c r="D1499" s="16"/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  <c r="O1499" s="84"/>
      <c r="P1499" s="54"/>
      <c r="Q1499" s="54"/>
      <c r="R1499" s="55"/>
      <c r="S1499" s="55"/>
      <c r="T1499" s="32"/>
      <c r="U1499" s="32"/>
      <c r="V1499" s="32"/>
      <c r="W1499" s="32"/>
      <c r="X1499" s="32"/>
      <c r="Y1499" s="32"/>
      <c r="Z1499" s="32"/>
      <c r="AA1499" s="32"/>
      <c r="AB1499" s="32"/>
      <c r="AC1499" s="32"/>
    </row>
    <row r="1500">
      <c r="A1500" s="32"/>
      <c r="B1500" s="16"/>
      <c r="C1500" s="16"/>
      <c r="D1500" s="16"/>
      <c r="E1500" s="16"/>
      <c r="F1500" s="16"/>
      <c r="G1500" s="16"/>
      <c r="H1500" s="16"/>
      <c r="I1500" s="16"/>
      <c r="J1500" s="16"/>
      <c r="K1500" s="16"/>
      <c r="L1500" s="16"/>
      <c r="M1500" s="16"/>
      <c r="N1500" s="16"/>
      <c r="O1500" s="84"/>
      <c r="P1500" s="54"/>
      <c r="Q1500" s="54"/>
      <c r="R1500" s="55"/>
      <c r="S1500" s="55"/>
      <c r="T1500" s="32"/>
      <c r="U1500" s="32"/>
      <c r="V1500" s="32"/>
      <c r="W1500" s="32"/>
      <c r="X1500" s="32"/>
      <c r="Y1500" s="32"/>
      <c r="Z1500" s="32"/>
      <c r="AA1500" s="32"/>
      <c r="AB1500" s="32"/>
      <c r="AC1500" s="32"/>
    </row>
    <row r="1501">
      <c r="A1501" s="32"/>
      <c r="B1501" s="16"/>
      <c r="C1501" s="16"/>
      <c r="D1501" s="16"/>
      <c r="E1501" s="16"/>
      <c r="F1501" s="16"/>
      <c r="G1501" s="16"/>
      <c r="H1501" s="16"/>
      <c r="I1501" s="16"/>
      <c r="J1501" s="16"/>
      <c r="K1501" s="16"/>
      <c r="L1501" s="16"/>
      <c r="M1501" s="16"/>
      <c r="N1501" s="16"/>
      <c r="O1501" s="84"/>
      <c r="P1501" s="54"/>
      <c r="Q1501" s="54"/>
      <c r="R1501" s="55"/>
      <c r="S1501" s="55"/>
      <c r="T1501" s="32"/>
      <c r="U1501" s="32"/>
      <c r="V1501" s="32"/>
      <c r="W1501" s="32"/>
      <c r="X1501" s="32"/>
      <c r="Y1501" s="32"/>
      <c r="Z1501" s="32"/>
      <c r="AA1501" s="32"/>
      <c r="AB1501" s="32"/>
      <c r="AC1501" s="32"/>
    </row>
    <row r="1502">
      <c r="A1502" s="32"/>
      <c r="B1502" s="16"/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84"/>
      <c r="P1502" s="54"/>
      <c r="Q1502" s="54"/>
      <c r="R1502" s="55"/>
      <c r="S1502" s="55"/>
      <c r="T1502" s="32"/>
      <c r="U1502" s="32"/>
      <c r="V1502" s="32"/>
      <c r="W1502" s="32"/>
      <c r="X1502" s="32"/>
      <c r="Y1502" s="32"/>
      <c r="Z1502" s="32"/>
      <c r="AA1502" s="32"/>
      <c r="AB1502" s="32"/>
      <c r="AC1502" s="32"/>
    </row>
    <row r="1503">
      <c r="A1503" s="32"/>
      <c r="B1503" s="16"/>
      <c r="C1503" s="16"/>
      <c r="D1503" s="16"/>
      <c r="E1503" s="16"/>
      <c r="F1503" s="16"/>
      <c r="G1503" s="16"/>
      <c r="H1503" s="16"/>
      <c r="I1503" s="16"/>
      <c r="J1503" s="16"/>
      <c r="K1503" s="16"/>
      <c r="L1503" s="16"/>
      <c r="M1503" s="16"/>
      <c r="N1503" s="16"/>
      <c r="O1503" s="84"/>
      <c r="P1503" s="54"/>
      <c r="Q1503" s="54"/>
      <c r="R1503" s="55"/>
      <c r="S1503" s="55"/>
      <c r="T1503" s="32"/>
      <c r="U1503" s="32"/>
      <c r="V1503" s="32"/>
      <c r="W1503" s="32"/>
      <c r="X1503" s="32"/>
      <c r="Y1503" s="32"/>
      <c r="Z1503" s="32"/>
      <c r="AA1503" s="32"/>
      <c r="AB1503" s="32"/>
      <c r="AC1503" s="32"/>
    </row>
    <row r="1504">
      <c r="A1504" s="32"/>
      <c r="B1504" s="16"/>
      <c r="C1504" s="16"/>
      <c r="D1504" s="16"/>
      <c r="E1504" s="16"/>
      <c r="F1504" s="16"/>
      <c r="G1504" s="16"/>
      <c r="H1504" s="16"/>
      <c r="I1504" s="16"/>
      <c r="J1504" s="16"/>
      <c r="K1504" s="16"/>
      <c r="L1504" s="16"/>
      <c r="M1504" s="16"/>
      <c r="N1504" s="16"/>
      <c r="O1504" s="84"/>
      <c r="P1504" s="54"/>
      <c r="Q1504" s="54"/>
      <c r="R1504" s="55"/>
      <c r="S1504" s="55"/>
      <c r="T1504" s="32"/>
      <c r="U1504" s="32"/>
      <c r="V1504" s="32"/>
      <c r="W1504" s="32"/>
      <c r="X1504" s="32"/>
      <c r="Y1504" s="32"/>
      <c r="Z1504" s="32"/>
      <c r="AA1504" s="32"/>
      <c r="AB1504" s="32"/>
      <c r="AC1504" s="32"/>
    </row>
    <row r="1505">
      <c r="A1505" s="32"/>
      <c r="B1505" s="16"/>
      <c r="C1505" s="16"/>
      <c r="D1505" s="16"/>
      <c r="E1505" s="16"/>
      <c r="F1505" s="16"/>
      <c r="G1505" s="16"/>
      <c r="H1505" s="16"/>
      <c r="I1505" s="16"/>
      <c r="J1505" s="16"/>
      <c r="K1505" s="16"/>
      <c r="L1505" s="16"/>
      <c r="M1505" s="16"/>
      <c r="N1505" s="16"/>
      <c r="O1505" s="84"/>
      <c r="P1505" s="54"/>
      <c r="Q1505" s="54"/>
      <c r="R1505" s="55"/>
      <c r="S1505" s="55"/>
      <c r="T1505" s="32"/>
      <c r="U1505" s="32"/>
      <c r="V1505" s="32"/>
      <c r="W1505" s="32"/>
      <c r="X1505" s="32"/>
      <c r="Y1505" s="32"/>
      <c r="Z1505" s="32"/>
      <c r="AA1505" s="32"/>
      <c r="AB1505" s="32"/>
      <c r="AC1505" s="32"/>
    </row>
    <row r="1506">
      <c r="A1506" s="32"/>
      <c r="B1506" s="16"/>
      <c r="C1506" s="16"/>
      <c r="D1506" s="16"/>
      <c r="E1506" s="16"/>
      <c r="F1506" s="16"/>
      <c r="G1506" s="16"/>
      <c r="H1506" s="16"/>
      <c r="I1506" s="16"/>
      <c r="J1506" s="16"/>
      <c r="K1506" s="16"/>
      <c r="L1506" s="16"/>
      <c r="M1506" s="16"/>
      <c r="N1506" s="16"/>
      <c r="O1506" s="84"/>
      <c r="P1506" s="54"/>
      <c r="Q1506" s="54"/>
      <c r="R1506" s="55"/>
      <c r="S1506" s="55"/>
      <c r="T1506" s="32"/>
      <c r="U1506" s="32"/>
      <c r="V1506" s="32"/>
      <c r="W1506" s="32"/>
      <c r="X1506" s="32"/>
      <c r="Y1506" s="32"/>
      <c r="Z1506" s="32"/>
      <c r="AA1506" s="32"/>
      <c r="AB1506" s="32"/>
      <c r="AC1506" s="32"/>
    </row>
    <row r="1507">
      <c r="A1507" s="32"/>
      <c r="B1507" s="16"/>
      <c r="C1507" s="16"/>
      <c r="D1507" s="16"/>
      <c r="E1507" s="16"/>
      <c r="F1507" s="16"/>
      <c r="G1507" s="16"/>
      <c r="H1507" s="16"/>
      <c r="I1507" s="16"/>
      <c r="J1507" s="16"/>
      <c r="K1507" s="16"/>
      <c r="L1507" s="16"/>
      <c r="M1507" s="16"/>
      <c r="N1507" s="16"/>
      <c r="O1507" s="84"/>
      <c r="P1507" s="54"/>
      <c r="Q1507" s="54"/>
      <c r="R1507" s="55"/>
      <c r="S1507" s="55"/>
      <c r="T1507" s="32"/>
      <c r="U1507" s="32"/>
      <c r="V1507" s="32"/>
      <c r="W1507" s="32"/>
      <c r="X1507" s="32"/>
      <c r="Y1507" s="32"/>
      <c r="Z1507" s="32"/>
      <c r="AA1507" s="32"/>
      <c r="AB1507" s="32"/>
      <c r="AC1507" s="32"/>
    </row>
    <row r="1508">
      <c r="A1508" s="32"/>
      <c r="B1508" s="16"/>
      <c r="C1508" s="16"/>
      <c r="D1508" s="16"/>
      <c r="E1508" s="16"/>
      <c r="F1508" s="16"/>
      <c r="G1508" s="16"/>
      <c r="H1508" s="16"/>
      <c r="I1508" s="16"/>
      <c r="J1508" s="16"/>
      <c r="K1508" s="16"/>
      <c r="L1508" s="16"/>
      <c r="M1508" s="16"/>
      <c r="N1508" s="16"/>
      <c r="O1508" s="84"/>
      <c r="P1508" s="54"/>
      <c r="Q1508" s="54"/>
      <c r="R1508" s="55"/>
      <c r="S1508" s="55"/>
      <c r="T1508" s="32"/>
      <c r="U1508" s="32"/>
      <c r="V1508" s="32"/>
      <c r="W1508" s="32"/>
      <c r="X1508" s="32"/>
      <c r="Y1508" s="32"/>
      <c r="Z1508" s="32"/>
      <c r="AA1508" s="32"/>
      <c r="AB1508" s="32"/>
      <c r="AC1508" s="32"/>
    </row>
    <row r="1509">
      <c r="A1509" s="32"/>
      <c r="B1509" s="16"/>
      <c r="C1509" s="16"/>
      <c r="D1509" s="16"/>
      <c r="E1509" s="16"/>
      <c r="F1509" s="16"/>
      <c r="G1509" s="16"/>
      <c r="H1509" s="16"/>
      <c r="I1509" s="16"/>
      <c r="J1509" s="16"/>
      <c r="K1509" s="16"/>
      <c r="L1509" s="16"/>
      <c r="M1509" s="16"/>
      <c r="N1509" s="16"/>
      <c r="O1509" s="84"/>
      <c r="P1509" s="54"/>
      <c r="Q1509" s="54"/>
      <c r="R1509" s="55"/>
      <c r="S1509" s="55"/>
      <c r="T1509" s="32"/>
      <c r="U1509" s="32"/>
      <c r="V1509" s="32"/>
      <c r="W1509" s="32"/>
      <c r="X1509" s="32"/>
      <c r="Y1509" s="32"/>
      <c r="Z1509" s="32"/>
      <c r="AA1509" s="32"/>
      <c r="AB1509" s="32"/>
      <c r="AC1509" s="32"/>
    </row>
    <row r="1510">
      <c r="A1510" s="32"/>
      <c r="B1510" s="16"/>
      <c r="C1510" s="16"/>
      <c r="D1510" s="16"/>
      <c r="E1510" s="16"/>
      <c r="F1510" s="16"/>
      <c r="G1510" s="16"/>
      <c r="H1510" s="16"/>
      <c r="I1510" s="16"/>
      <c r="J1510" s="16"/>
      <c r="K1510" s="16"/>
      <c r="L1510" s="16"/>
      <c r="M1510" s="16"/>
      <c r="N1510" s="16"/>
      <c r="O1510" s="84"/>
      <c r="P1510" s="54"/>
      <c r="Q1510" s="54"/>
      <c r="R1510" s="55"/>
      <c r="S1510" s="55"/>
      <c r="T1510" s="32"/>
      <c r="U1510" s="32"/>
      <c r="V1510" s="32"/>
      <c r="W1510" s="32"/>
      <c r="X1510" s="32"/>
      <c r="Y1510" s="32"/>
      <c r="Z1510" s="32"/>
      <c r="AA1510" s="32"/>
      <c r="AB1510" s="32"/>
      <c r="AC1510" s="32"/>
    </row>
    <row r="1511">
      <c r="A1511" s="32"/>
      <c r="B1511" s="16"/>
      <c r="C1511" s="16"/>
      <c r="D1511" s="16"/>
      <c r="E1511" s="16"/>
      <c r="F1511" s="16"/>
      <c r="G1511" s="16"/>
      <c r="H1511" s="16"/>
      <c r="I1511" s="16"/>
      <c r="J1511" s="16"/>
      <c r="K1511" s="16"/>
      <c r="L1511" s="16"/>
      <c r="M1511" s="16"/>
      <c r="N1511" s="16"/>
      <c r="O1511" s="84"/>
      <c r="P1511" s="54"/>
      <c r="Q1511" s="54"/>
      <c r="R1511" s="55"/>
      <c r="S1511" s="55"/>
      <c r="T1511" s="32"/>
      <c r="U1511" s="32"/>
      <c r="V1511" s="32"/>
      <c r="W1511" s="32"/>
      <c r="X1511" s="32"/>
      <c r="Y1511" s="32"/>
      <c r="Z1511" s="32"/>
      <c r="AA1511" s="32"/>
      <c r="AB1511" s="32"/>
      <c r="AC1511" s="32"/>
    </row>
    <row r="1512">
      <c r="A1512" s="32"/>
      <c r="B1512" s="16"/>
      <c r="C1512" s="16"/>
      <c r="D1512" s="16"/>
      <c r="E1512" s="16"/>
      <c r="F1512" s="16"/>
      <c r="G1512" s="16"/>
      <c r="H1512" s="16"/>
      <c r="I1512" s="16"/>
      <c r="J1512" s="16"/>
      <c r="K1512" s="16"/>
      <c r="L1512" s="16"/>
      <c r="M1512" s="16"/>
      <c r="N1512" s="16"/>
      <c r="O1512" s="84"/>
      <c r="P1512" s="54"/>
      <c r="Q1512" s="54"/>
      <c r="R1512" s="55"/>
      <c r="S1512" s="55"/>
      <c r="T1512" s="32"/>
      <c r="U1512" s="32"/>
      <c r="V1512" s="32"/>
      <c r="W1512" s="32"/>
      <c r="X1512" s="32"/>
      <c r="Y1512" s="32"/>
      <c r="Z1512" s="32"/>
      <c r="AA1512" s="32"/>
      <c r="AB1512" s="32"/>
      <c r="AC1512" s="32"/>
    </row>
    <row r="1513">
      <c r="A1513" s="32"/>
      <c r="B1513" s="16"/>
      <c r="C1513" s="16"/>
      <c r="D1513" s="16"/>
      <c r="E1513" s="16"/>
      <c r="F1513" s="16"/>
      <c r="G1513" s="16"/>
      <c r="H1513" s="16"/>
      <c r="I1513" s="16"/>
      <c r="J1513" s="16"/>
      <c r="K1513" s="16"/>
      <c r="L1513" s="16"/>
      <c r="M1513" s="16"/>
      <c r="N1513" s="16"/>
      <c r="O1513" s="84"/>
      <c r="P1513" s="54"/>
      <c r="Q1513" s="54"/>
      <c r="R1513" s="55"/>
      <c r="S1513" s="55"/>
      <c r="T1513" s="32"/>
      <c r="U1513" s="32"/>
      <c r="V1513" s="32"/>
      <c r="W1513" s="32"/>
      <c r="X1513" s="32"/>
      <c r="Y1513" s="32"/>
      <c r="Z1513" s="32"/>
      <c r="AA1513" s="32"/>
      <c r="AB1513" s="32"/>
      <c r="AC1513" s="32"/>
    </row>
    <row r="1514">
      <c r="A1514" s="32"/>
      <c r="B1514" s="16"/>
      <c r="C1514" s="16"/>
      <c r="D1514" s="16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84"/>
      <c r="P1514" s="54"/>
      <c r="Q1514" s="54"/>
      <c r="R1514" s="55"/>
      <c r="S1514" s="55"/>
      <c r="T1514" s="32"/>
      <c r="U1514" s="32"/>
      <c r="V1514" s="32"/>
      <c r="W1514" s="32"/>
      <c r="X1514" s="32"/>
      <c r="Y1514" s="32"/>
      <c r="Z1514" s="32"/>
      <c r="AA1514" s="32"/>
      <c r="AB1514" s="32"/>
      <c r="AC1514" s="32"/>
    </row>
    <row r="1515">
      <c r="A1515" s="32"/>
      <c r="B1515" s="16"/>
      <c r="C1515" s="16"/>
      <c r="D1515" s="16"/>
      <c r="E1515" s="16"/>
      <c r="F1515" s="16"/>
      <c r="G1515" s="16"/>
      <c r="H1515" s="16"/>
      <c r="I1515" s="16"/>
      <c r="J1515" s="16"/>
      <c r="K1515" s="16"/>
      <c r="L1515" s="16"/>
      <c r="M1515" s="16"/>
      <c r="N1515" s="16"/>
      <c r="O1515" s="84"/>
      <c r="P1515" s="54"/>
      <c r="Q1515" s="54"/>
      <c r="R1515" s="55"/>
      <c r="S1515" s="55"/>
      <c r="T1515" s="32"/>
      <c r="U1515" s="32"/>
      <c r="V1515" s="32"/>
      <c r="W1515" s="32"/>
      <c r="X1515" s="32"/>
      <c r="Y1515" s="32"/>
      <c r="Z1515" s="32"/>
      <c r="AA1515" s="32"/>
      <c r="AB1515" s="32"/>
      <c r="AC1515" s="32"/>
    </row>
    <row r="1516">
      <c r="A1516" s="32"/>
      <c r="B1516" s="16"/>
      <c r="C1516" s="16"/>
      <c r="D1516" s="16"/>
      <c r="E1516" s="16"/>
      <c r="F1516" s="16"/>
      <c r="G1516" s="16"/>
      <c r="H1516" s="16"/>
      <c r="I1516" s="16"/>
      <c r="J1516" s="16"/>
      <c r="K1516" s="16"/>
      <c r="L1516" s="16"/>
      <c r="M1516" s="16"/>
      <c r="N1516" s="16"/>
      <c r="O1516" s="84"/>
      <c r="P1516" s="54"/>
      <c r="Q1516" s="54"/>
      <c r="R1516" s="55"/>
      <c r="S1516" s="55"/>
      <c r="T1516" s="32"/>
      <c r="U1516" s="32"/>
      <c r="V1516" s="32"/>
      <c r="W1516" s="32"/>
      <c r="X1516" s="32"/>
      <c r="Y1516" s="32"/>
      <c r="Z1516" s="32"/>
      <c r="AA1516" s="32"/>
      <c r="AB1516" s="32"/>
      <c r="AC1516" s="32"/>
    </row>
    <row r="1517">
      <c r="A1517" s="32"/>
      <c r="B1517" s="16"/>
      <c r="C1517" s="16"/>
      <c r="D1517" s="16"/>
      <c r="E1517" s="16"/>
      <c r="F1517" s="16"/>
      <c r="G1517" s="16"/>
      <c r="H1517" s="16"/>
      <c r="I1517" s="16"/>
      <c r="J1517" s="16"/>
      <c r="K1517" s="16"/>
      <c r="L1517" s="16"/>
      <c r="M1517" s="16"/>
      <c r="N1517" s="16"/>
      <c r="O1517" s="84"/>
      <c r="P1517" s="54"/>
      <c r="Q1517" s="54"/>
      <c r="R1517" s="55"/>
      <c r="S1517" s="55"/>
      <c r="T1517" s="32"/>
      <c r="U1517" s="32"/>
      <c r="V1517" s="32"/>
      <c r="W1517" s="32"/>
      <c r="X1517" s="32"/>
      <c r="Y1517" s="32"/>
      <c r="Z1517" s="32"/>
      <c r="AA1517" s="32"/>
      <c r="AB1517" s="32"/>
      <c r="AC1517" s="32"/>
    </row>
    <row r="1518">
      <c r="A1518" s="32"/>
      <c r="B1518" s="16"/>
      <c r="C1518" s="16"/>
      <c r="D1518" s="16"/>
      <c r="E1518" s="16"/>
      <c r="F1518" s="16"/>
      <c r="G1518" s="16"/>
      <c r="H1518" s="16"/>
      <c r="I1518" s="16"/>
      <c r="J1518" s="16"/>
      <c r="K1518" s="16"/>
      <c r="L1518" s="16"/>
      <c r="M1518" s="16"/>
      <c r="N1518" s="16"/>
      <c r="O1518" s="84"/>
      <c r="P1518" s="54"/>
      <c r="Q1518" s="54"/>
      <c r="R1518" s="55"/>
      <c r="S1518" s="55"/>
      <c r="T1518" s="32"/>
      <c r="U1518" s="32"/>
      <c r="V1518" s="32"/>
      <c r="W1518" s="32"/>
      <c r="X1518" s="32"/>
      <c r="Y1518" s="32"/>
      <c r="Z1518" s="32"/>
      <c r="AA1518" s="32"/>
      <c r="AB1518" s="32"/>
      <c r="AC1518" s="32"/>
    </row>
    <row r="1519">
      <c r="A1519" s="32"/>
      <c r="B1519" s="16"/>
      <c r="C1519" s="16"/>
      <c r="D1519" s="16"/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84"/>
      <c r="P1519" s="54"/>
      <c r="Q1519" s="54"/>
      <c r="R1519" s="55"/>
      <c r="S1519" s="55"/>
      <c r="T1519" s="32"/>
      <c r="U1519" s="32"/>
      <c r="V1519" s="32"/>
      <c r="W1519" s="32"/>
      <c r="X1519" s="32"/>
      <c r="Y1519" s="32"/>
      <c r="Z1519" s="32"/>
      <c r="AA1519" s="32"/>
      <c r="AB1519" s="32"/>
      <c r="AC1519" s="32"/>
    </row>
    <row r="1520">
      <c r="A1520" s="32"/>
      <c r="B1520" s="16"/>
      <c r="C1520" s="16"/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84"/>
      <c r="P1520" s="54"/>
      <c r="Q1520" s="54"/>
      <c r="R1520" s="55"/>
      <c r="S1520" s="55"/>
      <c r="T1520" s="32"/>
      <c r="U1520" s="32"/>
      <c r="V1520" s="32"/>
      <c r="W1520" s="32"/>
      <c r="X1520" s="32"/>
      <c r="Y1520" s="32"/>
      <c r="Z1520" s="32"/>
      <c r="AA1520" s="32"/>
      <c r="AB1520" s="32"/>
      <c r="AC1520" s="32"/>
    </row>
    <row r="1521">
      <c r="A1521" s="32"/>
      <c r="B1521" s="16"/>
      <c r="C1521" s="16"/>
      <c r="D1521" s="16"/>
      <c r="E1521" s="16"/>
      <c r="F1521" s="16"/>
      <c r="G1521" s="16"/>
      <c r="H1521" s="16"/>
      <c r="I1521" s="16"/>
      <c r="J1521" s="16"/>
      <c r="K1521" s="16"/>
      <c r="L1521" s="16"/>
      <c r="M1521" s="16"/>
      <c r="N1521" s="16"/>
      <c r="O1521" s="84"/>
      <c r="P1521" s="54"/>
      <c r="Q1521" s="54"/>
      <c r="R1521" s="55"/>
      <c r="S1521" s="55"/>
      <c r="T1521" s="32"/>
      <c r="U1521" s="32"/>
      <c r="V1521" s="32"/>
      <c r="W1521" s="32"/>
      <c r="X1521" s="32"/>
      <c r="Y1521" s="32"/>
      <c r="Z1521" s="32"/>
      <c r="AA1521" s="32"/>
      <c r="AB1521" s="32"/>
      <c r="AC1521" s="32"/>
    </row>
    <row r="1522">
      <c r="A1522" s="32"/>
      <c r="B1522" s="16"/>
      <c r="C1522" s="16"/>
      <c r="D1522" s="16"/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  <c r="O1522" s="84"/>
      <c r="P1522" s="54"/>
      <c r="Q1522" s="54"/>
      <c r="R1522" s="55"/>
      <c r="S1522" s="55"/>
      <c r="T1522" s="32"/>
      <c r="U1522" s="32"/>
      <c r="V1522" s="32"/>
      <c r="W1522" s="32"/>
      <c r="X1522" s="32"/>
      <c r="Y1522" s="32"/>
      <c r="Z1522" s="32"/>
      <c r="AA1522" s="32"/>
      <c r="AB1522" s="32"/>
      <c r="AC1522" s="32"/>
    </row>
    <row r="1523">
      <c r="A1523" s="32"/>
      <c r="B1523" s="16"/>
      <c r="C1523" s="16"/>
      <c r="D1523" s="16"/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84"/>
      <c r="P1523" s="54"/>
      <c r="Q1523" s="54"/>
      <c r="R1523" s="55"/>
      <c r="S1523" s="55"/>
      <c r="T1523" s="32"/>
      <c r="U1523" s="32"/>
      <c r="V1523" s="32"/>
      <c r="W1523" s="32"/>
      <c r="X1523" s="32"/>
      <c r="Y1523" s="32"/>
      <c r="Z1523" s="32"/>
      <c r="AA1523" s="32"/>
      <c r="AB1523" s="32"/>
      <c r="AC1523" s="32"/>
    </row>
    <row r="1524">
      <c r="A1524" s="32"/>
      <c r="B1524" s="16"/>
      <c r="C1524" s="16"/>
      <c r="D1524" s="16"/>
      <c r="E1524" s="16"/>
      <c r="F1524" s="16"/>
      <c r="G1524" s="16"/>
      <c r="H1524" s="16"/>
      <c r="I1524" s="16"/>
      <c r="J1524" s="16"/>
      <c r="K1524" s="16"/>
      <c r="L1524" s="16"/>
      <c r="M1524" s="16"/>
      <c r="N1524" s="16"/>
      <c r="O1524" s="84"/>
      <c r="P1524" s="54"/>
      <c r="Q1524" s="54"/>
      <c r="R1524" s="55"/>
      <c r="S1524" s="55"/>
      <c r="T1524" s="32"/>
      <c r="U1524" s="32"/>
      <c r="V1524" s="32"/>
      <c r="W1524" s="32"/>
      <c r="X1524" s="32"/>
      <c r="Y1524" s="32"/>
      <c r="Z1524" s="32"/>
      <c r="AA1524" s="32"/>
      <c r="AB1524" s="32"/>
      <c r="AC1524" s="32"/>
    </row>
    <row r="1525">
      <c r="A1525" s="32"/>
      <c r="B1525" s="16"/>
      <c r="C1525" s="16"/>
      <c r="D1525" s="16"/>
      <c r="E1525" s="16"/>
      <c r="F1525" s="16"/>
      <c r="G1525" s="16"/>
      <c r="H1525" s="16"/>
      <c r="I1525" s="16"/>
      <c r="J1525" s="16"/>
      <c r="K1525" s="16"/>
      <c r="L1525" s="16"/>
      <c r="M1525" s="16"/>
      <c r="N1525" s="16"/>
      <c r="O1525" s="84"/>
      <c r="P1525" s="54"/>
      <c r="Q1525" s="54"/>
      <c r="R1525" s="55"/>
      <c r="S1525" s="55"/>
      <c r="T1525" s="32"/>
      <c r="U1525" s="32"/>
      <c r="V1525" s="32"/>
      <c r="W1525" s="32"/>
      <c r="X1525" s="32"/>
      <c r="Y1525" s="32"/>
      <c r="Z1525" s="32"/>
      <c r="AA1525" s="32"/>
      <c r="AB1525" s="32"/>
      <c r="AC1525" s="32"/>
    </row>
    <row r="1526">
      <c r="A1526" s="32"/>
      <c r="B1526" s="16"/>
      <c r="C1526" s="16"/>
      <c r="D1526" s="16"/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  <c r="O1526" s="84"/>
      <c r="P1526" s="54"/>
      <c r="Q1526" s="54"/>
      <c r="R1526" s="55"/>
      <c r="S1526" s="55"/>
      <c r="T1526" s="32"/>
      <c r="U1526" s="32"/>
      <c r="V1526" s="32"/>
      <c r="W1526" s="32"/>
      <c r="X1526" s="32"/>
      <c r="Y1526" s="32"/>
      <c r="Z1526" s="32"/>
      <c r="AA1526" s="32"/>
      <c r="AB1526" s="32"/>
      <c r="AC1526" s="32"/>
    </row>
    <row r="1527">
      <c r="A1527" s="32"/>
      <c r="B1527" s="16"/>
      <c r="C1527" s="16"/>
      <c r="D1527" s="16"/>
      <c r="E1527" s="16"/>
      <c r="F1527" s="16"/>
      <c r="G1527" s="16"/>
      <c r="H1527" s="16"/>
      <c r="I1527" s="16"/>
      <c r="J1527" s="16"/>
      <c r="K1527" s="16"/>
      <c r="L1527" s="16"/>
      <c r="M1527" s="16"/>
      <c r="N1527" s="16"/>
      <c r="O1527" s="84"/>
      <c r="P1527" s="54"/>
      <c r="Q1527" s="54"/>
      <c r="R1527" s="55"/>
      <c r="S1527" s="55"/>
      <c r="T1527" s="32"/>
      <c r="U1527" s="32"/>
      <c r="V1527" s="32"/>
      <c r="W1527" s="32"/>
      <c r="X1527" s="32"/>
      <c r="Y1527" s="32"/>
      <c r="Z1527" s="32"/>
      <c r="AA1527" s="32"/>
      <c r="AB1527" s="32"/>
      <c r="AC1527" s="32"/>
    </row>
    <row r="1528">
      <c r="A1528" s="32"/>
      <c r="B1528" s="16"/>
      <c r="C1528" s="16"/>
      <c r="D1528" s="16"/>
      <c r="E1528" s="16"/>
      <c r="F1528" s="16"/>
      <c r="G1528" s="16"/>
      <c r="H1528" s="16"/>
      <c r="I1528" s="16"/>
      <c r="J1528" s="16"/>
      <c r="K1528" s="16"/>
      <c r="L1528" s="16"/>
      <c r="M1528" s="16"/>
      <c r="N1528" s="16"/>
      <c r="O1528" s="84"/>
      <c r="P1528" s="54"/>
      <c r="Q1528" s="54"/>
      <c r="R1528" s="55"/>
      <c r="S1528" s="55"/>
      <c r="T1528" s="32"/>
      <c r="U1528" s="32"/>
      <c r="V1528" s="32"/>
      <c r="W1528" s="32"/>
      <c r="X1528" s="32"/>
      <c r="Y1528" s="32"/>
      <c r="Z1528" s="32"/>
      <c r="AA1528" s="32"/>
      <c r="AB1528" s="32"/>
      <c r="AC1528" s="32"/>
    </row>
    <row r="1529">
      <c r="A1529" s="32"/>
      <c r="B1529" s="16"/>
      <c r="C1529" s="16"/>
      <c r="D1529" s="16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84"/>
      <c r="P1529" s="54"/>
      <c r="Q1529" s="54"/>
      <c r="R1529" s="55"/>
      <c r="S1529" s="55"/>
      <c r="T1529" s="32"/>
      <c r="U1529" s="32"/>
      <c r="V1529" s="32"/>
      <c r="W1529" s="32"/>
      <c r="X1529" s="32"/>
      <c r="Y1529" s="32"/>
      <c r="Z1529" s="32"/>
      <c r="AA1529" s="32"/>
      <c r="AB1529" s="32"/>
      <c r="AC1529" s="32"/>
    </row>
    <row r="1530">
      <c r="A1530" s="32"/>
      <c r="B1530" s="16"/>
      <c r="C1530" s="16"/>
      <c r="D1530" s="16"/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  <c r="O1530" s="84"/>
      <c r="P1530" s="54"/>
      <c r="Q1530" s="54"/>
      <c r="R1530" s="55"/>
      <c r="S1530" s="55"/>
      <c r="T1530" s="32"/>
      <c r="U1530" s="32"/>
      <c r="V1530" s="32"/>
      <c r="W1530" s="32"/>
      <c r="X1530" s="32"/>
      <c r="Y1530" s="32"/>
      <c r="Z1530" s="32"/>
      <c r="AA1530" s="32"/>
      <c r="AB1530" s="32"/>
      <c r="AC1530" s="32"/>
    </row>
    <row r="1531">
      <c r="A1531" s="32"/>
      <c r="B1531" s="16"/>
      <c r="C1531" s="16"/>
      <c r="D1531" s="16"/>
      <c r="E1531" s="16"/>
      <c r="F1531" s="16"/>
      <c r="G1531" s="16"/>
      <c r="H1531" s="16"/>
      <c r="I1531" s="16"/>
      <c r="J1531" s="16"/>
      <c r="K1531" s="16"/>
      <c r="L1531" s="16"/>
      <c r="M1531" s="16"/>
      <c r="N1531" s="16"/>
      <c r="O1531" s="84"/>
      <c r="P1531" s="54"/>
      <c r="Q1531" s="54"/>
      <c r="R1531" s="55"/>
      <c r="S1531" s="55"/>
      <c r="T1531" s="32"/>
      <c r="U1531" s="32"/>
      <c r="V1531" s="32"/>
      <c r="W1531" s="32"/>
      <c r="X1531" s="32"/>
      <c r="Y1531" s="32"/>
      <c r="Z1531" s="32"/>
      <c r="AA1531" s="32"/>
      <c r="AB1531" s="32"/>
      <c r="AC1531" s="32"/>
    </row>
    <row r="1532">
      <c r="A1532" s="32"/>
      <c r="B1532" s="16"/>
      <c r="C1532" s="16"/>
      <c r="D1532" s="16"/>
      <c r="E1532" s="16"/>
      <c r="F1532" s="16"/>
      <c r="G1532" s="16"/>
      <c r="H1532" s="16"/>
      <c r="I1532" s="16"/>
      <c r="J1532" s="16"/>
      <c r="K1532" s="16"/>
      <c r="L1532" s="16"/>
      <c r="M1532" s="16"/>
      <c r="N1532" s="16"/>
      <c r="O1532" s="84"/>
      <c r="P1532" s="54"/>
      <c r="Q1532" s="54"/>
      <c r="R1532" s="55"/>
      <c r="S1532" s="55"/>
      <c r="T1532" s="32"/>
      <c r="U1532" s="32"/>
      <c r="V1532" s="32"/>
      <c r="W1532" s="32"/>
      <c r="X1532" s="32"/>
      <c r="Y1532" s="32"/>
      <c r="Z1532" s="32"/>
      <c r="AA1532" s="32"/>
      <c r="AB1532" s="32"/>
      <c r="AC1532" s="32"/>
    </row>
    <row r="1533">
      <c r="A1533" s="32"/>
      <c r="B1533" s="16"/>
      <c r="C1533" s="16"/>
      <c r="D1533" s="16"/>
      <c r="E1533" s="16"/>
      <c r="F1533" s="16"/>
      <c r="G1533" s="16"/>
      <c r="H1533" s="16"/>
      <c r="I1533" s="16"/>
      <c r="J1533" s="16"/>
      <c r="K1533" s="16"/>
      <c r="L1533" s="16"/>
      <c r="M1533" s="16"/>
      <c r="N1533" s="16"/>
      <c r="O1533" s="84"/>
      <c r="P1533" s="54"/>
      <c r="Q1533" s="54"/>
      <c r="R1533" s="55"/>
      <c r="S1533" s="55"/>
      <c r="T1533" s="32"/>
      <c r="U1533" s="32"/>
      <c r="V1533" s="32"/>
      <c r="W1533" s="32"/>
      <c r="X1533" s="32"/>
      <c r="Y1533" s="32"/>
      <c r="Z1533" s="32"/>
      <c r="AA1533" s="32"/>
      <c r="AB1533" s="32"/>
      <c r="AC1533" s="32"/>
    </row>
    <row r="1534">
      <c r="A1534" s="32"/>
      <c r="B1534" s="16"/>
      <c r="C1534" s="16"/>
      <c r="D1534" s="16"/>
      <c r="E1534" s="16"/>
      <c r="F1534" s="16"/>
      <c r="G1534" s="16"/>
      <c r="H1534" s="16"/>
      <c r="I1534" s="16"/>
      <c r="J1534" s="16"/>
      <c r="K1534" s="16"/>
      <c r="L1534" s="16"/>
      <c r="M1534" s="16"/>
      <c r="N1534" s="16"/>
      <c r="O1534" s="84"/>
      <c r="P1534" s="54"/>
      <c r="Q1534" s="54"/>
      <c r="R1534" s="55"/>
      <c r="S1534" s="55"/>
      <c r="T1534" s="32"/>
      <c r="U1534" s="32"/>
      <c r="V1534" s="32"/>
      <c r="W1534" s="32"/>
      <c r="X1534" s="32"/>
      <c r="Y1534" s="32"/>
      <c r="Z1534" s="32"/>
      <c r="AA1534" s="32"/>
      <c r="AB1534" s="32"/>
      <c r="AC1534" s="32"/>
    </row>
    <row r="1535">
      <c r="A1535" s="32"/>
      <c r="B1535" s="16"/>
      <c r="C1535" s="16"/>
      <c r="D1535" s="16"/>
      <c r="E1535" s="16"/>
      <c r="F1535" s="16"/>
      <c r="G1535" s="16"/>
      <c r="H1535" s="16"/>
      <c r="I1535" s="16"/>
      <c r="J1535" s="16"/>
      <c r="K1535" s="16"/>
      <c r="L1535" s="16"/>
      <c r="M1535" s="16"/>
      <c r="N1535" s="16"/>
      <c r="O1535" s="84"/>
      <c r="P1535" s="54"/>
      <c r="Q1535" s="54"/>
      <c r="R1535" s="55"/>
      <c r="S1535" s="55"/>
      <c r="T1535" s="32"/>
      <c r="U1535" s="32"/>
      <c r="V1535" s="32"/>
      <c r="W1535" s="32"/>
      <c r="X1535" s="32"/>
      <c r="Y1535" s="32"/>
      <c r="Z1535" s="32"/>
      <c r="AA1535" s="32"/>
      <c r="AB1535" s="32"/>
      <c r="AC1535" s="32"/>
    </row>
    <row r="1536">
      <c r="A1536" s="32"/>
      <c r="B1536" s="16"/>
      <c r="C1536" s="16"/>
      <c r="D1536" s="16"/>
      <c r="E1536" s="16"/>
      <c r="F1536" s="16"/>
      <c r="G1536" s="16"/>
      <c r="H1536" s="16"/>
      <c r="I1536" s="16"/>
      <c r="J1536" s="16"/>
      <c r="K1536" s="16"/>
      <c r="L1536" s="16"/>
      <c r="M1536" s="16"/>
      <c r="N1536" s="16"/>
      <c r="O1536" s="84"/>
      <c r="P1536" s="54"/>
      <c r="Q1536" s="54"/>
      <c r="R1536" s="55"/>
      <c r="S1536" s="55"/>
      <c r="T1536" s="32"/>
      <c r="U1536" s="32"/>
      <c r="V1536" s="32"/>
      <c r="W1536" s="32"/>
      <c r="X1536" s="32"/>
      <c r="Y1536" s="32"/>
      <c r="Z1536" s="32"/>
      <c r="AA1536" s="32"/>
      <c r="AB1536" s="32"/>
      <c r="AC1536" s="32"/>
    </row>
    <row r="1537">
      <c r="A1537" s="32"/>
      <c r="B1537" s="16"/>
      <c r="C1537" s="16"/>
      <c r="D1537" s="16"/>
      <c r="E1537" s="16"/>
      <c r="F1537" s="16"/>
      <c r="G1537" s="16"/>
      <c r="H1537" s="16"/>
      <c r="I1537" s="16"/>
      <c r="J1537" s="16"/>
      <c r="K1537" s="16"/>
      <c r="L1537" s="16"/>
      <c r="M1537" s="16"/>
      <c r="N1537" s="16"/>
      <c r="O1537" s="84"/>
      <c r="P1537" s="54"/>
      <c r="Q1537" s="54"/>
      <c r="R1537" s="55"/>
      <c r="S1537" s="55"/>
      <c r="T1537" s="32"/>
      <c r="U1537" s="32"/>
      <c r="V1537" s="32"/>
      <c r="W1537" s="32"/>
      <c r="X1537" s="32"/>
      <c r="Y1537" s="32"/>
      <c r="Z1537" s="32"/>
      <c r="AA1537" s="32"/>
      <c r="AB1537" s="32"/>
      <c r="AC1537" s="32"/>
    </row>
    <row r="1538">
      <c r="A1538" s="32"/>
      <c r="B1538" s="16"/>
      <c r="C1538" s="16"/>
      <c r="D1538" s="16"/>
      <c r="E1538" s="16"/>
      <c r="F1538" s="16"/>
      <c r="G1538" s="16"/>
      <c r="H1538" s="16"/>
      <c r="I1538" s="16"/>
      <c r="J1538" s="16"/>
      <c r="K1538" s="16"/>
      <c r="L1538" s="16"/>
      <c r="M1538" s="16"/>
      <c r="N1538" s="16"/>
      <c r="O1538" s="84"/>
      <c r="P1538" s="54"/>
      <c r="Q1538" s="54"/>
      <c r="R1538" s="55"/>
      <c r="S1538" s="55"/>
      <c r="T1538" s="32"/>
      <c r="U1538" s="32"/>
      <c r="V1538" s="32"/>
      <c r="W1538" s="32"/>
      <c r="X1538" s="32"/>
      <c r="Y1538" s="32"/>
      <c r="Z1538" s="32"/>
      <c r="AA1538" s="32"/>
      <c r="AB1538" s="32"/>
      <c r="AC1538" s="32"/>
    </row>
    <row r="1539">
      <c r="A1539" s="32"/>
      <c r="B1539" s="16"/>
      <c r="C1539" s="16"/>
      <c r="D1539" s="16"/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  <c r="O1539" s="84"/>
      <c r="P1539" s="54"/>
      <c r="Q1539" s="54"/>
      <c r="R1539" s="55"/>
      <c r="S1539" s="55"/>
      <c r="T1539" s="32"/>
      <c r="U1539" s="32"/>
      <c r="V1539" s="32"/>
      <c r="W1539" s="32"/>
      <c r="X1539" s="32"/>
      <c r="Y1539" s="32"/>
      <c r="Z1539" s="32"/>
      <c r="AA1539" s="32"/>
      <c r="AB1539" s="32"/>
      <c r="AC1539" s="32"/>
    </row>
    <row r="1540">
      <c r="A1540" s="32"/>
      <c r="B1540" s="16"/>
      <c r="C1540" s="16"/>
      <c r="D1540" s="16"/>
      <c r="E1540" s="16"/>
      <c r="F1540" s="16"/>
      <c r="G1540" s="16"/>
      <c r="H1540" s="16"/>
      <c r="I1540" s="16"/>
      <c r="J1540" s="16"/>
      <c r="K1540" s="16"/>
      <c r="L1540" s="16"/>
      <c r="M1540" s="16"/>
      <c r="N1540" s="16"/>
      <c r="O1540" s="84"/>
      <c r="P1540" s="54"/>
      <c r="Q1540" s="54"/>
      <c r="R1540" s="55"/>
      <c r="S1540" s="55"/>
      <c r="T1540" s="32"/>
      <c r="U1540" s="32"/>
      <c r="V1540" s="32"/>
      <c r="W1540" s="32"/>
      <c r="X1540" s="32"/>
      <c r="Y1540" s="32"/>
      <c r="Z1540" s="32"/>
      <c r="AA1540" s="32"/>
      <c r="AB1540" s="32"/>
      <c r="AC1540" s="32"/>
    </row>
    <row r="1541">
      <c r="A1541" s="32"/>
      <c r="B1541" s="16"/>
      <c r="C1541" s="16"/>
      <c r="D1541" s="16"/>
      <c r="E1541" s="16"/>
      <c r="F1541" s="16"/>
      <c r="G1541" s="16"/>
      <c r="H1541" s="16"/>
      <c r="I1541" s="16"/>
      <c r="J1541" s="16"/>
      <c r="K1541" s="16"/>
      <c r="L1541" s="16"/>
      <c r="M1541" s="16"/>
      <c r="N1541" s="16"/>
      <c r="O1541" s="84"/>
      <c r="P1541" s="54"/>
      <c r="Q1541" s="54"/>
      <c r="R1541" s="55"/>
      <c r="S1541" s="55"/>
      <c r="T1541" s="32"/>
      <c r="U1541" s="32"/>
      <c r="V1541" s="32"/>
      <c r="W1541" s="32"/>
      <c r="X1541" s="32"/>
      <c r="Y1541" s="32"/>
      <c r="Z1541" s="32"/>
      <c r="AA1541" s="32"/>
      <c r="AB1541" s="32"/>
      <c r="AC1541" s="32"/>
    </row>
    <row r="1542">
      <c r="A1542" s="32"/>
      <c r="B1542" s="16"/>
      <c r="C1542" s="16"/>
      <c r="D1542" s="16"/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  <c r="O1542" s="84"/>
      <c r="P1542" s="54"/>
      <c r="Q1542" s="54"/>
      <c r="R1542" s="55"/>
      <c r="S1542" s="55"/>
      <c r="T1542" s="32"/>
      <c r="U1542" s="32"/>
      <c r="V1542" s="32"/>
      <c r="W1542" s="32"/>
      <c r="X1542" s="32"/>
      <c r="Y1542" s="32"/>
      <c r="Z1542" s="32"/>
      <c r="AA1542" s="32"/>
      <c r="AB1542" s="32"/>
      <c r="AC1542" s="32"/>
    </row>
    <row r="1543">
      <c r="A1543" s="32"/>
      <c r="B1543" s="16"/>
      <c r="C1543" s="16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84"/>
      <c r="P1543" s="54"/>
      <c r="Q1543" s="54"/>
      <c r="R1543" s="55"/>
      <c r="S1543" s="55"/>
      <c r="T1543" s="32"/>
      <c r="U1543" s="32"/>
      <c r="V1543" s="32"/>
      <c r="W1543" s="32"/>
      <c r="X1543" s="32"/>
      <c r="Y1543" s="32"/>
      <c r="Z1543" s="32"/>
      <c r="AA1543" s="32"/>
      <c r="AB1543" s="32"/>
      <c r="AC1543" s="32"/>
    </row>
    <row r="1544">
      <c r="A1544" s="32"/>
      <c r="B1544" s="16"/>
      <c r="C1544" s="16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84"/>
      <c r="P1544" s="54"/>
      <c r="Q1544" s="54"/>
      <c r="R1544" s="55"/>
      <c r="S1544" s="55"/>
      <c r="T1544" s="32"/>
      <c r="U1544" s="32"/>
      <c r="V1544" s="32"/>
      <c r="W1544" s="32"/>
      <c r="X1544" s="32"/>
      <c r="Y1544" s="32"/>
      <c r="Z1544" s="32"/>
      <c r="AA1544" s="32"/>
      <c r="AB1544" s="32"/>
      <c r="AC1544" s="32"/>
    </row>
    <row r="1545">
      <c r="A1545" s="32"/>
      <c r="B1545" s="16"/>
      <c r="C1545" s="16"/>
      <c r="D1545" s="16"/>
      <c r="E1545" s="16"/>
      <c r="F1545" s="16"/>
      <c r="G1545" s="16"/>
      <c r="H1545" s="16"/>
      <c r="I1545" s="16"/>
      <c r="J1545" s="16"/>
      <c r="K1545" s="16"/>
      <c r="L1545" s="16"/>
      <c r="M1545" s="16"/>
      <c r="N1545" s="16"/>
      <c r="O1545" s="84"/>
      <c r="P1545" s="54"/>
      <c r="Q1545" s="54"/>
      <c r="R1545" s="55"/>
      <c r="S1545" s="55"/>
      <c r="T1545" s="32"/>
      <c r="U1545" s="32"/>
      <c r="V1545" s="32"/>
      <c r="W1545" s="32"/>
      <c r="X1545" s="32"/>
      <c r="Y1545" s="32"/>
      <c r="Z1545" s="32"/>
      <c r="AA1545" s="32"/>
      <c r="AB1545" s="32"/>
      <c r="AC1545" s="32"/>
    </row>
    <row r="1546">
      <c r="A1546" s="32"/>
      <c r="B1546" s="16"/>
      <c r="C1546" s="16"/>
      <c r="D1546" s="16"/>
      <c r="E1546" s="16"/>
      <c r="F1546" s="16"/>
      <c r="G1546" s="16"/>
      <c r="H1546" s="16"/>
      <c r="I1546" s="16"/>
      <c r="J1546" s="16"/>
      <c r="K1546" s="16"/>
      <c r="L1546" s="16"/>
      <c r="M1546" s="16"/>
      <c r="N1546" s="16"/>
      <c r="O1546" s="84"/>
      <c r="P1546" s="54"/>
      <c r="Q1546" s="54"/>
      <c r="R1546" s="55"/>
      <c r="S1546" s="55"/>
      <c r="T1546" s="32"/>
      <c r="U1546" s="32"/>
      <c r="V1546" s="32"/>
      <c r="W1546" s="32"/>
      <c r="X1546" s="32"/>
      <c r="Y1546" s="32"/>
      <c r="Z1546" s="32"/>
      <c r="AA1546" s="32"/>
      <c r="AB1546" s="32"/>
      <c r="AC1546" s="32"/>
    </row>
    <row r="1547">
      <c r="A1547" s="32"/>
      <c r="B1547" s="16"/>
      <c r="C1547" s="16"/>
      <c r="D1547" s="16"/>
      <c r="E1547" s="16"/>
      <c r="F1547" s="16"/>
      <c r="G1547" s="16"/>
      <c r="H1547" s="16"/>
      <c r="I1547" s="16"/>
      <c r="J1547" s="16"/>
      <c r="K1547" s="16"/>
      <c r="L1547" s="16"/>
      <c r="M1547" s="16"/>
      <c r="N1547" s="16"/>
      <c r="O1547" s="84"/>
      <c r="P1547" s="54"/>
      <c r="Q1547" s="54"/>
      <c r="R1547" s="55"/>
      <c r="S1547" s="55"/>
      <c r="T1547" s="32"/>
      <c r="U1547" s="32"/>
      <c r="V1547" s="32"/>
      <c r="W1547" s="32"/>
      <c r="X1547" s="32"/>
      <c r="Y1547" s="32"/>
      <c r="Z1547" s="32"/>
      <c r="AA1547" s="32"/>
      <c r="AB1547" s="32"/>
      <c r="AC1547" s="32"/>
    </row>
    <row r="1548">
      <c r="A1548" s="32"/>
      <c r="B1548" s="16"/>
      <c r="C1548" s="16"/>
      <c r="D1548" s="16"/>
      <c r="E1548" s="16"/>
      <c r="F1548" s="16"/>
      <c r="G1548" s="16"/>
      <c r="H1548" s="16"/>
      <c r="I1548" s="16"/>
      <c r="J1548" s="16"/>
      <c r="K1548" s="16"/>
      <c r="L1548" s="16"/>
      <c r="M1548" s="16"/>
      <c r="N1548" s="16"/>
      <c r="O1548" s="84"/>
      <c r="P1548" s="54"/>
      <c r="Q1548" s="54"/>
      <c r="R1548" s="55"/>
      <c r="S1548" s="55"/>
      <c r="T1548" s="32"/>
      <c r="U1548" s="32"/>
      <c r="V1548" s="32"/>
      <c r="W1548" s="32"/>
      <c r="X1548" s="32"/>
      <c r="Y1548" s="32"/>
      <c r="Z1548" s="32"/>
      <c r="AA1548" s="32"/>
      <c r="AB1548" s="32"/>
      <c r="AC1548" s="32"/>
    </row>
    <row r="1549">
      <c r="A1549" s="32"/>
      <c r="B1549" s="16"/>
      <c r="C1549" s="16"/>
      <c r="D1549" s="16"/>
      <c r="E1549" s="16"/>
      <c r="F1549" s="16"/>
      <c r="G1549" s="16"/>
      <c r="H1549" s="16"/>
      <c r="I1549" s="16"/>
      <c r="J1549" s="16"/>
      <c r="K1549" s="16"/>
      <c r="L1549" s="16"/>
      <c r="M1549" s="16"/>
      <c r="N1549" s="16"/>
      <c r="O1549" s="84"/>
      <c r="P1549" s="54"/>
      <c r="Q1549" s="54"/>
      <c r="R1549" s="55"/>
      <c r="S1549" s="55"/>
      <c r="T1549" s="32"/>
      <c r="U1549" s="32"/>
      <c r="V1549" s="32"/>
      <c r="W1549" s="32"/>
      <c r="X1549" s="32"/>
      <c r="Y1549" s="32"/>
      <c r="Z1549" s="32"/>
      <c r="AA1549" s="32"/>
      <c r="AB1549" s="32"/>
      <c r="AC1549" s="32"/>
    </row>
    <row r="1550">
      <c r="A1550" s="32"/>
      <c r="B1550" s="16"/>
      <c r="C1550" s="16"/>
      <c r="D1550" s="16"/>
      <c r="E1550" s="16"/>
      <c r="F1550" s="16"/>
      <c r="G1550" s="16"/>
      <c r="H1550" s="16"/>
      <c r="I1550" s="16"/>
      <c r="J1550" s="16"/>
      <c r="K1550" s="16"/>
      <c r="L1550" s="16"/>
      <c r="M1550" s="16"/>
      <c r="N1550" s="16"/>
      <c r="O1550" s="84"/>
      <c r="P1550" s="54"/>
      <c r="Q1550" s="54"/>
      <c r="R1550" s="55"/>
      <c r="S1550" s="55"/>
      <c r="T1550" s="32"/>
      <c r="U1550" s="32"/>
      <c r="V1550" s="32"/>
      <c r="W1550" s="32"/>
      <c r="X1550" s="32"/>
      <c r="Y1550" s="32"/>
      <c r="Z1550" s="32"/>
      <c r="AA1550" s="32"/>
      <c r="AB1550" s="32"/>
      <c r="AC1550" s="32"/>
    </row>
    <row r="1551">
      <c r="A1551" s="32"/>
      <c r="B1551" s="16"/>
      <c r="C1551" s="16"/>
      <c r="D1551" s="16"/>
      <c r="E1551" s="16"/>
      <c r="F1551" s="16"/>
      <c r="G1551" s="16"/>
      <c r="H1551" s="16"/>
      <c r="I1551" s="16"/>
      <c r="J1551" s="16"/>
      <c r="K1551" s="16"/>
      <c r="L1551" s="16"/>
      <c r="M1551" s="16"/>
      <c r="N1551" s="16"/>
      <c r="O1551" s="84"/>
      <c r="P1551" s="54"/>
      <c r="Q1551" s="54"/>
      <c r="R1551" s="55"/>
      <c r="S1551" s="55"/>
      <c r="T1551" s="32"/>
      <c r="U1551" s="32"/>
      <c r="V1551" s="32"/>
      <c r="W1551" s="32"/>
      <c r="X1551" s="32"/>
      <c r="Y1551" s="32"/>
      <c r="Z1551" s="32"/>
      <c r="AA1551" s="32"/>
      <c r="AB1551" s="32"/>
      <c r="AC1551" s="32"/>
    </row>
    <row r="1552">
      <c r="A1552" s="32"/>
      <c r="B1552" s="16"/>
      <c r="C1552" s="16"/>
      <c r="D1552" s="16"/>
      <c r="E1552" s="16"/>
      <c r="F1552" s="16"/>
      <c r="G1552" s="16"/>
      <c r="H1552" s="16"/>
      <c r="I1552" s="16"/>
      <c r="J1552" s="16"/>
      <c r="K1552" s="16"/>
      <c r="L1552" s="16"/>
      <c r="M1552" s="16"/>
      <c r="N1552" s="16"/>
      <c r="O1552" s="84"/>
      <c r="P1552" s="54"/>
      <c r="Q1552" s="54"/>
      <c r="R1552" s="55"/>
      <c r="S1552" s="55"/>
      <c r="T1552" s="32"/>
      <c r="U1552" s="32"/>
      <c r="V1552" s="32"/>
      <c r="W1552" s="32"/>
      <c r="X1552" s="32"/>
      <c r="Y1552" s="32"/>
      <c r="Z1552" s="32"/>
      <c r="AA1552" s="32"/>
      <c r="AB1552" s="32"/>
      <c r="AC1552" s="32"/>
    </row>
    <row r="1553">
      <c r="A1553" s="32"/>
      <c r="B1553" s="16"/>
      <c r="C1553" s="16"/>
      <c r="D1553" s="16"/>
      <c r="E1553" s="16"/>
      <c r="F1553" s="16"/>
      <c r="G1553" s="16"/>
      <c r="H1553" s="16"/>
      <c r="I1553" s="16"/>
      <c r="J1553" s="16"/>
      <c r="K1553" s="16"/>
      <c r="L1553" s="16"/>
      <c r="M1553" s="16"/>
      <c r="N1553" s="16"/>
      <c r="O1553" s="84"/>
      <c r="P1553" s="54"/>
      <c r="Q1553" s="54"/>
      <c r="R1553" s="55"/>
      <c r="S1553" s="55"/>
      <c r="T1553" s="32"/>
      <c r="U1553" s="32"/>
      <c r="V1553" s="32"/>
      <c r="W1553" s="32"/>
      <c r="X1553" s="32"/>
      <c r="Y1553" s="32"/>
      <c r="Z1553" s="32"/>
      <c r="AA1553" s="32"/>
      <c r="AB1553" s="32"/>
      <c r="AC1553" s="32"/>
    </row>
    <row r="1554">
      <c r="A1554" s="32"/>
      <c r="B1554" s="16"/>
      <c r="C1554" s="16"/>
      <c r="D1554" s="16"/>
      <c r="E1554" s="16"/>
      <c r="F1554" s="16"/>
      <c r="G1554" s="16"/>
      <c r="H1554" s="16"/>
      <c r="I1554" s="16"/>
      <c r="J1554" s="16"/>
      <c r="K1554" s="16"/>
      <c r="L1554" s="16"/>
      <c r="M1554" s="16"/>
      <c r="N1554" s="16"/>
      <c r="O1554" s="84"/>
      <c r="P1554" s="54"/>
      <c r="Q1554" s="54"/>
      <c r="R1554" s="55"/>
      <c r="S1554" s="55"/>
      <c r="T1554" s="32"/>
      <c r="U1554" s="32"/>
      <c r="V1554" s="32"/>
      <c r="W1554" s="32"/>
      <c r="X1554" s="32"/>
      <c r="Y1554" s="32"/>
      <c r="Z1554" s="32"/>
      <c r="AA1554" s="32"/>
      <c r="AB1554" s="32"/>
      <c r="AC1554" s="32"/>
    </row>
    <row r="1555">
      <c r="A1555" s="32"/>
      <c r="B1555" s="16"/>
      <c r="C1555" s="16"/>
      <c r="D1555" s="16"/>
      <c r="E1555" s="16"/>
      <c r="F1555" s="16"/>
      <c r="G1555" s="16"/>
      <c r="H1555" s="16"/>
      <c r="I1555" s="16"/>
      <c r="J1555" s="16"/>
      <c r="K1555" s="16"/>
      <c r="L1555" s="16"/>
      <c r="M1555" s="16"/>
      <c r="N1555" s="16"/>
      <c r="O1555" s="84"/>
      <c r="P1555" s="54"/>
      <c r="Q1555" s="54"/>
      <c r="R1555" s="55"/>
      <c r="S1555" s="55"/>
      <c r="T1555" s="32"/>
      <c r="U1555" s="32"/>
      <c r="V1555" s="32"/>
      <c r="W1555" s="32"/>
      <c r="X1555" s="32"/>
      <c r="Y1555" s="32"/>
      <c r="Z1555" s="32"/>
      <c r="AA1555" s="32"/>
      <c r="AB1555" s="32"/>
      <c r="AC1555" s="32"/>
    </row>
    <row r="1556">
      <c r="A1556" s="32"/>
      <c r="B1556" s="16"/>
      <c r="C1556" s="16"/>
      <c r="D1556" s="16"/>
      <c r="E1556" s="16"/>
      <c r="F1556" s="16"/>
      <c r="G1556" s="16"/>
      <c r="H1556" s="16"/>
      <c r="I1556" s="16"/>
      <c r="J1556" s="16"/>
      <c r="K1556" s="16"/>
      <c r="L1556" s="16"/>
      <c r="M1556" s="16"/>
      <c r="N1556" s="16"/>
      <c r="O1556" s="84"/>
      <c r="P1556" s="54"/>
      <c r="Q1556" s="54"/>
      <c r="R1556" s="55"/>
      <c r="S1556" s="55"/>
      <c r="T1556" s="32"/>
      <c r="U1556" s="32"/>
      <c r="V1556" s="32"/>
      <c r="W1556" s="32"/>
      <c r="X1556" s="32"/>
      <c r="Y1556" s="32"/>
      <c r="Z1556" s="32"/>
      <c r="AA1556" s="32"/>
      <c r="AB1556" s="32"/>
      <c r="AC1556" s="32"/>
    </row>
    <row r="1557">
      <c r="A1557" s="32"/>
      <c r="B1557" s="16"/>
      <c r="C1557" s="16"/>
      <c r="D1557" s="16"/>
      <c r="E1557" s="16"/>
      <c r="F1557" s="16"/>
      <c r="G1557" s="16"/>
      <c r="H1557" s="16"/>
      <c r="I1557" s="16"/>
      <c r="J1557" s="16"/>
      <c r="K1557" s="16"/>
      <c r="L1557" s="16"/>
      <c r="M1557" s="16"/>
      <c r="N1557" s="16"/>
      <c r="O1557" s="84"/>
      <c r="P1557" s="54"/>
      <c r="Q1557" s="54"/>
      <c r="R1557" s="55"/>
      <c r="S1557" s="55"/>
      <c r="T1557" s="32"/>
      <c r="U1557" s="32"/>
      <c r="V1557" s="32"/>
      <c r="W1557" s="32"/>
      <c r="X1557" s="32"/>
      <c r="Y1557" s="32"/>
      <c r="Z1557" s="32"/>
      <c r="AA1557" s="32"/>
      <c r="AB1557" s="32"/>
      <c r="AC1557" s="32"/>
    </row>
    <row r="1558">
      <c r="A1558" s="32"/>
      <c r="B1558" s="16"/>
      <c r="C1558" s="16"/>
      <c r="D1558" s="16"/>
      <c r="E1558" s="16"/>
      <c r="F1558" s="16"/>
      <c r="G1558" s="16"/>
      <c r="H1558" s="16"/>
      <c r="I1558" s="16"/>
      <c r="J1558" s="16"/>
      <c r="K1558" s="16"/>
      <c r="L1558" s="16"/>
      <c r="M1558" s="16"/>
      <c r="N1558" s="16"/>
      <c r="O1558" s="84"/>
      <c r="P1558" s="54"/>
      <c r="Q1558" s="54"/>
      <c r="R1558" s="55"/>
      <c r="S1558" s="55"/>
      <c r="T1558" s="32"/>
      <c r="U1558" s="32"/>
      <c r="V1558" s="32"/>
      <c r="W1558" s="32"/>
      <c r="X1558" s="32"/>
      <c r="Y1558" s="32"/>
      <c r="Z1558" s="32"/>
      <c r="AA1558" s="32"/>
      <c r="AB1558" s="32"/>
      <c r="AC1558" s="32"/>
    </row>
    <row r="1559">
      <c r="A1559" s="32"/>
      <c r="B1559" s="16"/>
      <c r="C1559" s="16"/>
      <c r="D1559" s="16"/>
      <c r="E1559" s="16"/>
      <c r="F1559" s="16"/>
      <c r="G1559" s="16"/>
      <c r="H1559" s="16"/>
      <c r="I1559" s="16"/>
      <c r="J1559" s="16"/>
      <c r="K1559" s="16"/>
      <c r="L1559" s="16"/>
      <c r="M1559" s="16"/>
      <c r="N1559" s="16"/>
      <c r="O1559" s="84"/>
      <c r="P1559" s="54"/>
      <c r="Q1559" s="54"/>
      <c r="R1559" s="55"/>
      <c r="S1559" s="55"/>
      <c r="T1559" s="32"/>
      <c r="U1559" s="32"/>
      <c r="V1559" s="32"/>
      <c r="W1559" s="32"/>
      <c r="X1559" s="32"/>
      <c r="Y1559" s="32"/>
      <c r="Z1559" s="32"/>
      <c r="AA1559" s="32"/>
      <c r="AB1559" s="32"/>
      <c r="AC1559" s="32"/>
    </row>
    <row r="1560">
      <c r="A1560" s="32"/>
      <c r="B1560" s="16"/>
      <c r="C1560" s="16"/>
      <c r="D1560" s="16"/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  <c r="O1560" s="84"/>
      <c r="P1560" s="54"/>
      <c r="Q1560" s="54"/>
      <c r="R1560" s="55"/>
      <c r="S1560" s="55"/>
      <c r="T1560" s="32"/>
      <c r="U1560" s="32"/>
      <c r="V1560" s="32"/>
      <c r="W1560" s="32"/>
      <c r="X1560" s="32"/>
      <c r="Y1560" s="32"/>
      <c r="Z1560" s="32"/>
      <c r="AA1560" s="32"/>
      <c r="AB1560" s="32"/>
      <c r="AC1560" s="32"/>
    </row>
    <row r="1561">
      <c r="A1561" s="32"/>
      <c r="B1561" s="16"/>
      <c r="C1561" s="16"/>
      <c r="D1561" s="16"/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  <c r="O1561" s="84"/>
      <c r="P1561" s="54"/>
      <c r="Q1561" s="54"/>
      <c r="R1561" s="55"/>
      <c r="S1561" s="55"/>
      <c r="T1561" s="32"/>
      <c r="U1561" s="32"/>
      <c r="V1561" s="32"/>
      <c r="W1561" s="32"/>
      <c r="X1561" s="32"/>
      <c r="Y1561" s="32"/>
      <c r="Z1561" s="32"/>
      <c r="AA1561" s="32"/>
      <c r="AB1561" s="32"/>
      <c r="AC1561" s="32"/>
    </row>
    <row r="1562">
      <c r="A1562" s="32"/>
      <c r="B1562" s="16"/>
      <c r="C1562" s="16"/>
      <c r="D1562" s="16"/>
      <c r="E1562" s="16"/>
      <c r="F1562" s="16"/>
      <c r="G1562" s="16"/>
      <c r="H1562" s="16"/>
      <c r="I1562" s="16"/>
      <c r="J1562" s="16"/>
      <c r="K1562" s="16"/>
      <c r="L1562" s="16"/>
      <c r="M1562" s="16"/>
      <c r="N1562" s="16"/>
      <c r="O1562" s="84"/>
      <c r="P1562" s="54"/>
      <c r="Q1562" s="54"/>
      <c r="R1562" s="55"/>
      <c r="S1562" s="55"/>
      <c r="T1562" s="32"/>
      <c r="U1562" s="32"/>
      <c r="V1562" s="32"/>
      <c r="W1562" s="32"/>
      <c r="X1562" s="32"/>
      <c r="Y1562" s="32"/>
      <c r="Z1562" s="32"/>
      <c r="AA1562" s="32"/>
      <c r="AB1562" s="32"/>
      <c r="AC1562" s="32"/>
    </row>
    <row r="1563">
      <c r="A1563" s="32"/>
      <c r="B1563" s="16"/>
      <c r="C1563" s="16"/>
      <c r="D1563" s="16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84"/>
      <c r="P1563" s="54"/>
      <c r="Q1563" s="54"/>
      <c r="R1563" s="55"/>
      <c r="S1563" s="55"/>
      <c r="T1563" s="32"/>
      <c r="U1563" s="32"/>
      <c r="V1563" s="32"/>
      <c r="W1563" s="32"/>
      <c r="X1563" s="32"/>
      <c r="Y1563" s="32"/>
      <c r="Z1563" s="32"/>
      <c r="AA1563" s="32"/>
      <c r="AB1563" s="32"/>
      <c r="AC1563" s="32"/>
    </row>
    <row r="1564">
      <c r="A1564" s="32"/>
      <c r="B1564" s="16"/>
      <c r="C1564" s="16"/>
      <c r="D1564" s="16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84"/>
      <c r="P1564" s="54"/>
      <c r="Q1564" s="54"/>
      <c r="R1564" s="55"/>
      <c r="S1564" s="55"/>
      <c r="T1564" s="32"/>
      <c r="U1564" s="32"/>
      <c r="V1564" s="32"/>
      <c r="W1564" s="32"/>
      <c r="X1564" s="32"/>
      <c r="Y1564" s="32"/>
      <c r="Z1564" s="32"/>
      <c r="AA1564" s="32"/>
      <c r="AB1564" s="32"/>
      <c r="AC1564" s="32"/>
    </row>
    <row r="1565">
      <c r="A1565" s="32"/>
      <c r="B1565" s="16"/>
      <c r="C1565" s="16"/>
      <c r="D1565" s="16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84"/>
      <c r="P1565" s="54"/>
      <c r="Q1565" s="54"/>
      <c r="R1565" s="55"/>
      <c r="S1565" s="55"/>
      <c r="T1565" s="32"/>
      <c r="U1565" s="32"/>
      <c r="V1565" s="32"/>
      <c r="W1565" s="32"/>
      <c r="X1565" s="32"/>
      <c r="Y1565" s="32"/>
      <c r="Z1565" s="32"/>
      <c r="AA1565" s="32"/>
      <c r="AB1565" s="32"/>
      <c r="AC1565" s="32"/>
    </row>
    <row r="1566">
      <c r="A1566" s="32"/>
      <c r="B1566" s="16"/>
      <c r="C1566" s="16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84"/>
      <c r="P1566" s="54"/>
      <c r="Q1566" s="54"/>
      <c r="R1566" s="55"/>
      <c r="S1566" s="55"/>
      <c r="T1566" s="32"/>
      <c r="U1566" s="32"/>
      <c r="V1566" s="32"/>
      <c r="W1566" s="32"/>
      <c r="X1566" s="32"/>
      <c r="Y1566" s="32"/>
      <c r="Z1566" s="32"/>
      <c r="AA1566" s="32"/>
      <c r="AB1566" s="32"/>
      <c r="AC1566" s="32"/>
    </row>
    <row r="1567">
      <c r="A1567" s="32"/>
      <c r="B1567" s="16"/>
      <c r="C1567" s="16"/>
      <c r="D1567" s="16"/>
      <c r="E1567" s="16"/>
      <c r="F1567" s="16"/>
      <c r="G1567" s="16"/>
      <c r="H1567" s="16"/>
      <c r="I1567" s="16"/>
      <c r="J1567" s="16"/>
      <c r="K1567" s="16"/>
      <c r="L1567" s="16"/>
      <c r="M1567" s="16"/>
      <c r="N1567" s="16"/>
      <c r="O1567" s="84"/>
      <c r="P1567" s="54"/>
      <c r="Q1567" s="54"/>
      <c r="R1567" s="55"/>
      <c r="S1567" s="55"/>
      <c r="T1567" s="32"/>
      <c r="U1567" s="32"/>
      <c r="V1567" s="32"/>
      <c r="W1567" s="32"/>
      <c r="X1567" s="32"/>
      <c r="Y1567" s="32"/>
      <c r="Z1567" s="32"/>
      <c r="AA1567" s="32"/>
      <c r="AB1567" s="32"/>
      <c r="AC1567" s="32"/>
    </row>
    <row r="1568">
      <c r="A1568" s="32"/>
      <c r="B1568" s="16"/>
      <c r="C1568" s="16"/>
      <c r="D1568" s="16"/>
      <c r="E1568" s="16"/>
      <c r="F1568" s="16"/>
      <c r="G1568" s="16"/>
      <c r="H1568" s="16"/>
      <c r="I1568" s="16"/>
      <c r="J1568" s="16"/>
      <c r="K1568" s="16"/>
      <c r="L1568" s="16"/>
      <c r="M1568" s="16"/>
      <c r="N1568" s="16"/>
      <c r="O1568" s="84"/>
      <c r="P1568" s="54"/>
      <c r="Q1568" s="54"/>
      <c r="R1568" s="55"/>
      <c r="S1568" s="55"/>
      <c r="T1568" s="32"/>
      <c r="U1568" s="32"/>
      <c r="V1568" s="32"/>
      <c r="W1568" s="32"/>
      <c r="X1568" s="32"/>
      <c r="Y1568" s="32"/>
      <c r="Z1568" s="32"/>
      <c r="AA1568" s="32"/>
      <c r="AB1568" s="32"/>
      <c r="AC1568" s="32"/>
    </row>
    <row r="1569">
      <c r="A1569" s="32"/>
      <c r="B1569" s="16"/>
      <c r="C1569" s="16"/>
      <c r="D1569" s="16"/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  <c r="O1569" s="84"/>
      <c r="P1569" s="54"/>
      <c r="Q1569" s="54"/>
      <c r="R1569" s="55"/>
      <c r="S1569" s="55"/>
      <c r="T1569" s="32"/>
      <c r="U1569" s="32"/>
      <c r="V1569" s="32"/>
      <c r="W1569" s="32"/>
      <c r="X1569" s="32"/>
      <c r="Y1569" s="32"/>
      <c r="Z1569" s="32"/>
      <c r="AA1569" s="32"/>
      <c r="AB1569" s="32"/>
      <c r="AC1569" s="32"/>
    </row>
    <row r="1570">
      <c r="A1570" s="32"/>
      <c r="B1570" s="16"/>
      <c r="C1570" s="16"/>
      <c r="D1570" s="16"/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  <c r="O1570" s="84"/>
      <c r="P1570" s="54"/>
      <c r="Q1570" s="54"/>
      <c r="R1570" s="55"/>
      <c r="S1570" s="55"/>
      <c r="T1570" s="32"/>
      <c r="U1570" s="32"/>
      <c r="V1570" s="32"/>
      <c r="W1570" s="32"/>
      <c r="X1570" s="32"/>
      <c r="Y1570" s="32"/>
      <c r="Z1570" s="32"/>
      <c r="AA1570" s="32"/>
      <c r="AB1570" s="32"/>
      <c r="AC1570" s="32"/>
    </row>
    <row r="1571">
      <c r="A1571" s="32"/>
      <c r="B1571" s="16"/>
      <c r="C1571" s="16"/>
      <c r="D1571" s="16"/>
      <c r="E1571" s="16"/>
      <c r="F1571" s="16"/>
      <c r="G1571" s="16"/>
      <c r="H1571" s="16"/>
      <c r="I1571" s="16"/>
      <c r="J1571" s="16"/>
      <c r="K1571" s="16"/>
      <c r="L1571" s="16"/>
      <c r="M1571" s="16"/>
      <c r="N1571" s="16"/>
      <c r="O1571" s="84"/>
      <c r="P1571" s="54"/>
      <c r="Q1571" s="54"/>
      <c r="R1571" s="55"/>
      <c r="S1571" s="55"/>
      <c r="T1571" s="32"/>
      <c r="U1571" s="32"/>
      <c r="V1571" s="32"/>
      <c r="W1571" s="32"/>
      <c r="X1571" s="32"/>
      <c r="Y1571" s="32"/>
      <c r="Z1571" s="32"/>
      <c r="AA1571" s="32"/>
      <c r="AB1571" s="32"/>
      <c r="AC1571" s="32"/>
    </row>
    <row r="1572">
      <c r="A1572" s="32"/>
      <c r="B1572" s="16"/>
      <c r="C1572" s="16"/>
      <c r="D1572" s="16"/>
      <c r="E1572" s="16"/>
      <c r="F1572" s="16"/>
      <c r="G1572" s="16"/>
      <c r="H1572" s="16"/>
      <c r="I1572" s="16"/>
      <c r="J1572" s="16"/>
      <c r="K1572" s="16"/>
      <c r="L1572" s="16"/>
      <c r="M1572" s="16"/>
      <c r="N1572" s="16"/>
      <c r="O1572" s="84"/>
      <c r="P1572" s="54"/>
      <c r="Q1572" s="54"/>
      <c r="R1572" s="55"/>
      <c r="S1572" s="55"/>
      <c r="T1572" s="32"/>
      <c r="U1572" s="32"/>
      <c r="V1572" s="32"/>
      <c r="W1572" s="32"/>
      <c r="X1572" s="32"/>
      <c r="Y1572" s="32"/>
      <c r="Z1572" s="32"/>
      <c r="AA1572" s="32"/>
      <c r="AB1572" s="32"/>
      <c r="AC1572" s="32"/>
    </row>
    <row r="1573">
      <c r="A1573" s="32"/>
      <c r="B1573" s="16"/>
      <c r="C1573" s="16"/>
      <c r="D1573" s="16"/>
      <c r="E1573" s="16"/>
      <c r="F1573" s="16"/>
      <c r="G1573" s="16"/>
      <c r="H1573" s="16"/>
      <c r="I1573" s="16"/>
      <c r="J1573" s="16"/>
      <c r="K1573" s="16"/>
      <c r="L1573" s="16"/>
      <c r="M1573" s="16"/>
      <c r="N1573" s="16"/>
      <c r="O1573" s="84"/>
      <c r="P1573" s="54"/>
      <c r="Q1573" s="54"/>
      <c r="R1573" s="55"/>
      <c r="S1573" s="55"/>
      <c r="T1573" s="32"/>
      <c r="U1573" s="32"/>
      <c r="V1573" s="32"/>
      <c r="W1573" s="32"/>
      <c r="X1573" s="32"/>
      <c r="Y1573" s="32"/>
      <c r="Z1573" s="32"/>
      <c r="AA1573" s="32"/>
      <c r="AB1573" s="32"/>
      <c r="AC1573" s="32"/>
    </row>
    <row r="1574">
      <c r="A1574" s="32"/>
      <c r="B1574" s="16"/>
      <c r="C1574" s="16"/>
      <c r="D1574" s="16"/>
      <c r="E1574" s="16"/>
      <c r="F1574" s="16"/>
      <c r="G1574" s="16"/>
      <c r="H1574" s="16"/>
      <c r="I1574" s="16"/>
      <c r="J1574" s="16"/>
      <c r="K1574" s="16"/>
      <c r="L1574" s="16"/>
      <c r="M1574" s="16"/>
      <c r="N1574" s="16"/>
      <c r="O1574" s="84"/>
      <c r="P1574" s="54"/>
      <c r="Q1574" s="54"/>
      <c r="R1574" s="55"/>
      <c r="S1574" s="55"/>
      <c r="T1574" s="32"/>
      <c r="U1574" s="32"/>
      <c r="V1574" s="32"/>
      <c r="W1574" s="32"/>
      <c r="X1574" s="32"/>
      <c r="Y1574" s="32"/>
      <c r="Z1574" s="32"/>
      <c r="AA1574" s="32"/>
      <c r="AB1574" s="32"/>
      <c r="AC1574" s="32"/>
    </row>
    <row r="1575">
      <c r="A1575" s="32"/>
      <c r="B1575" s="16"/>
      <c r="C1575" s="16"/>
      <c r="D1575" s="16"/>
      <c r="E1575" s="16"/>
      <c r="F1575" s="16"/>
      <c r="G1575" s="16"/>
      <c r="H1575" s="16"/>
      <c r="I1575" s="16"/>
      <c r="J1575" s="16"/>
      <c r="K1575" s="16"/>
      <c r="L1575" s="16"/>
      <c r="M1575" s="16"/>
      <c r="N1575" s="16"/>
      <c r="O1575" s="84"/>
      <c r="P1575" s="54"/>
      <c r="Q1575" s="54"/>
      <c r="R1575" s="55"/>
      <c r="S1575" s="55"/>
      <c r="T1575" s="32"/>
      <c r="U1575" s="32"/>
      <c r="V1575" s="32"/>
      <c r="W1575" s="32"/>
      <c r="X1575" s="32"/>
      <c r="Y1575" s="32"/>
      <c r="Z1575" s="32"/>
      <c r="AA1575" s="32"/>
      <c r="AB1575" s="32"/>
      <c r="AC1575" s="32"/>
    </row>
    <row r="1576">
      <c r="A1576" s="32"/>
      <c r="B1576" s="16"/>
      <c r="C1576" s="16"/>
      <c r="D1576" s="16"/>
      <c r="E1576" s="16"/>
      <c r="F1576" s="16"/>
      <c r="G1576" s="16"/>
      <c r="H1576" s="16"/>
      <c r="I1576" s="16"/>
      <c r="J1576" s="16"/>
      <c r="K1576" s="16"/>
      <c r="L1576" s="16"/>
      <c r="M1576" s="16"/>
      <c r="N1576" s="16"/>
      <c r="O1576" s="84"/>
      <c r="P1576" s="54"/>
      <c r="Q1576" s="54"/>
      <c r="R1576" s="55"/>
      <c r="S1576" s="55"/>
      <c r="T1576" s="32"/>
      <c r="U1576" s="32"/>
      <c r="V1576" s="32"/>
      <c r="W1576" s="32"/>
      <c r="X1576" s="32"/>
      <c r="Y1576" s="32"/>
      <c r="Z1576" s="32"/>
      <c r="AA1576" s="32"/>
      <c r="AB1576" s="32"/>
      <c r="AC1576" s="32"/>
    </row>
    <row r="1577">
      <c r="A1577" s="32"/>
      <c r="B1577" s="16"/>
      <c r="C1577" s="16"/>
      <c r="D1577" s="16"/>
      <c r="E1577" s="16"/>
      <c r="F1577" s="16"/>
      <c r="G1577" s="16"/>
      <c r="H1577" s="16"/>
      <c r="I1577" s="16"/>
      <c r="J1577" s="16"/>
      <c r="K1577" s="16"/>
      <c r="L1577" s="16"/>
      <c r="M1577" s="16"/>
      <c r="N1577" s="16"/>
      <c r="O1577" s="84"/>
      <c r="P1577" s="54"/>
      <c r="Q1577" s="54"/>
      <c r="R1577" s="55"/>
      <c r="S1577" s="55"/>
      <c r="T1577" s="32"/>
      <c r="U1577" s="32"/>
      <c r="V1577" s="32"/>
      <c r="W1577" s="32"/>
      <c r="X1577" s="32"/>
      <c r="Y1577" s="32"/>
      <c r="Z1577" s="32"/>
      <c r="AA1577" s="32"/>
      <c r="AB1577" s="32"/>
      <c r="AC1577" s="32"/>
    </row>
    <row r="1578">
      <c r="A1578" s="32"/>
      <c r="B1578" s="16"/>
      <c r="C1578" s="16"/>
      <c r="D1578" s="16"/>
      <c r="E1578" s="16"/>
      <c r="F1578" s="16"/>
      <c r="G1578" s="16"/>
      <c r="H1578" s="16"/>
      <c r="I1578" s="16"/>
      <c r="J1578" s="16"/>
      <c r="K1578" s="16"/>
      <c r="L1578" s="16"/>
      <c r="M1578" s="16"/>
      <c r="N1578" s="16"/>
      <c r="O1578" s="84"/>
      <c r="P1578" s="54"/>
      <c r="Q1578" s="54"/>
      <c r="R1578" s="55"/>
      <c r="S1578" s="55"/>
      <c r="T1578" s="32"/>
      <c r="U1578" s="32"/>
      <c r="V1578" s="32"/>
      <c r="W1578" s="32"/>
      <c r="X1578" s="32"/>
      <c r="Y1578" s="32"/>
      <c r="Z1578" s="32"/>
      <c r="AA1578" s="32"/>
      <c r="AB1578" s="32"/>
      <c r="AC1578" s="32"/>
    </row>
    <row r="1579">
      <c r="A1579" s="32"/>
      <c r="B1579" s="16"/>
      <c r="C1579" s="16"/>
      <c r="D1579" s="16"/>
      <c r="E1579" s="16"/>
      <c r="F1579" s="16"/>
      <c r="G1579" s="16"/>
      <c r="H1579" s="16"/>
      <c r="I1579" s="16"/>
      <c r="J1579" s="16"/>
      <c r="K1579" s="16"/>
      <c r="L1579" s="16"/>
      <c r="M1579" s="16"/>
      <c r="N1579" s="16"/>
      <c r="O1579" s="84"/>
      <c r="P1579" s="54"/>
      <c r="Q1579" s="54"/>
      <c r="R1579" s="55"/>
      <c r="S1579" s="55"/>
      <c r="T1579" s="32"/>
      <c r="U1579" s="32"/>
      <c r="V1579" s="32"/>
      <c r="W1579" s="32"/>
      <c r="X1579" s="32"/>
      <c r="Y1579" s="32"/>
      <c r="Z1579" s="32"/>
      <c r="AA1579" s="32"/>
      <c r="AB1579" s="32"/>
      <c r="AC1579" s="32"/>
    </row>
    <row r="1580">
      <c r="A1580" s="32"/>
      <c r="B1580" s="16"/>
      <c r="C1580" s="16"/>
      <c r="D1580" s="16"/>
      <c r="E1580" s="16"/>
      <c r="F1580" s="16"/>
      <c r="G1580" s="16"/>
      <c r="H1580" s="16"/>
      <c r="I1580" s="16"/>
      <c r="J1580" s="16"/>
      <c r="K1580" s="16"/>
      <c r="L1580" s="16"/>
      <c r="M1580" s="16"/>
      <c r="N1580" s="16"/>
      <c r="O1580" s="84"/>
      <c r="P1580" s="54"/>
      <c r="Q1580" s="54"/>
      <c r="R1580" s="55"/>
      <c r="S1580" s="55"/>
      <c r="T1580" s="32"/>
      <c r="U1580" s="32"/>
      <c r="V1580" s="32"/>
      <c r="W1580" s="32"/>
      <c r="X1580" s="32"/>
      <c r="Y1580" s="32"/>
      <c r="Z1580" s="32"/>
      <c r="AA1580" s="32"/>
      <c r="AB1580" s="32"/>
      <c r="AC1580" s="32"/>
    </row>
    <row r="1581">
      <c r="A1581" s="32"/>
      <c r="B1581" s="16"/>
      <c r="C1581" s="16"/>
      <c r="D1581" s="16"/>
      <c r="E1581" s="16"/>
      <c r="F1581" s="16"/>
      <c r="G1581" s="16"/>
      <c r="H1581" s="16"/>
      <c r="I1581" s="16"/>
      <c r="J1581" s="16"/>
      <c r="K1581" s="16"/>
      <c r="L1581" s="16"/>
      <c r="M1581" s="16"/>
      <c r="N1581" s="16"/>
      <c r="O1581" s="84"/>
      <c r="P1581" s="54"/>
      <c r="Q1581" s="54"/>
      <c r="R1581" s="55"/>
      <c r="S1581" s="55"/>
      <c r="T1581" s="32"/>
      <c r="U1581" s="32"/>
      <c r="V1581" s="32"/>
      <c r="W1581" s="32"/>
      <c r="X1581" s="32"/>
      <c r="Y1581" s="32"/>
      <c r="Z1581" s="32"/>
      <c r="AA1581" s="32"/>
      <c r="AB1581" s="32"/>
      <c r="AC1581" s="32"/>
    </row>
    <row r="1582">
      <c r="A1582" s="32"/>
      <c r="B1582" s="16"/>
      <c r="C1582" s="16"/>
      <c r="D1582" s="16"/>
      <c r="E1582" s="16"/>
      <c r="F1582" s="16"/>
      <c r="G1582" s="16"/>
      <c r="H1582" s="16"/>
      <c r="I1582" s="16"/>
      <c r="J1582" s="16"/>
      <c r="K1582" s="16"/>
      <c r="L1582" s="16"/>
      <c r="M1582" s="16"/>
      <c r="N1582" s="16"/>
      <c r="O1582" s="84"/>
      <c r="P1582" s="54"/>
      <c r="Q1582" s="54"/>
      <c r="R1582" s="55"/>
      <c r="S1582" s="55"/>
      <c r="T1582" s="32"/>
      <c r="U1582" s="32"/>
      <c r="V1582" s="32"/>
      <c r="W1582" s="32"/>
      <c r="X1582" s="32"/>
      <c r="Y1582" s="32"/>
      <c r="Z1582" s="32"/>
      <c r="AA1582" s="32"/>
      <c r="AB1582" s="32"/>
      <c r="AC1582" s="32"/>
    </row>
    <row r="1583">
      <c r="A1583" s="32"/>
      <c r="B1583" s="16"/>
      <c r="C1583" s="16"/>
      <c r="D1583" s="16"/>
      <c r="E1583" s="16"/>
      <c r="F1583" s="16"/>
      <c r="G1583" s="16"/>
      <c r="H1583" s="16"/>
      <c r="I1583" s="16"/>
      <c r="J1583" s="16"/>
      <c r="K1583" s="16"/>
      <c r="L1583" s="16"/>
      <c r="M1583" s="16"/>
      <c r="N1583" s="16"/>
      <c r="O1583" s="84"/>
      <c r="P1583" s="54"/>
      <c r="Q1583" s="54"/>
      <c r="R1583" s="55"/>
      <c r="S1583" s="55"/>
      <c r="T1583" s="32"/>
      <c r="U1583" s="32"/>
      <c r="V1583" s="32"/>
      <c r="W1583" s="32"/>
      <c r="X1583" s="32"/>
      <c r="Y1583" s="32"/>
      <c r="Z1583" s="32"/>
      <c r="AA1583" s="32"/>
      <c r="AB1583" s="32"/>
      <c r="AC1583" s="32"/>
    </row>
    <row r="1584">
      <c r="A1584" s="32"/>
      <c r="B1584" s="16"/>
      <c r="C1584" s="16"/>
      <c r="D1584" s="16"/>
      <c r="E1584" s="16"/>
      <c r="F1584" s="16"/>
      <c r="G1584" s="16"/>
      <c r="H1584" s="16"/>
      <c r="I1584" s="16"/>
      <c r="J1584" s="16"/>
      <c r="K1584" s="16"/>
      <c r="L1584" s="16"/>
      <c r="M1584" s="16"/>
      <c r="N1584" s="16"/>
      <c r="O1584" s="84"/>
      <c r="P1584" s="54"/>
      <c r="Q1584" s="54"/>
      <c r="R1584" s="55"/>
      <c r="S1584" s="55"/>
      <c r="T1584" s="32"/>
      <c r="U1584" s="32"/>
      <c r="V1584" s="32"/>
      <c r="W1584" s="32"/>
      <c r="X1584" s="32"/>
      <c r="Y1584" s="32"/>
      <c r="Z1584" s="32"/>
      <c r="AA1584" s="32"/>
      <c r="AB1584" s="32"/>
      <c r="AC1584" s="32"/>
    </row>
    <row r="1585">
      <c r="A1585" s="32"/>
      <c r="B1585" s="16"/>
      <c r="C1585" s="16"/>
      <c r="D1585" s="16"/>
      <c r="E1585" s="16"/>
      <c r="F1585" s="16"/>
      <c r="G1585" s="16"/>
      <c r="H1585" s="16"/>
      <c r="I1585" s="16"/>
      <c r="J1585" s="16"/>
      <c r="K1585" s="16"/>
      <c r="L1585" s="16"/>
      <c r="M1585" s="16"/>
      <c r="N1585" s="16"/>
      <c r="O1585" s="84"/>
      <c r="P1585" s="54"/>
      <c r="Q1585" s="54"/>
      <c r="R1585" s="55"/>
      <c r="S1585" s="55"/>
      <c r="T1585" s="32"/>
      <c r="U1585" s="32"/>
      <c r="V1585" s="32"/>
      <c r="W1585" s="32"/>
      <c r="X1585" s="32"/>
      <c r="Y1585" s="32"/>
      <c r="Z1585" s="32"/>
      <c r="AA1585" s="32"/>
      <c r="AB1585" s="32"/>
      <c r="AC1585" s="32"/>
    </row>
    <row r="1586">
      <c r="A1586" s="32"/>
      <c r="B1586" s="16"/>
      <c r="C1586" s="16"/>
      <c r="D1586" s="16"/>
      <c r="E1586" s="16"/>
      <c r="F1586" s="16"/>
      <c r="G1586" s="16"/>
      <c r="H1586" s="16"/>
      <c r="I1586" s="16"/>
      <c r="J1586" s="16"/>
      <c r="K1586" s="16"/>
      <c r="L1586" s="16"/>
      <c r="M1586" s="16"/>
      <c r="N1586" s="16"/>
      <c r="O1586" s="84"/>
      <c r="P1586" s="54"/>
      <c r="Q1586" s="54"/>
      <c r="R1586" s="55"/>
      <c r="S1586" s="55"/>
      <c r="T1586" s="32"/>
      <c r="U1586" s="32"/>
      <c r="V1586" s="32"/>
      <c r="W1586" s="32"/>
      <c r="X1586" s="32"/>
      <c r="Y1586" s="32"/>
      <c r="Z1586" s="32"/>
      <c r="AA1586" s="32"/>
      <c r="AB1586" s="32"/>
      <c r="AC1586" s="32"/>
    </row>
    <row r="1587">
      <c r="A1587" s="32"/>
      <c r="B1587" s="16"/>
      <c r="C1587" s="16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84"/>
      <c r="P1587" s="54"/>
      <c r="Q1587" s="54"/>
      <c r="R1587" s="55"/>
      <c r="S1587" s="55"/>
      <c r="T1587" s="32"/>
      <c r="U1587" s="32"/>
      <c r="V1587" s="32"/>
      <c r="W1587" s="32"/>
      <c r="X1587" s="32"/>
      <c r="Y1587" s="32"/>
      <c r="Z1587" s="32"/>
      <c r="AA1587" s="32"/>
      <c r="AB1587" s="32"/>
      <c r="AC1587" s="32"/>
    </row>
    <row r="1588">
      <c r="A1588" s="32"/>
      <c r="B1588" s="16"/>
      <c r="C1588" s="16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84"/>
      <c r="P1588" s="54"/>
      <c r="Q1588" s="54"/>
      <c r="R1588" s="55"/>
      <c r="S1588" s="55"/>
      <c r="T1588" s="32"/>
      <c r="U1588" s="32"/>
      <c r="V1588" s="32"/>
      <c r="W1588" s="32"/>
      <c r="X1588" s="32"/>
      <c r="Y1588" s="32"/>
      <c r="Z1588" s="32"/>
      <c r="AA1588" s="32"/>
      <c r="AB1588" s="32"/>
      <c r="AC1588" s="32"/>
    </row>
    <row r="1589">
      <c r="A1589" s="32"/>
      <c r="B1589" s="16"/>
      <c r="C1589" s="16"/>
      <c r="D1589" s="16"/>
      <c r="E1589" s="16"/>
      <c r="F1589" s="16"/>
      <c r="G1589" s="16"/>
      <c r="H1589" s="16"/>
      <c r="I1589" s="16"/>
      <c r="J1589" s="16"/>
      <c r="K1589" s="16"/>
      <c r="L1589" s="16"/>
      <c r="M1589" s="16"/>
      <c r="N1589" s="16"/>
      <c r="O1589" s="84"/>
      <c r="P1589" s="54"/>
      <c r="Q1589" s="54"/>
      <c r="R1589" s="55"/>
      <c r="S1589" s="55"/>
      <c r="T1589" s="32"/>
      <c r="U1589" s="32"/>
      <c r="V1589" s="32"/>
      <c r="W1589" s="32"/>
      <c r="X1589" s="32"/>
      <c r="Y1589" s="32"/>
      <c r="Z1589" s="32"/>
      <c r="AA1589" s="32"/>
      <c r="AB1589" s="32"/>
      <c r="AC1589" s="32"/>
    </row>
    <row r="1590">
      <c r="A1590" s="32"/>
      <c r="B1590" s="16"/>
      <c r="C1590" s="16"/>
      <c r="D1590" s="16"/>
      <c r="E1590" s="16"/>
      <c r="F1590" s="16"/>
      <c r="G1590" s="16"/>
      <c r="H1590" s="16"/>
      <c r="I1590" s="16"/>
      <c r="J1590" s="16"/>
      <c r="K1590" s="16"/>
      <c r="L1590" s="16"/>
      <c r="M1590" s="16"/>
      <c r="N1590" s="16"/>
      <c r="O1590" s="84"/>
      <c r="P1590" s="54"/>
      <c r="Q1590" s="54"/>
      <c r="R1590" s="55"/>
      <c r="S1590" s="55"/>
      <c r="T1590" s="32"/>
      <c r="U1590" s="32"/>
      <c r="V1590" s="32"/>
      <c r="W1590" s="32"/>
      <c r="X1590" s="32"/>
      <c r="Y1590" s="32"/>
      <c r="Z1590" s="32"/>
      <c r="AA1590" s="32"/>
      <c r="AB1590" s="32"/>
      <c r="AC1590" s="32"/>
    </row>
    <row r="1591">
      <c r="A1591" s="32"/>
      <c r="B1591" s="16"/>
      <c r="C1591" s="16"/>
      <c r="D1591" s="16"/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  <c r="O1591" s="84"/>
      <c r="P1591" s="54"/>
      <c r="Q1591" s="54"/>
      <c r="R1591" s="55"/>
      <c r="S1591" s="55"/>
      <c r="T1591" s="32"/>
      <c r="U1591" s="32"/>
      <c r="V1591" s="32"/>
      <c r="W1591" s="32"/>
      <c r="X1591" s="32"/>
      <c r="Y1591" s="32"/>
      <c r="Z1591" s="32"/>
      <c r="AA1591" s="32"/>
      <c r="AB1591" s="32"/>
      <c r="AC1591" s="32"/>
    </row>
    <row r="1592">
      <c r="A1592" s="32"/>
      <c r="B1592" s="16"/>
      <c r="C1592" s="16"/>
      <c r="D1592" s="16"/>
      <c r="E1592" s="16"/>
      <c r="F1592" s="16"/>
      <c r="G1592" s="16"/>
      <c r="H1592" s="16"/>
      <c r="I1592" s="16"/>
      <c r="J1592" s="16"/>
      <c r="K1592" s="16"/>
      <c r="L1592" s="16"/>
      <c r="M1592" s="16"/>
      <c r="N1592" s="16"/>
      <c r="O1592" s="84"/>
      <c r="P1592" s="54"/>
      <c r="Q1592" s="54"/>
      <c r="R1592" s="55"/>
      <c r="S1592" s="55"/>
      <c r="T1592" s="32"/>
      <c r="U1592" s="32"/>
      <c r="V1592" s="32"/>
      <c r="W1592" s="32"/>
      <c r="X1592" s="32"/>
      <c r="Y1592" s="32"/>
      <c r="Z1592" s="32"/>
      <c r="AA1592" s="32"/>
      <c r="AB1592" s="32"/>
      <c r="AC1592" s="32"/>
    </row>
    <row r="1593">
      <c r="A1593" s="32"/>
      <c r="B1593" s="16"/>
      <c r="C1593" s="16"/>
      <c r="D1593" s="16"/>
      <c r="E1593" s="16"/>
      <c r="F1593" s="16"/>
      <c r="G1593" s="16"/>
      <c r="H1593" s="16"/>
      <c r="I1593" s="16"/>
      <c r="J1593" s="16"/>
      <c r="K1593" s="16"/>
      <c r="L1593" s="16"/>
      <c r="M1593" s="16"/>
      <c r="N1593" s="16"/>
      <c r="O1593" s="84"/>
      <c r="P1593" s="54"/>
      <c r="Q1593" s="54"/>
      <c r="R1593" s="55"/>
      <c r="S1593" s="55"/>
      <c r="T1593" s="32"/>
      <c r="U1593" s="32"/>
      <c r="V1593" s="32"/>
      <c r="W1593" s="32"/>
      <c r="X1593" s="32"/>
      <c r="Y1593" s="32"/>
      <c r="Z1593" s="32"/>
      <c r="AA1593" s="32"/>
      <c r="AB1593" s="32"/>
      <c r="AC1593" s="32"/>
    </row>
    <row r="1594">
      <c r="A1594" s="32"/>
      <c r="B1594" s="16"/>
      <c r="C1594" s="16"/>
      <c r="D1594" s="16"/>
      <c r="E1594" s="16"/>
      <c r="F1594" s="16"/>
      <c r="G1594" s="16"/>
      <c r="H1594" s="16"/>
      <c r="I1594" s="16"/>
      <c r="J1594" s="16"/>
      <c r="K1594" s="16"/>
      <c r="L1594" s="16"/>
      <c r="M1594" s="16"/>
      <c r="N1594" s="16"/>
      <c r="O1594" s="84"/>
      <c r="P1594" s="54"/>
      <c r="Q1594" s="54"/>
      <c r="R1594" s="55"/>
      <c r="S1594" s="55"/>
      <c r="T1594" s="32"/>
      <c r="U1594" s="32"/>
      <c r="V1594" s="32"/>
      <c r="W1594" s="32"/>
      <c r="X1594" s="32"/>
      <c r="Y1594" s="32"/>
      <c r="Z1594" s="32"/>
      <c r="AA1594" s="32"/>
      <c r="AB1594" s="32"/>
      <c r="AC1594" s="32"/>
    </row>
    <row r="1595">
      <c r="A1595" s="32"/>
      <c r="B1595" s="16"/>
      <c r="C1595" s="16"/>
      <c r="D1595" s="16"/>
      <c r="E1595" s="16"/>
      <c r="F1595" s="16"/>
      <c r="G1595" s="16"/>
      <c r="H1595" s="16"/>
      <c r="I1595" s="16"/>
      <c r="J1595" s="16"/>
      <c r="K1595" s="16"/>
      <c r="L1595" s="16"/>
      <c r="M1595" s="16"/>
      <c r="N1595" s="16"/>
      <c r="O1595" s="84"/>
      <c r="P1595" s="54"/>
      <c r="Q1595" s="54"/>
      <c r="R1595" s="55"/>
      <c r="S1595" s="55"/>
      <c r="T1595" s="32"/>
      <c r="U1595" s="32"/>
      <c r="V1595" s="32"/>
      <c r="W1595" s="32"/>
      <c r="X1595" s="32"/>
      <c r="Y1595" s="32"/>
      <c r="Z1595" s="32"/>
      <c r="AA1595" s="32"/>
      <c r="AB1595" s="32"/>
      <c r="AC1595" s="32"/>
    </row>
    <row r="1596">
      <c r="A1596" s="32"/>
      <c r="B1596" s="16"/>
      <c r="C1596" s="16"/>
      <c r="D1596" s="16"/>
      <c r="E1596" s="16"/>
      <c r="F1596" s="16"/>
      <c r="G1596" s="16"/>
      <c r="H1596" s="16"/>
      <c r="I1596" s="16"/>
      <c r="J1596" s="16"/>
      <c r="K1596" s="16"/>
      <c r="L1596" s="16"/>
      <c r="M1596" s="16"/>
      <c r="N1596" s="16"/>
      <c r="O1596" s="84"/>
      <c r="P1596" s="54"/>
      <c r="Q1596" s="54"/>
      <c r="R1596" s="55"/>
      <c r="S1596" s="55"/>
      <c r="T1596" s="32"/>
      <c r="U1596" s="32"/>
      <c r="V1596" s="32"/>
      <c r="W1596" s="32"/>
      <c r="X1596" s="32"/>
      <c r="Y1596" s="32"/>
      <c r="Z1596" s="32"/>
      <c r="AA1596" s="32"/>
      <c r="AB1596" s="32"/>
      <c r="AC1596" s="32"/>
    </row>
    <row r="1597">
      <c r="A1597" s="32"/>
      <c r="B1597" s="16"/>
      <c r="C1597" s="16"/>
      <c r="D1597" s="16"/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  <c r="O1597" s="84"/>
      <c r="P1597" s="54"/>
      <c r="Q1597" s="54"/>
      <c r="R1597" s="55"/>
      <c r="S1597" s="55"/>
      <c r="T1597" s="32"/>
      <c r="U1597" s="32"/>
      <c r="V1597" s="32"/>
      <c r="W1597" s="32"/>
      <c r="X1597" s="32"/>
      <c r="Y1597" s="32"/>
      <c r="Z1597" s="32"/>
      <c r="AA1597" s="32"/>
      <c r="AB1597" s="32"/>
      <c r="AC1597" s="32"/>
    </row>
    <row r="1598">
      <c r="A1598" s="32"/>
      <c r="B1598" s="16"/>
      <c r="C1598" s="16"/>
      <c r="D1598" s="16"/>
      <c r="E1598" s="16"/>
      <c r="F1598" s="16"/>
      <c r="G1598" s="16"/>
      <c r="H1598" s="16"/>
      <c r="I1598" s="16"/>
      <c r="J1598" s="16"/>
      <c r="K1598" s="16"/>
      <c r="L1598" s="16"/>
      <c r="M1598" s="16"/>
      <c r="N1598" s="16"/>
      <c r="O1598" s="84"/>
      <c r="P1598" s="54"/>
      <c r="Q1598" s="54"/>
      <c r="R1598" s="55"/>
      <c r="S1598" s="55"/>
      <c r="T1598" s="32"/>
      <c r="U1598" s="32"/>
      <c r="V1598" s="32"/>
      <c r="W1598" s="32"/>
      <c r="X1598" s="32"/>
      <c r="Y1598" s="32"/>
      <c r="Z1598" s="32"/>
      <c r="AA1598" s="32"/>
      <c r="AB1598" s="32"/>
      <c r="AC1598" s="32"/>
    </row>
    <row r="1599">
      <c r="A1599" s="32"/>
      <c r="B1599" s="16"/>
      <c r="C1599" s="16"/>
      <c r="D1599" s="16"/>
      <c r="E1599" s="16"/>
      <c r="F1599" s="16"/>
      <c r="G1599" s="16"/>
      <c r="H1599" s="16"/>
      <c r="I1599" s="16"/>
      <c r="J1599" s="16"/>
      <c r="K1599" s="16"/>
      <c r="L1599" s="16"/>
      <c r="M1599" s="16"/>
      <c r="N1599" s="16"/>
      <c r="O1599" s="84"/>
      <c r="P1599" s="54"/>
      <c r="Q1599" s="54"/>
      <c r="R1599" s="55"/>
      <c r="S1599" s="55"/>
      <c r="T1599" s="32"/>
      <c r="U1599" s="32"/>
      <c r="V1599" s="32"/>
      <c r="W1599" s="32"/>
      <c r="X1599" s="32"/>
      <c r="Y1599" s="32"/>
      <c r="Z1599" s="32"/>
      <c r="AA1599" s="32"/>
      <c r="AB1599" s="32"/>
      <c r="AC1599" s="32"/>
    </row>
    <row r="1600">
      <c r="A1600" s="32"/>
      <c r="B1600" s="16"/>
      <c r="C1600" s="16"/>
      <c r="D1600" s="16"/>
      <c r="E1600" s="16"/>
      <c r="F1600" s="16"/>
      <c r="G1600" s="16"/>
      <c r="H1600" s="16"/>
      <c r="I1600" s="16"/>
      <c r="J1600" s="16"/>
      <c r="K1600" s="16"/>
      <c r="L1600" s="16"/>
      <c r="M1600" s="16"/>
      <c r="N1600" s="16"/>
      <c r="O1600" s="84"/>
      <c r="P1600" s="54"/>
      <c r="Q1600" s="54"/>
      <c r="R1600" s="55"/>
      <c r="S1600" s="55"/>
      <c r="T1600" s="32"/>
      <c r="U1600" s="32"/>
      <c r="V1600" s="32"/>
      <c r="W1600" s="32"/>
      <c r="X1600" s="32"/>
      <c r="Y1600" s="32"/>
      <c r="Z1600" s="32"/>
      <c r="AA1600" s="32"/>
      <c r="AB1600" s="32"/>
      <c r="AC1600" s="32"/>
    </row>
    <row r="1601">
      <c r="A1601" s="32"/>
      <c r="B1601" s="16"/>
      <c r="C1601" s="16"/>
      <c r="D1601" s="16"/>
      <c r="E1601" s="16"/>
      <c r="F1601" s="16"/>
      <c r="G1601" s="16"/>
      <c r="H1601" s="16"/>
      <c r="I1601" s="16"/>
      <c r="J1601" s="16"/>
      <c r="K1601" s="16"/>
      <c r="L1601" s="16"/>
      <c r="M1601" s="16"/>
      <c r="N1601" s="16"/>
      <c r="O1601" s="84"/>
      <c r="P1601" s="54"/>
      <c r="Q1601" s="54"/>
      <c r="R1601" s="55"/>
      <c r="S1601" s="55"/>
      <c r="T1601" s="32"/>
      <c r="U1601" s="32"/>
      <c r="V1601" s="32"/>
      <c r="W1601" s="32"/>
      <c r="X1601" s="32"/>
      <c r="Y1601" s="32"/>
      <c r="Z1601" s="32"/>
      <c r="AA1601" s="32"/>
      <c r="AB1601" s="32"/>
      <c r="AC1601" s="32"/>
    </row>
    <row r="1602">
      <c r="A1602" s="32"/>
      <c r="B1602" s="16"/>
      <c r="C1602" s="16"/>
      <c r="D1602" s="16"/>
      <c r="E1602" s="16"/>
      <c r="F1602" s="16"/>
      <c r="G1602" s="16"/>
      <c r="H1602" s="16"/>
      <c r="I1602" s="16"/>
      <c r="J1602" s="16"/>
      <c r="K1602" s="16"/>
      <c r="L1602" s="16"/>
      <c r="M1602" s="16"/>
      <c r="N1602" s="16"/>
      <c r="O1602" s="84"/>
      <c r="P1602" s="54"/>
      <c r="Q1602" s="54"/>
      <c r="R1602" s="55"/>
      <c r="S1602" s="55"/>
      <c r="T1602" s="32"/>
      <c r="U1602" s="32"/>
      <c r="V1602" s="32"/>
      <c r="W1602" s="32"/>
      <c r="X1602" s="32"/>
      <c r="Y1602" s="32"/>
      <c r="Z1602" s="32"/>
      <c r="AA1602" s="32"/>
      <c r="AB1602" s="32"/>
      <c r="AC1602" s="32"/>
    </row>
    <row r="1603">
      <c r="A1603" s="32"/>
      <c r="B1603" s="16"/>
      <c r="C1603" s="16"/>
      <c r="D1603" s="16"/>
      <c r="E1603" s="16"/>
      <c r="F1603" s="16"/>
      <c r="G1603" s="16"/>
      <c r="H1603" s="16"/>
      <c r="I1603" s="16"/>
      <c r="J1603" s="16"/>
      <c r="K1603" s="16"/>
      <c r="L1603" s="16"/>
      <c r="M1603" s="16"/>
      <c r="N1603" s="16"/>
      <c r="O1603" s="84"/>
      <c r="P1603" s="54"/>
      <c r="Q1603" s="54"/>
      <c r="R1603" s="55"/>
      <c r="S1603" s="55"/>
      <c r="T1603" s="32"/>
      <c r="U1603" s="32"/>
      <c r="V1603" s="32"/>
      <c r="W1603" s="32"/>
      <c r="X1603" s="32"/>
      <c r="Y1603" s="32"/>
      <c r="Z1603" s="32"/>
      <c r="AA1603" s="32"/>
      <c r="AB1603" s="32"/>
      <c r="AC1603" s="32"/>
    </row>
    <row r="1604">
      <c r="A1604" s="32"/>
      <c r="B1604" s="16"/>
      <c r="C1604" s="16"/>
      <c r="D1604" s="16"/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  <c r="O1604" s="84"/>
      <c r="P1604" s="54"/>
      <c r="Q1604" s="54"/>
      <c r="R1604" s="55"/>
      <c r="S1604" s="55"/>
      <c r="T1604" s="32"/>
      <c r="U1604" s="32"/>
      <c r="V1604" s="32"/>
      <c r="W1604" s="32"/>
      <c r="X1604" s="32"/>
      <c r="Y1604" s="32"/>
      <c r="Z1604" s="32"/>
      <c r="AA1604" s="32"/>
      <c r="AB1604" s="32"/>
      <c r="AC1604" s="32"/>
    </row>
    <row r="1605">
      <c r="A1605" s="32"/>
      <c r="B1605" s="16"/>
      <c r="C1605" s="16"/>
      <c r="D1605" s="16"/>
      <c r="E1605" s="16"/>
      <c r="F1605" s="16"/>
      <c r="G1605" s="16"/>
      <c r="H1605" s="16"/>
      <c r="I1605" s="16"/>
      <c r="J1605" s="16"/>
      <c r="K1605" s="16"/>
      <c r="L1605" s="16"/>
      <c r="M1605" s="16"/>
      <c r="N1605" s="16"/>
      <c r="O1605" s="84"/>
      <c r="P1605" s="54"/>
      <c r="Q1605" s="54"/>
      <c r="R1605" s="55"/>
      <c r="S1605" s="55"/>
      <c r="T1605" s="32"/>
      <c r="U1605" s="32"/>
      <c r="V1605" s="32"/>
      <c r="W1605" s="32"/>
      <c r="X1605" s="32"/>
      <c r="Y1605" s="32"/>
      <c r="Z1605" s="32"/>
      <c r="AA1605" s="32"/>
      <c r="AB1605" s="32"/>
      <c r="AC1605" s="32"/>
    </row>
    <row r="1606">
      <c r="A1606" s="32"/>
      <c r="B1606" s="16"/>
      <c r="C1606" s="16"/>
      <c r="D1606" s="16"/>
      <c r="E1606" s="16"/>
      <c r="F1606" s="16"/>
      <c r="G1606" s="16"/>
      <c r="H1606" s="16"/>
      <c r="I1606" s="16"/>
      <c r="J1606" s="16"/>
      <c r="K1606" s="16"/>
      <c r="L1606" s="16"/>
      <c r="M1606" s="16"/>
      <c r="N1606" s="16"/>
      <c r="O1606" s="84"/>
      <c r="P1606" s="54"/>
      <c r="Q1606" s="54"/>
      <c r="R1606" s="55"/>
      <c r="S1606" s="55"/>
      <c r="T1606" s="32"/>
      <c r="U1606" s="32"/>
      <c r="V1606" s="32"/>
      <c r="W1606" s="32"/>
      <c r="X1606" s="32"/>
      <c r="Y1606" s="32"/>
      <c r="Z1606" s="32"/>
      <c r="AA1606" s="32"/>
      <c r="AB1606" s="32"/>
      <c r="AC1606" s="32"/>
    </row>
    <row r="1607">
      <c r="A1607" s="32"/>
      <c r="B1607" s="16"/>
      <c r="C1607" s="16"/>
      <c r="D1607" s="16"/>
      <c r="E1607" s="16"/>
      <c r="F1607" s="16"/>
      <c r="G1607" s="16"/>
      <c r="H1607" s="16"/>
      <c r="I1607" s="16"/>
      <c r="J1607" s="16"/>
      <c r="K1607" s="16"/>
      <c r="L1607" s="16"/>
      <c r="M1607" s="16"/>
      <c r="N1607" s="16"/>
      <c r="O1607" s="84"/>
      <c r="P1607" s="54"/>
      <c r="Q1607" s="54"/>
      <c r="R1607" s="55"/>
      <c r="S1607" s="55"/>
      <c r="T1607" s="32"/>
      <c r="U1607" s="32"/>
      <c r="V1607" s="32"/>
      <c r="W1607" s="32"/>
      <c r="X1607" s="32"/>
      <c r="Y1607" s="32"/>
      <c r="Z1607" s="32"/>
      <c r="AA1607" s="32"/>
      <c r="AB1607" s="32"/>
      <c r="AC1607" s="32"/>
    </row>
    <row r="1608">
      <c r="A1608" s="32"/>
      <c r="B1608" s="16"/>
      <c r="C1608" s="16"/>
      <c r="D1608" s="16"/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  <c r="O1608" s="84"/>
      <c r="P1608" s="54"/>
      <c r="Q1608" s="54"/>
      <c r="R1608" s="55"/>
      <c r="S1608" s="55"/>
      <c r="T1608" s="32"/>
      <c r="U1608" s="32"/>
      <c r="V1608" s="32"/>
      <c r="W1608" s="32"/>
      <c r="X1608" s="32"/>
      <c r="Y1608" s="32"/>
      <c r="Z1608" s="32"/>
      <c r="AA1608" s="32"/>
      <c r="AB1608" s="32"/>
      <c r="AC1608" s="32"/>
    </row>
    <row r="1609">
      <c r="A1609" s="32"/>
      <c r="B1609" s="16"/>
      <c r="C1609" s="16"/>
      <c r="D1609" s="16"/>
      <c r="E1609" s="16"/>
      <c r="F1609" s="16"/>
      <c r="G1609" s="16"/>
      <c r="H1609" s="16"/>
      <c r="I1609" s="16"/>
      <c r="J1609" s="16"/>
      <c r="K1609" s="16"/>
      <c r="L1609" s="16"/>
      <c r="M1609" s="16"/>
      <c r="N1609" s="16"/>
      <c r="O1609" s="84"/>
      <c r="P1609" s="54"/>
      <c r="Q1609" s="54"/>
      <c r="R1609" s="55"/>
      <c r="S1609" s="55"/>
      <c r="T1609" s="32"/>
      <c r="U1609" s="32"/>
      <c r="V1609" s="32"/>
      <c r="W1609" s="32"/>
      <c r="X1609" s="32"/>
      <c r="Y1609" s="32"/>
      <c r="Z1609" s="32"/>
      <c r="AA1609" s="32"/>
      <c r="AB1609" s="32"/>
      <c r="AC1609" s="32"/>
    </row>
    <row r="1610">
      <c r="A1610" s="32"/>
      <c r="B1610" s="16"/>
      <c r="C1610" s="16"/>
      <c r="D1610" s="16"/>
      <c r="E1610" s="16"/>
      <c r="F1610" s="16"/>
      <c r="G1610" s="16"/>
      <c r="H1610" s="16"/>
      <c r="I1610" s="16"/>
      <c r="J1610" s="16"/>
      <c r="K1610" s="16"/>
      <c r="L1610" s="16"/>
      <c r="M1610" s="16"/>
      <c r="N1610" s="16"/>
      <c r="O1610" s="84"/>
      <c r="P1610" s="54"/>
      <c r="Q1610" s="54"/>
      <c r="R1610" s="55"/>
      <c r="S1610" s="55"/>
      <c r="T1610" s="32"/>
      <c r="U1610" s="32"/>
      <c r="V1610" s="32"/>
      <c r="W1610" s="32"/>
      <c r="X1610" s="32"/>
      <c r="Y1610" s="32"/>
      <c r="Z1610" s="32"/>
      <c r="AA1610" s="32"/>
      <c r="AB1610" s="32"/>
      <c r="AC1610" s="32"/>
    </row>
    <row r="1611">
      <c r="A1611" s="32"/>
      <c r="B1611" s="16"/>
      <c r="C1611" s="16"/>
      <c r="D1611" s="16"/>
      <c r="E1611" s="16"/>
      <c r="F1611" s="16"/>
      <c r="G1611" s="16"/>
      <c r="H1611" s="16"/>
      <c r="I1611" s="16"/>
      <c r="J1611" s="16"/>
      <c r="K1611" s="16"/>
      <c r="L1611" s="16"/>
      <c r="M1611" s="16"/>
      <c r="N1611" s="16"/>
      <c r="O1611" s="84"/>
      <c r="P1611" s="54"/>
      <c r="Q1611" s="54"/>
      <c r="R1611" s="55"/>
      <c r="S1611" s="55"/>
      <c r="T1611" s="32"/>
      <c r="U1611" s="32"/>
      <c r="V1611" s="32"/>
      <c r="W1611" s="32"/>
      <c r="X1611" s="32"/>
      <c r="Y1611" s="32"/>
      <c r="Z1611" s="32"/>
      <c r="AA1611" s="32"/>
      <c r="AB1611" s="32"/>
      <c r="AC1611" s="32"/>
    </row>
    <row r="1612">
      <c r="A1612" s="32"/>
      <c r="B1612" s="16"/>
      <c r="C1612" s="16"/>
      <c r="D1612" s="16"/>
      <c r="E1612" s="16"/>
      <c r="F1612" s="16"/>
      <c r="G1612" s="16"/>
      <c r="H1612" s="16"/>
      <c r="I1612" s="16"/>
      <c r="J1612" s="16"/>
      <c r="K1612" s="16"/>
      <c r="L1612" s="16"/>
      <c r="M1612" s="16"/>
      <c r="N1612" s="16"/>
      <c r="O1612" s="84"/>
      <c r="P1612" s="54"/>
      <c r="Q1612" s="54"/>
      <c r="R1612" s="55"/>
      <c r="S1612" s="55"/>
      <c r="T1612" s="32"/>
      <c r="U1612" s="32"/>
      <c r="V1612" s="32"/>
      <c r="W1612" s="32"/>
      <c r="X1612" s="32"/>
      <c r="Y1612" s="32"/>
      <c r="Z1612" s="32"/>
      <c r="AA1612" s="32"/>
      <c r="AB1612" s="32"/>
      <c r="AC1612" s="32"/>
    </row>
    <row r="1613">
      <c r="A1613" s="32"/>
      <c r="B1613" s="16"/>
      <c r="C1613" s="16"/>
      <c r="D1613" s="16"/>
      <c r="E1613" s="16"/>
      <c r="F1613" s="16"/>
      <c r="G1613" s="16"/>
      <c r="H1613" s="16"/>
      <c r="I1613" s="16"/>
      <c r="J1613" s="16"/>
      <c r="K1613" s="16"/>
      <c r="L1613" s="16"/>
      <c r="M1613" s="16"/>
      <c r="N1613" s="16"/>
      <c r="O1613" s="84"/>
      <c r="P1613" s="54"/>
      <c r="Q1613" s="54"/>
      <c r="R1613" s="55"/>
      <c r="S1613" s="55"/>
      <c r="T1613" s="32"/>
      <c r="U1613" s="32"/>
      <c r="V1613" s="32"/>
      <c r="W1613" s="32"/>
      <c r="X1613" s="32"/>
      <c r="Y1613" s="32"/>
      <c r="Z1613" s="32"/>
      <c r="AA1613" s="32"/>
      <c r="AB1613" s="32"/>
      <c r="AC1613" s="32"/>
    </row>
    <row r="1614">
      <c r="A1614" s="32"/>
      <c r="B1614" s="16"/>
      <c r="C1614" s="16"/>
      <c r="D1614" s="16"/>
      <c r="E1614" s="16"/>
      <c r="F1614" s="16"/>
      <c r="G1614" s="16"/>
      <c r="H1614" s="16"/>
      <c r="I1614" s="16"/>
      <c r="J1614" s="16"/>
      <c r="K1614" s="16"/>
      <c r="L1614" s="16"/>
      <c r="M1614" s="16"/>
      <c r="N1614" s="16"/>
      <c r="O1614" s="84"/>
      <c r="P1614" s="54"/>
      <c r="Q1614" s="54"/>
      <c r="R1614" s="55"/>
      <c r="S1614" s="55"/>
      <c r="T1614" s="32"/>
      <c r="U1614" s="32"/>
      <c r="V1614" s="32"/>
      <c r="W1614" s="32"/>
      <c r="X1614" s="32"/>
      <c r="Y1614" s="32"/>
      <c r="Z1614" s="32"/>
      <c r="AA1614" s="32"/>
      <c r="AB1614" s="32"/>
      <c r="AC1614" s="32"/>
    </row>
    <row r="1615">
      <c r="A1615" s="32"/>
      <c r="B1615" s="16"/>
      <c r="C1615" s="16"/>
      <c r="D1615" s="16"/>
      <c r="E1615" s="16"/>
      <c r="F1615" s="16"/>
      <c r="G1615" s="16"/>
      <c r="H1615" s="16"/>
      <c r="I1615" s="16"/>
      <c r="J1615" s="16"/>
      <c r="K1615" s="16"/>
      <c r="L1615" s="16"/>
      <c r="M1615" s="16"/>
      <c r="N1615" s="16"/>
      <c r="O1615" s="84"/>
      <c r="P1615" s="54"/>
      <c r="Q1615" s="54"/>
      <c r="R1615" s="55"/>
      <c r="S1615" s="55"/>
      <c r="T1615" s="32"/>
      <c r="U1615" s="32"/>
      <c r="V1615" s="32"/>
      <c r="W1615" s="32"/>
      <c r="X1615" s="32"/>
      <c r="Y1615" s="32"/>
      <c r="Z1615" s="32"/>
      <c r="AA1615" s="32"/>
      <c r="AB1615" s="32"/>
      <c r="AC1615" s="32"/>
    </row>
    <row r="1616">
      <c r="A1616" s="32"/>
      <c r="B1616" s="16"/>
      <c r="C1616" s="16"/>
      <c r="D1616" s="16"/>
      <c r="E1616" s="16"/>
      <c r="F1616" s="16"/>
      <c r="G1616" s="16"/>
      <c r="H1616" s="16"/>
      <c r="I1616" s="16"/>
      <c r="J1616" s="16"/>
      <c r="K1616" s="16"/>
      <c r="L1616" s="16"/>
      <c r="M1616" s="16"/>
      <c r="N1616" s="16"/>
      <c r="O1616" s="84"/>
      <c r="P1616" s="54"/>
      <c r="Q1616" s="54"/>
      <c r="R1616" s="55"/>
      <c r="S1616" s="55"/>
      <c r="T1616" s="32"/>
      <c r="U1616" s="32"/>
      <c r="V1616" s="32"/>
      <c r="W1616" s="32"/>
      <c r="X1616" s="32"/>
      <c r="Y1616" s="32"/>
      <c r="Z1616" s="32"/>
      <c r="AA1616" s="32"/>
      <c r="AB1616" s="32"/>
      <c r="AC1616" s="32"/>
    </row>
    <row r="1617">
      <c r="A1617" s="32"/>
      <c r="B1617" s="16"/>
      <c r="C1617" s="16"/>
      <c r="D1617" s="16"/>
      <c r="E1617" s="16"/>
      <c r="F1617" s="16"/>
      <c r="G1617" s="16"/>
      <c r="H1617" s="16"/>
      <c r="I1617" s="16"/>
      <c r="J1617" s="16"/>
      <c r="K1617" s="16"/>
      <c r="L1617" s="16"/>
      <c r="M1617" s="16"/>
      <c r="N1617" s="16"/>
      <c r="O1617" s="84"/>
      <c r="P1617" s="54"/>
      <c r="Q1617" s="54"/>
      <c r="R1617" s="55"/>
      <c r="S1617" s="55"/>
      <c r="T1617" s="32"/>
      <c r="U1617" s="32"/>
      <c r="V1617" s="32"/>
      <c r="W1617" s="32"/>
      <c r="X1617" s="32"/>
      <c r="Y1617" s="32"/>
      <c r="Z1617" s="32"/>
      <c r="AA1617" s="32"/>
      <c r="AB1617" s="32"/>
      <c r="AC1617" s="32"/>
    </row>
    <row r="1618">
      <c r="A1618" s="32"/>
      <c r="B1618" s="16"/>
      <c r="C1618" s="16"/>
      <c r="D1618" s="16"/>
      <c r="E1618" s="16"/>
      <c r="F1618" s="16"/>
      <c r="G1618" s="16"/>
      <c r="H1618" s="16"/>
      <c r="I1618" s="16"/>
      <c r="J1618" s="16"/>
      <c r="K1618" s="16"/>
      <c r="L1618" s="16"/>
      <c r="M1618" s="16"/>
      <c r="N1618" s="16"/>
      <c r="O1618" s="84"/>
      <c r="P1618" s="54"/>
      <c r="Q1618" s="54"/>
      <c r="R1618" s="55"/>
      <c r="S1618" s="55"/>
      <c r="T1618" s="32"/>
      <c r="U1618" s="32"/>
      <c r="V1618" s="32"/>
      <c r="W1618" s="32"/>
      <c r="X1618" s="32"/>
      <c r="Y1618" s="32"/>
      <c r="Z1618" s="32"/>
      <c r="AA1618" s="32"/>
      <c r="AB1618" s="32"/>
      <c r="AC1618" s="32"/>
    </row>
    <row r="1619">
      <c r="A1619" s="32"/>
      <c r="B1619" s="16"/>
      <c r="C1619" s="16"/>
      <c r="D1619" s="16"/>
      <c r="E1619" s="16"/>
      <c r="F1619" s="16"/>
      <c r="G1619" s="16"/>
      <c r="H1619" s="16"/>
      <c r="I1619" s="16"/>
      <c r="J1619" s="16"/>
      <c r="K1619" s="16"/>
      <c r="L1619" s="16"/>
      <c r="M1619" s="16"/>
      <c r="N1619" s="16"/>
      <c r="O1619" s="84"/>
      <c r="P1619" s="54"/>
      <c r="Q1619" s="54"/>
      <c r="R1619" s="55"/>
      <c r="S1619" s="55"/>
      <c r="T1619" s="32"/>
      <c r="U1619" s="32"/>
      <c r="V1619" s="32"/>
      <c r="W1619" s="32"/>
      <c r="X1619" s="32"/>
      <c r="Y1619" s="32"/>
      <c r="Z1619" s="32"/>
      <c r="AA1619" s="32"/>
      <c r="AB1619" s="32"/>
      <c r="AC1619" s="32"/>
    </row>
    <row r="1620">
      <c r="A1620" s="32"/>
      <c r="B1620" s="16"/>
      <c r="C1620" s="16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84"/>
      <c r="P1620" s="54"/>
      <c r="Q1620" s="54"/>
      <c r="R1620" s="55"/>
      <c r="S1620" s="55"/>
      <c r="T1620" s="32"/>
      <c r="U1620" s="32"/>
      <c r="V1620" s="32"/>
      <c r="W1620" s="32"/>
      <c r="X1620" s="32"/>
      <c r="Y1620" s="32"/>
      <c r="Z1620" s="32"/>
      <c r="AA1620" s="32"/>
      <c r="AB1620" s="32"/>
      <c r="AC1620" s="32"/>
    </row>
    <row r="1621">
      <c r="A1621" s="32"/>
      <c r="B1621" s="16"/>
      <c r="C1621" s="16"/>
      <c r="D1621" s="16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84"/>
      <c r="P1621" s="54"/>
      <c r="Q1621" s="54"/>
      <c r="R1621" s="55"/>
      <c r="S1621" s="55"/>
      <c r="T1621" s="32"/>
      <c r="U1621" s="32"/>
      <c r="V1621" s="32"/>
      <c r="W1621" s="32"/>
      <c r="X1621" s="32"/>
      <c r="Y1621" s="32"/>
      <c r="Z1621" s="32"/>
      <c r="AA1621" s="32"/>
      <c r="AB1621" s="32"/>
      <c r="AC1621" s="32"/>
    </row>
    <row r="1622">
      <c r="A1622" s="32"/>
      <c r="B1622" s="16"/>
      <c r="C1622" s="16"/>
      <c r="D1622" s="16"/>
      <c r="E1622" s="16"/>
      <c r="F1622" s="16"/>
      <c r="G1622" s="16"/>
      <c r="H1622" s="16"/>
      <c r="I1622" s="16"/>
      <c r="J1622" s="16"/>
      <c r="K1622" s="16"/>
      <c r="L1622" s="16"/>
      <c r="M1622" s="16"/>
      <c r="N1622" s="16"/>
      <c r="O1622" s="84"/>
      <c r="P1622" s="54"/>
      <c r="Q1622" s="54"/>
      <c r="R1622" s="55"/>
      <c r="S1622" s="55"/>
      <c r="T1622" s="32"/>
      <c r="U1622" s="32"/>
      <c r="V1622" s="32"/>
      <c r="W1622" s="32"/>
      <c r="X1622" s="32"/>
      <c r="Y1622" s="32"/>
      <c r="Z1622" s="32"/>
      <c r="AA1622" s="32"/>
      <c r="AB1622" s="32"/>
      <c r="AC1622" s="32"/>
    </row>
    <row r="1623">
      <c r="A1623" s="32"/>
      <c r="B1623" s="16"/>
      <c r="C1623" s="16"/>
      <c r="D1623" s="16"/>
      <c r="E1623" s="16"/>
      <c r="F1623" s="16"/>
      <c r="G1623" s="16"/>
      <c r="H1623" s="16"/>
      <c r="I1623" s="16"/>
      <c r="J1623" s="16"/>
      <c r="K1623" s="16"/>
      <c r="L1623" s="16"/>
      <c r="M1623" s="16"/>
      <c r="N1623" s="16"/>
      <c r="O1623" s="84"/>
      <c r="P1623" s="54"/>
      <c r="Q1623" s="54"/>
      <c r="R1623" s="55"/>
      <c r="S1623" s="55"/>
      <c r="T1623" s="32"/>
      <c r="U1623" s="32"/>
      <c r="V1623" s="32"/>
      <c r="W1623" s="32"/>
      <c r="X1623" s="32"/>
      <c r="Y1623" s="32"/>
      <c r="Z1623" s="32"/>
      <c r="AA1623" s="32"/>
      <c r="AB1623" s="32"/>
      <c r="AC1623" s="32"/>
    </row>
    <row r="1624">
      <c r="A1624" s="32"/>
      <c r="B1624" s="16"/>
      <c r="C1624" s="16"/>
      <c r="D1624" s="16"/>
      <c r="E1624" s="16"/>
      <c r="F1624" s="16"/>
      <c r="G1624" s="16"/>
      <c r="H1624" s="16"/>
      <c r="I1624" s="16"/>
      <c r="J1624" s="16"/>
      <c r="K1624" s="16"/>
      <c r="L1624" s="16"/>
      <c r="M1624" s="16"/>
      <c r="N1624" s="16"/>
      <c r="O1624" s="84"/>
      <c r="P1624" s="54"/>
      <c r="Q1624" s="54"/>
      <c r="R1624" s="55"/>
      <c r="S1624" s="55"/>
      <c r="T1624" s="32"/>
      <c r="U1624" s="32"/>
      <c r="V1624" s="32"/>
      <c r="W1624" s="32"/>
      <c r="X1624" s="32"/>
      <c r="Y1624" s="32"/>
      <c r="Z1624" s="32"/>
      <c r="AA1624" s="32"/>
      <c r="AB1624" s="32"/>
      <c r="AC1624" s="32"/>
    </row>
    <row r="1625">
      <c r="A1625" s="32"/>
      <c r="B1625" s="16"/>
      <c r="C1625" s="16"/>
      <c r="D1625" s="16"/>
      <c r="E1625" s="16"/>
      <c r="F1625" s="16"/>
      <c r="G1625" s="16"/>
      <c r="H1625" s="16"/>
      <c r="I1625" s="16"/>
      <c r="J1625" s="16"/>
      <c r="K1625" s="16"/>
      <c r="L1625" s="16"/>
      <c r="M1625" s="16"/>
      <c r="N1625" s="16"/>
      <c r="O1625" s="84"/>
      <c r="P1625" s="54"/>
      <c r="Q1625" s="54"/>
      <c r="R1625" s="55"/>
      <c r="S1625" s="55"/>
      <c r="T1625" s="32"/>
      <c r="U1625" s="32"/>
      <c r="V1625" s="32"/>
      <c r="W1625" s="32"/>
      <c r="X1625" s="32"/>
      <c r="Y1625" s="32"/>
      <c r="Z1625" s="32"/>
      <c r="AA1625" s="32"/>
      <c r="AB1625" s="32"/>
      <c r="AC1625" s="32"/>
    </row>
    <row r="1626">
      <c r="A1626" s="32"/>
      <c r="B1626" s="16"/>
      <c r="C1626" s="16"/>
      <c r="D1626" s="16"/>
      <c r="E1626" s="16"/>
      <c r="F1626" s="16"/>
      <c r="G1626" s="16"/>
      <c r="H1626" s="16"/>
      <c r="I1626" s="16"/>
      <c r="J1626" s="16"/>
      <c r="K1626" s="16"/>
      <c r="L1626" s="16"/>
      <c r="M1626" s="16"/>
      <c r="N1626" s="16"/>
      <c r="O1626" s="84"/>
      <c r="P1626" s="54"/>
      <c r="Q1626" s="54"/>
      <c r="R1626" s="55"/>
      <c r="S1626" s="55"/>
      <c r="T1626" s="32"/>
      <c r="U1626" s="32"/>
      <c r="V1626" s="32"/>
      <c r="W1626" s="32"/>
      <c r="X1626" s="32"/>
      <c r="Y1626" s="32"/>
      <c r="Z1626" s="32"/>
      <c r="AA1626" s="32"/>
      <c r="AB1626" s="32"/>
      <c r="AC1626" s="32"/>
    </row>
    <row r="1627">
      <c r="A1627" s="32"/>
      <c r="B1627" s="16"/>
      <c r="C1627" s="16"/>
      <c r="D1627" s="16"/>
      <c r="E1627" s="16"/>
      <c r="F1627" s="16"/>
      <c r="G1627" s="16"/>
      <c r="H1627" s="16"/>
      <c r="I1627" s="16"/>
      <c r="J1627" s="16"/>
      <c r="K1627" s="16"/>
      <c r="L1627" s="16"/>
      <c r="M1627" s="16"/>
      <c r="N1627" s="16"/>
      <c r="O1627" s="84"/>
      <c r="P1627" s="54"/>
      <c r="Q1627" s="54"/>
      <c r="R1627" s="55"/>
      <c r="S1627" s="55"/>
      <c r="T1627" s="32"/>
      <c r="U1627" s="32"/>
      <c r="V1627" s="32"/>
      <c r="W1627" s="32"/>
      <c r="X1627" s="32"/>
      <c r="Y1627" s="32"/>
      <c r="Z1627" s="32"/>
      <c r="AA1627" s="32"/>
      <c r="AB1627" s="32"/>
      <c r="AC1627" s="32"/>
    </row>
    <row r="1628">
      <c r="A1628" s="32"/>
      <c r="B1628" s="16"/>
      <c r="C1628" s="16"/>
      <c r="D1628" s="16"/>
      <c r="E1628" s="16"/>
      <c r="F1628" s="16"/>
      <c r="G1628" s="16"/>
      <c r="H1628" s="16"/>
      <c r="I1628" s="16"/>
      <c r="J1628" s="16"/>
      <c r="K1628" s="16"/>
      <c r="L1628" s="16"/>
      <c r="M1628" s="16"/>
      <c r="N1628" s="16"/>
      <c r="O1628" s="84"/>
      <c r="P1628" s="54"/>
      <c r="Q1628" s="54"/>
      <c r="R1628" s="55"/>
      <c r="S1628" s="55"/>
      <c r="T1628" s="32"/>
      <c r="U1628" s="32"/>
      <c r="V1628" s="32"/>
      <c r="W1628" s="32"/>
      <c r="X1628" s="32"/>
      <c r="Y1628" s="32"/>
      <c r="Z1628" s="32"/>
      <c r="AA1628" s="32"/>
      <c r="AB1628" s="32"/>
      <c r="AC1628" s="32"/>
    </row>
    <row r="1629">
      <c r="A1629" s="32"/>
      <c r="B1629" s="16"/>
      <c r="C1629" s="16"/>
      <c r="D1629" s="16"/>
      <c r="E1629" s="16"/>
      <c r="F1629" s="16"/>
      <c r="G1629" s="16"/>
      <c r="H1629" s="16"/>
      <c r="I1629" s="16"/>
      <c r="J1629" s="16"/>
      <c r="K1629" s="16"/>
      <c r="L1629" s="16"/>
      <c r="M1629" s="16"/>
      <c r="N1629" s="16"/>
      <c r="O1629" s="84"/>
      <c r="P1629" s="54"/>
      <c r="Q1629" s="54"/>
      <c r="R1629" s="55"/>
      <c r="S1629" s="55"/>
      <c r="T1629" s="32"/>
      <c r="U1629" s="32"/>
      <c r="V1629" s="32"/>
      <c r="W1629" s="32"/>
      <c r="X1629" s="32"/>
      <c r="Y1629" s="32"/>
      <c r="Z1629" s="32"/>
      <c r="AA1629" s="32"/>
      <c r="AB1629" s="32"/>
      <c r="AC1629" s="32"/>
    </row>
    <row r="1630">
      <c r="A1630" s="32"/>
      <c r="B1630" s="16"/>
      <c r="C1630" s="16"/>
      <c r="D1630" s="16"/>
      <c r="E1630" s="16"/>
      <c r="F1630" s="16"/>
      <c r="G1630" s="16"/>
      <c r="H1630" s="16"/>
      <c r="I1630" s="16"/>
      <c r="J1630" s="16"/>
      <c r="K1630" s="16"/>
      <c r="L1630" s="16"/>
      <c r="M1630" s="16"/>
      <c r="N1630" s="16"/>
      <c r="O1630" s="84"/>
      <c r="P1630" s="54"/>
      <c r="Q1630" s="54"/>
      <c r="R1630" s="55"/>
      <c r="S1630" s="55"/>
      <c r="T1630" s="32"/>
      <c r="U1630" s="32"/>
      <c r="V1630" s="32"/>
      <c r="W1630" s="32"/>
      <c r="X1630" s="32"/>
      <c r="Y1630" s="32"/>
      <c r="Z1630" s="32"/>
      <c r="AA1630" s="32"/>
      <c r="AB1630" s="32"/>
      <c r="AC1630" s="32"/>
    </row>
    <row r="1631">
      <c r="A1631" s="32"/>
      <c r="B1631" s="16"/>
      <c r="C1631" s="16"/>
      <c r="D1631" s="16"/>
      <c r="E1631" s="16"/>
      <c r="F1631" s="16"/>
      <c r="G1631" s="16"/>
      <c r="H1631" s="16"/>
      <c r="I1631" s="16"/>
      <c r="J1631" s="16"/>
      <c r="K1631" s="16"/>
      <c r="L1631" s="16"/>
      <c r="M1631" s="16"/>
      <c r="N1631" s="16"/>
      <c r="O1631" s="84"/>
      <c r="P1631" s="54"/>
      <c r="Q1631" s="54"/>
      <c r="R1631" s="55"/>
      <c r="S1631" s="55"/>
      <c r="T1631" s="32"/>
      <c r="U1631" s="32"/>
      <c r="V1631" s="32"/>
      <c r="W1631" s="32"/>
      <c r="X1631" s="32"/>
      <c r="Y1631" s="32"/>
      <c r="Z1631" s="32"/>
      <c r="AA1631" s="32"/>
      <c r="AB1631" s="32"/>
      <c r="AC1631" s="32"/>
    </row>
    <row r="1632">
      <c r="A1632" s="32"/>
      <c r="B1632" s="16"/>
      <c r="C1632" s="16"/>
      <c r="D1632" s="16"/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  <c r="O1632" s="84"/>
      <c r="P1632" s="54"/>
      <c r="Q1632" s="54"/>
      <c r="R1632" s="55"/>
      <c r="S1632" s="55"/>
      <c r="T1632" s="32"/>
      <c r="U1632" s="32"/>
      <c r="V1632" s="32"/>
      <c r="W1632" s="32"/>
      <c r="X1632" s="32"/>
      <c r="Y1632" s="32"/>
      <c r="Z1632" s="32"/>
      <c r="AA1632" s="32"/>
      <c r="AB1632" s="32"/>
      <c r="AC1632" s="32"/>
    </row>
    <row r="1633">
      <c r="A1633" s="32"/>
      <c r="B1633" s="16"/>
      <c r="C1633" s="16"/>
      <c r="D1633" s="16"/>
      <c r="E1633" s="16"/>
      <c r="F1633" s="16"/>
      <c r="G1633" s="16"/>
      <c r="H1633" s="16"/>
      <c r="I1633" s="16"/>
      <c r="J1633" s="16"/>
      <c r="K1633" s="16"/>
      <c r="L1633" s="16"/>
      <c r="M1633" s="16"/>
      <c r="N1633" s="16"/>
      <c r="O1633" s="84"/>
      <c r="P1633" s="54"/>
      <c r="Q1633" s="54"/>
      <c r="R1633" s="55"/>
      <c r="S1633" s="55"/>
      <c r="T1633" s="32"/>
      <c r="U1633" s="32"/>
      <c r="V1633" s="32"/>
      <c r="W1633" s="32"/>
      <c r="X1633" s="32"/>
      <c r="Y1633" s="32"/>
      <c r="Z1633" s="32"/>
      <c r="AA1633" s="32"/>
      <c r="AB1633" s="32"/>
      <c r="AC1633" s="32"/>
    </row>
    <row r="1634">
      <c r="A1634" s="32"/>
      <c r="B1634" s="16"/>
      <c r="C1634" s="16"/>
      <c r="D1634" s="16"/>
      <c r="E1634" s="16"/>
      <c r="F1634" s="16"/>
      <c r="G1634" s="16"/>
      <c r="H1634" s="16"/>
      <c r="I1634" s="16"/>
      <c r="J1634" s="16"/>
      <c r="K1634" s="16"/>
      <c r="L1634" s="16"/>
      <c r="M1634" s="16"/>
      <c r="N1634" s="16"/>
      <c r="O1634" s="84"/>
      <c r="P1634" s="54"/>
      <c r="Q1634" s="54"/>
      <c r="R1634" s="55"/>
      <c r="S1634" s="55"/>
      <c r="T1634" s="32"/>
      <c r="U1634" s="32"/>
      <c r="V1634" s="32"/>
      <c r="W1634" s="32"/>
      <c r="X1634" s="32"/>
      <c r="Y1634" s="32"/>
      <c r="Z1634" s="32"/>
      <c r="AA1634" s="32"/>
      <c r="AB1634" s="32"/>
      <c r="AC1634" s="32"/>
    </row>
    <row r="1635">
      <c r="A1635" s="32"/>
      <c r="B1635" s="16"/>
      <c r="C1635" s="16"/>
      <c r="D1635" s="16"/>
      <c r="E1635" s="16"/>
      <c r="F1635" s="16"/>
      <c r="G1635" s="16"/>
      <c r="H1635" s="16"/>
      <c r="I1635" s="16"/>
      <c r="J1635" s="16"/>
      <c r="K1635" s="16"/>
      <c r="L1635" s="16"/>
      <c r="M1635" s="16"/>
      <c r="N1635" s="16"/>
      <c r="O1635" s="84"/>
      <c r="P1635" s="54"/>
      <c r="Q1635" s="54"/>
      <c r="R1635" s="55"/>
      <c r="S1635" s="55"/>
      <c r="T1635" s="32"/>
      <c r="U1635" s="32"/>
      <c r="V1635" s="32"/>
      <c r="W1635" s="32"/>
      <c r="X1635" s="32"/>
      <c r="Y1635" s="32"/>
      <c r="Z1635" s="32"/>
      <c r="AA1635" s="32"/>
      <c r="AB1635" s="32"/>
      <c r="AC1635" s="32"/>
    </row>
    <row r="1636">
      <c r="A1636" s="32"/>
      <c r="B1636" s="16"/>
      <c r="C1636" s="16"/>
      <c r="D1636" s="16"/>
      <c r="E1636" s="16"/>
      <c r="F1636" s="16"/>
      <c r="G1636" s="16"/>
      <c r="H1636" s="16"/>
      <c r="I1636" s="16"/>
      <c r="J1636" s="16"/>
      <c r="K1636" s="16"/>
      <c r="L1636" s="16"/>
      <c r="M1636" s="16"/>
      <c r="N1636" s="16"/>
      <c r="O1636" s="84"/>
      <c r="P1636" s="54"/>
      <c r="Q1636" s="54"/>
      <c r="R1636" s="55"/>
      <c r="S1636" s="55"/>
      <c r="T1636" s="32"/>
      <c r="U1636" s="32"/>
      <c r="V1636" s="32"/>
      <c r="W1636" s="32"/>
      <c r="X1636" s="32"/>
      <c r="Y1636" s="32"/>
      <c r="Z1636" s="32"/>
      <c r="AA1636" s="32"/>
      <c r="AB1636" s="32"/>
      <c r="AC1636" s="32"/>
    </row>
    <row r="1637">
      <c r="A1637" s="32"/>
      <c r="B1637" s="16"/>
      <c r="C1637" s="16"/>
      <c r="D1637" s="16"/>
      <c r="E1637" s="16"/>
      <c r="F1637" s="16"/>
      <c r="G1637" s="16"/>
      <c r="H1637" s="16"/>
      <c r="I1637" s="16"/>
      <c r="J1637" s="16"/>
      <c r="K1637" s="16"/>
      <c r="L1637" s="16"/>
      <c r="M1637" s="16"/>
      <c r="N1637" s="16"/>
      <c r="O1637" s="84"/>
      <c r="P1637" s="54"/>
      <c r="Q1637" s="54"/>
      <c r="R1637" s="55"/>
      <c r="S1637" s="55"/>
      <c r="T1637" s="32"/>
      <c r="U1637" s="32"/>
      <c r="V1637" s="32"/>
      <c r="W1637" s="32"/>
      <c r="X1637" s="32"/>
      <c r="Y1637" s="32"/>
      <c r="Z1637" s="32"/>
      <c r="AA1637" s="32"/>
      <c r="AB1637" s="32"/>
      <c r="AC1637" s="32"/>
    </row>
    <row r="1638">
      <c r="A1638" s="32"/>
      <c r="B1638" s="16"/>
      <c r="C1638" s="16"/>
      <c r="D1638" s="16"/>
      <c r="E1638" s="16"/>
      <c r="F1638" s="16"/>
      <c r="G1638" s="16"/>
      <c r="H1638" s="16"/>
      <c r="I1638" s="16"/>
      <c r="J1638" s="16"/>
      <c r="K1638" s="16"/>
      <c r="L1638" s="16"/>
      <c r="M1638" s="16"/>
      <c r="N1638" s="16"/>
      <c r="O1638" s="84"/>
      <c r="P1638" s="54"/>
      <c r="Q1638" s="54"/>
      <c r="R1638" s="55"/>
      <c r="S1638" s="55"/>
      <c r="T1638" s="32"/>
      <c r="U1638" s="32"/>
      <c r="V1638" s="32"/>
      <c r="W1638" s="32"/>
      <c r="X1638" s="32"/>
      <c r="Y1638" s="32"/>
      <c r="Z1638" s="32"/>
      <c r="AA1638" s="32"/>
      <c r="AB1638" s="32"/>
      <c r="AC1638" s="32"/>
    </row>
    <row r="1639">
      <c r="A1639" s="32"/>
      <c r="B1639" s="16"/>
      <c r="C1639" s="16"/>
      <c r="D1639" s="16"/>
      <c r="E1639" s="16"/>
      <c r="F1639" s="16"/>
      <c r="G1639" s="16"/>
      <c r="H1639" s="16"/>
      <c r="I1639" s="16"/>
      <c r="J1639" s="16"/>
      <c r="K1639" s="16"/>
      <c r="L1639" s="16"/>
      <c r="M1639" s="16"/>
      <c r="N1639" s="16"/>
      <c r="O1639" s="84"/>
      <c r="P1639" s="54"/>
      <c r="Q1639" s="54"/>
      <c r="R1639" s="55"/>
      <c r="S1639" s="55"/>
      <c r="T1639" s="32"/>
      <c r="U1639" s="32"/>
      <c r="V1639" s="32"/>
      <c r="W1639" s="32"/>
      <c r="X1639" s="32"/>
      <c r="Y1639" s="32"/>
      <c r="Z1639" s="32"/>
      <c r="AA1639" s="32"/>
      <c r="AB1639" s="32"/>
      <c r="AC1639" s="32"/>
    </row>
    <row r="1640">
      <c r="A1640" s="32"/>
      <c r="B1640" s="16"/>
      <c r="C1640" s="16"/>
      <c r="D1640" s="16"/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  <c r="O1640" s="84"/>
      <c r="P1640" s="54"/>
      <c r="Q1640" s="54"/>
      <c r="R1640" s="55"/>
      <c r="S1640" s="55"/>
      <c r="T1640" s="32"/>
      <c r="U1640" s="32"/>
      <c r="V1640" s="32"/>
      <c r="W1640" s="32"/>
      <c r="X1640" s="32"/>
      <c r="Y1640" s="32"/>
      <c r="Z1640" s="32"/>
      <c r="AA1640" s="32"/>
      <c r="AB1640" s="32"/>
      <c r="AC1640" s="32"/>
    </row>
    <row r="1641">
      <c r="A1641" s="32"/>
      <c r="B1641" s="16"/>
      <c r="C1641" s="16"/>
      <c r="D1641" s="16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84"/>
      <c r="P1641" s="54"/>
      <c r="Q1641" s="54"/>
      <c r="R1641" s="55"/>
      <c r="S1641" s="55"/>
      <c r="T1641" s="32"/>
      <c r="U1641" s="32"/>
      <c r="V1641" s="32"/>
      <c r="W1641" s="32"/>
      <c r="X1641" s="32"/>
      <c r="Y1641" s="32"/>
      <c r="Z1641" s="32"/>
      <c r="AA1641" s="32"/>
      <c r="AB1641" s="32"/>
      <c r="AC1641" s="32"/>
    </row>
    <row r="1642">
      <c r="A1642" s="32"/>
      <c r="B1642" s="16"/>
      <c r="C1642" s="16"/>
      <c r="D1642" s="16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84"/>
      <c r="P1642" s="54"/>
      <c r="Q1642" s="54"/>
      <c r="R1642" s="55"/>
      <c r="S1642" s="55"/>
      <c r="T1642" s="32"/>
      <c r="U1642" s="32"/>
      <c r="V1642" s="32"/>
      <c r="W1642" s="32"/>
      <c r="X1642" s="32"/>
      <c r="Y1642" s="32"/>
      <c r="Z1642" s="32"/>
      <c r="AA1642" s="32"/>
      <c r="AB1642" s="32"/>
      <c r="AC1642" s="32"/>
    </row>
    <row r="1643">
      <c r="A1643" s="32"/>
      <c r="B1643" s="16"/>
      <c r="C1643" s="16"/>
      <c r="D1643" s="16"/>
      <c r="E1643" s="16"/>
      <c r="F1643" s="16"/>
      <c r="G1643" s="16"/>
      <c r="H1643" s="16"/>
      <c r="I1643" s="16"/>
      <c r="J1643" s="16"/>
      <c r="K1643" s="16"/>
      <c r="L1643" s="16"/>
      <c r="M1643" s="16"/>
      <c r="N1643" s="16"/>
      <c r="O1643" s="84"/>
      <c r="P1643" s="54"/>
      <c r="Q1643" s="54"/>
      <c r="R1643" s="55"/>
      <c r="S1643" s="55"/>
      <c r="T1643" s="32"/>
      <c r="U1643" s="32"/>
      <c r="V1643" s="32"/>
      <c r="W1643" s="32"/>
      <c r="X1643" s="32"/>
      <c r="Y1643" s="32"/>
      <c r="Z1643" s="32"/>
      <c r="AA1643" s="32"/>
      <c r="AB1643" s="32"/>
      <c r="AC1643" s="32"/>
    </row>
    <row r="1644">
      <c r="A1644" s="32"/>
      <c r="B1644" s="16"/>
      <c r="C1644" s="16"/>
      <c r="D1644" s="16"/>
      <c r="E1644" s="16"/>
      <c r="F1644" s="16"/>
      <c r="G1644" s="16"/>
      <c r="H1644" s="16"/>
      <c r="I1644" s="16"/>
      <c r="J1644" s="16"/>
      <c r="K1644" s="16"/>
      <c r="L1644" s="16"/>
      <c r="M1644" s="16"/>
      <c r="N1644" s="16"/>
      <c r="O1644" s="84"/>
      <c r="P1644" s="54"/>
      <c r="Q1644" s="54"/>
      <c r="R1644" s="55"/>
      <c r="S1644" s="55"/>
      <c r="T1644" s="32"/>
      <c r="U1644" s="32"/>
      <c r="V1644" s="32"/>
      <c r="W1644" s="32"/>
      <c r="X1644" s="32"/>
      <c r="Y1644" s="32"/>
      <c r="Z1644" s="32"/>
      <c r="AA1644" s="32"/>
      <c r="AB1644" s="32"/>
      <c r="AC1644" s="32"/>
    </row>
    <row r="1645">
      <c r="A1645" s="32"/>
      <c r="B1645" s="16"/>
      <c r="C1645" s="16"/>
      <c r="D1645" s="16"/>
      <c r="E1645" s="16"/>
      <c r="F1645" s="16"/>
      <c r="G1645" s="16"/>
      <c r="H1645" s="16"/>
      <c r="I1645" s="16"/>
      <c r="J1645" s="16"/>
      <c r="K1645" s="16"/>
      <c r="L1645" s="16"/>
      <c r="M1645" s="16"/>
      <c r="N1645" s="16"/>
      <c r="O1645" s="84"/>
      <c r="P1645" s="54"/>
      <c r="Q1645" s="54"/>
      <c r="R1645" s="55"/>
      <c r="S1645" s="55"/>
      <c r="T1645" s="32"/>
      <c r="U1645" s="32"/>
      <c r="V1645" s="32"/>
      <c r="W1645" s="32"/>
      <c r="X1645" s="32"/>
      <c r="Y1645" s="32"/>
      <c r="Z1645" s="32"/>
      <c r="AA1645" s="32"/>
      <c r="AB1645" s="32"/>
      <c r="AC1645" s="32"/>
    </row>
    <row r="1646">
      <c r="A1646" s="32"/>
      <c r="B1646" s="16"/>
      <c r="C1646" s="16"/>
      <c r="D1646" s="16"/>
      <c r="E1646" s="16"/>
      <c r="F1646" s="16"/>
      <c r="G1646" s="16"/>
      <c r="H1646" s="16"/>
      <c r="I1646" s="16"/>
      <c r="J1646" s="16"/>
      <c r="K1646" s="16"/>
      <c r="L1646" s="16"/>
      <c r="M1646" s="16"/>
      <c r="N1646" s="16"/>
      <c r="O1646" s="84"/>
      <c r="P1646" s="54"/>
      <c r="Q1646" s="54"/>
      <c r="R1646" s="55"/>
      <c r="S1646" s="55"/>
      <c r="T1646" s="32"/>
      <c r="U1646" s="32"/>
      <c r="V1646" s="32"/>
      <c r="W1646" s="32"/>
      <c r="X1646" s="32"/>
      <c r="Y1646" s="32"/>
      <c r="Z1646" s="32"/>
      <c r="AA1646" s="32"/>
      <c r="AB1646" s="32"/>
      <c r="AC1646" s="32"/>
    </row>
    <row r="1647">
      <c r="A1647" s="32"/>
      <c r="B1647" s="16"/>
      <c r="C1647" s="16"/>
      <c r="D1647" s="16"/>
      <c r="E1647" s="16"/>
      <c r="F1647" s="16"/>
      <c r="G1647" s="16"/>
      <c r="H1647" s="16"/>
      <c r="I1647" s="16"/>
      <c r="J1647" s="16"/>
      <c r="K1647" s="16"/>
      <c r="L1647" s="16"/>
      <c r="M1647" s="16"/>
      <c r="N1647" s="16"/>
      <c r="O1647" s="84"/>
      <c r="P1647" s="54"/>
      <c r="Q1647" s="54"/>
      <c r="R1647" s="55"/>
      <c r="S1647" s="55"/>
      <c r="T1647" s="32"/>
      <c r="U1647" s="32"/>
      <c r="V1647" s="32"/>
      <c r="W1647" s="32"/>
      <c r="X1647" s="32"/>
      <c r="Y1647" s="32"/>
      <c r="Z1647" s="32"/>
      <c r="AA1647" s="32"/>
      <c r="AB1647" s="32"/>
      <c r="AC1647" s="32"/>
    </row>
    <row r="1648">
      <c r="A1648" s="32"/>
      <c r="B1648" s="16"/>
      <c r="C1648" s="16"/>
      <c r="D1648" s="16"/>
      <c r="E1648" s="16"/>
      <c r="F1648" s="16"/>
      <c r="G1648" s="16"/>
      <c r="H1648" s="16"/>
      <c r="I1648" s="16"/>
      <c r="J1648" s="16"/>
      <c r="K1648" s="16"/>
      <c r="L1648" s="16"/>
      <c r="M1648" s="16"/>
      <c r="N1648" s="16"/>
      <c r="O1648" s="84"/>
      <c r="P1648" s="54"/>
      <c r="Q1648" s="54"/>
      <c r="R1648" s="55"/>
      <c r="S1648" s="55"/>
      <c r="T1648" s="32"/>
      <c r="U1648" s="32"/>
      <c r="V1648" s="32"/>
      <c r="W1648" s="32"/>
      <c r="X1648" s="32"/>
      <c r="Y1648" s="32"/>
      <c r="Z1648" s="32"/>
      <c r="AA1648" s="32"/>
      <c r="AB1648" s="32"/>
      <c r="AC1648" s="32"/>
    </row>
    <row r="1649">
      <c r="A1649" s="32"/>
      <c r="B1649" s="16"/>
      <c r="C1649" s="16"/>
      <c r="D1649" s="16"/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84"/>
      <c r="P1649" s="54"/>
      <c r="Q1649" s="54"/>
      <c r="R1649" s="55"/>
      <c r="S1649" s="55"/>
      <c r="T1649" s="32"/>
      <c r="U1649" s="32"/>
      <c r="V1649" s="32"/>
      <c r="W1649" s="32"/>
      <c r="X1649" s="32"/>
      <c r="Y1649" s="32"/>
      <c r="Z1649" s="32"/>
      <c r="AA1649" s="32"/>
      <c r="AB1649" s="32"/>
      <c r="AC1649" s="32"/>
    </row>
    <row r="1650">
      <c r="A1650" s="32"/>
      <c r="B1650" s="16"/>
      <c r="C1650" s="16"/>
      <c r="D1650" s="16"/>
      <c r="E1650" s="16"/>
      <c r="F1650" s="16"/>
      <c r="G1650" s="16"/>
      <c r="H1650" s="16"/>
      <c r="I1650" s="16"/>
      <c r="J1650" s="16"/>
      <c r="K1650" s="16"/>
      <c r="L1650" s="16"/>
      <c r="M1650" s="16"/>
      <c r="N1650" s="16"/>
      <c r="O1650" s="84"/>
      <c r="P1650" s="54"/>
      <c r="Q1650" s="54"/>
      <c r="R1650" s="55"/>
      <c r="S1650" s="55"/>
      <c r="T1650" s="32"/>
      <c r="U1650" s="32"/>
      <c r="V1650" s="32"/>
      <c r="W1650" s="32"/>
      <c r="X1650" s="32"/>
      <c r="Y1650" s="32"/>
      <c r="Z1650" s="32"/>
      <c r="AA1650" s="32"/>
      <c r="AB1650" s="32"/>
      <c r="AC1650" s="32"/>
    </row>
    <row r="1651">
      <c r="A1651" s="32"/>
      <c r="B1651" s="16"/>
      <c r="C1651" s="16"/>
      <c r="D1651" s="16"/>
      <c r="E1651" s="16"/>
      <c r="F1651" s="16"/>
      <c r="G1651" s="16"/>
      <c r="H1651" s="16"/>
      <c r="I1651" s="16"/>
      <c r="J1651" s="16"/>
      <c r="K1651" s="16"/>
      <c r="L1651" s="16"/>
      <c r="M1651" s="16"/>
      <c r="N1651" s="16"/>
      <c r="O1651" s="84"/>
      <c r="P1651" s="54"/>
      <c r="Q1651" s="54"/>
      <c r="R1651" s="55"/>
      <c r="S1651" s="55"/>
      <c r="T1651" s="32"/>
      <c r="U1651" s="32"/>
      <c r="V1651" s="32"/>
      <c r="W1651" s="32"/>
      <c r="X1651" s="32"/>
      <c r="Y1651" s="32"/>
      <c r="Z1651" s="32"/>
      <c r="AA1651" s="32"/>
      <c r="AB1651" s="32"/>
      <c r="AC1651" s="32"/>
    </row>
    <row r="1652">
      <c r="A1652" s="32"/>
      <c r="B1652" s="16"/>
      <c r="C1652" s="16"/>
      <c r="D1652" s="16"/>
      <c r="E1652" s="16"/>
      <c r="F1652" s="16"/>
      <c r="G1652" s="16"/>
      <c r="H1652" s="16"/>
      <c r="I1652" s="16"/>
      <c r="J1652" s="16"/>
      <c r="K1652" s="16"/>
      <c r="L1652" s="16"/>
      <c r="M1652" s="16"/>
      <c r="N1652" s="16"/>
      <c r="O1652" s="84"/>
      <c r="P1652" s="54"/>
      <c r="Q1652" s="54"/>
      <c r="R1652" s="55"/>
      <c r="S1652" s="55"/>
      <c r="T1652" s="32"/>
      <c r="U1652" s="32"/>
      <c r="V1652" s="32"/>
      <c r="W1652" s="32"/>
      <c r="X1652" s="32"/>
      <c r="Y1652" s="32"/>
      <c r="Z1652" s="32"/>
      <c r="AA1652" s="32"/>
      <c r="AB1652" s="32"/>
      <c r="AC1652" s="32"/>
    </row>
    <row r="1653">
      <c r="A1653" s="32"/>
      <c r="B1653" s="16"/>
      <c r="C1653" s="16"/>
      <c r="D1653" s="16"/>
      <c r="E1653" s="16"/>
      <c r="F1653" s="16"/>
      <c r="G1653" s="16"/>
      <c r="H1653" s="16"/>
      <c r="I1653" s="16"/>
      <c r="J1653" s="16"/>
      <c r="K1653" s="16"/>
      <c r="L1653" s="16"/>
      <c r="M1653" s="16"/>
      <c r="N1653" s="16"/>
      <c r="O1653" s="84"/>
      <c r="P1653" s="54"/>
      <c r="Q1653" s="54"/>
      <c r="R1653" s="55"/>
      <c r="S1653" s="55"/>
      <c r="T1653" s="32"/>
      <c r="U1653" s="32"/>
      <c r="V1653" s="32"/>
      <c r="W1653" s="32"/>
      <c r="X1653" s="32"/>
      <c r="Y1653" s="32"/>
      <c r="Z1653" s="32"/>
      <c r="AA1653" s="32"/>
      <c r="AB1653" s="32"/>
      <c r="AC1653" s="32"/>
    </row>
    <row r="1654">
      <c r="A1654" s="32"/>
      <c r="B1654" s="16"/>
      <c r="C1654" s="16"/>
      <c r="D1654" s="16"/>
      <c r="E1654" s="16"/>
      <c r="F1654" s="16"/>
      <c r="G1654" s="16"/>
      <c r="H1654" s="16"/>
      <c r="I1654" s="16"/>
      <c r="J1654" s="16"/>
      <c r="K1654" s="16"/>
      <c r="L1654" s="16"/>
      <c r="M1654" s="16"/>
      <c r="N1654" s="16"/>
      <c r="O1654" s="84"/>
      <c r="P1654" s="54"/>
      <c r="Q1654" s="54"/>
      <c r="R1654" s="55"/>
      <c r="S1654" s="55"/>
      <c r="T1654" s="32"/>
      <c r="U1654" s="32"/>
      <c r="V1654" s="32"/>
      <c r="W1654" s="32"/>
      <c r="X1654" s="32"/>
      <c r="Y1654" s="32"/>
      <c r="Z1654" s="32"/>
      <c r="AA1654" s="32"/>
      <c r="AB1654" s="32"/>
      <c r="AC1654" s="32"/>
    </row>
    <row r="1655">
      <c r="A1655" s="32"/>
      <c r="B1655" s="16"/>
      <c r="C1655" s="16"/>
      <c r="D1655" s="16"/>
      <c r="E1655" s="16"/>
      <c r="F1655" s="16"/>
      <c r="G1655" s="16"/>
      <c r="H1655" s="16"/>
      <c r="I1655" s="16"/>
      <c r="J1655" s="16"/>
      <c r="K1655" s="16"/>
      <c r="L1655" s="16"/>
      <c r="M1655" s="16"/>
      <c r="N1655" s="16"/>
      <c r="O1655" s="84"/>
      <c r="P1655" s="54"/>
      <c r="Q1655" s="54"/>
      <c r="R1655" s="55"/>
      <c r="S1655" s="55"/>
      <c r="T1655" s="32"/>
      <c r="U1655" s="32"/>
      <c r="V1655" s="32"/>
      <c r="W1655" s="32"/>
      <c r="X1655" s="32"/>
      <c r="Y1655" s="32"/>
      <c r="Z1655" s="32"/>
      <c r="AA1655" s="32"/>
      <c r="AB1655" s="32"/>
      <c r="AC1655" s="32"/>
    </row>
    <row r="1656">
      <c r="A1656" s="32"/>
      <c r="B1656" s="16"/>
      <c r="C1656" s="16"/>
      <c r="D1656" s="16"/>
      <c r="E1656" s="16"/>
      <c r="F1656" s="16"/>
      <c r="G1656" s="16"/>
      <c r="H1656" s="16"/>
      <c r="I1656" s="16"/>
      <c r="J1656" s="16"/>
      <c r="K1656" s="16"/>
      <c r="L1656" s="16"/>
      <c r="M1656" s="16"/>
      <c r="N1656" s="16"/>
      <c r="O1656" s="84"/>
      <c r="P1656" s="54"/>
      <c r="Q1656" s="54"/>
      <c r="R1656" s="55"/>
      <c r="S1656" s="55"/>
      <c r="T1656" s="32"/>
      <c r="U1656" s="32"/>
      <c r="V1656" s="32"/>
      <c r="W1656" s="32"/>
      <c r="X1656" s="32"/>
      <c r="Y1656" s="32"/>
      <c r="Z1656" s="32"/>
      <c r="AA1656" s="32"/>
      <c r="AB1656" s="32"/>
      <c r="AC1656" s="32"/>
    </row>
    <row r="1657">
      <c r="A1657" s="32"/>
      <c r="B1657" s="16"/>
      <c r="C1657" s="16"/>
      <c r="D1657" s="16"/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  <c r="O1657" s="84"/>
      <c r="P1657" s="54"/>
      <c r="Q1657" s="54"/>
      <c r="R1657" s="55"/>
      <c r="S1657" s="55"/>
      <c r="T1657" s="32"/>
      <c r="U1657" s="32"/>
      <c r="V1657" s="32"/>
      <c r="W1657" s="32"/>
      <c r="X1657" s="32"/>
      <c r="Y1657" s="32"/>
      <c r="Z1657" s="32"/>
      <c r="AA1657" s="32"/>
      <c r="AB1657" s="32"/>
      <c r="AC1657" s="32"/>
    </row>
    <row r="1658">
      <c r="A1658" s="32"/>
      <c r="B1658" s="16"/>
      <c r="C1658" s="16"/>
      <c r="D1658" s="16"/>
      <c r="E1658" s="16"/>
      <c r="F1658" s="16"/>
      <c r="G1658" s="16"/>
      <c r="H1658" s="16"/>
      <c r="I1658" s="16"/>
      <c r="J1658" s="16"/>
      <c r="K1658" s="16"/>
      <c r="L1658" s="16"/>
      <c r="M1658" s="16"/>
      <c r="N1658" s="16"/>
      <c r="O1658" s="84"/>
      <c r="P1658" s="54"/>
      <c r="Q1658" s="54"/>
      <c r="R1658" s="55"/>
      <c r="S1658" s="55"/>
      <c r="T1658" s="32"/>
      <c r="U1658" s="32"/>
      <c r="V1658" s="32"/>
      <c r="W1658" s="32"/>
      <c r="X1658" s="32"/>
      <c r="Y1658" s="32"/>
      <c r="Z1658" s="32"/>
      <c r="AA1658" s="32"/>
      <c r="AB1658" s="32"/>
      <c r="AC1658" s="32"/>
    </row>
    <row r="1659">
      <c r="A1659" s="32"/>
      <c r="B1659" s="16"/>
      <c r="C1659" s="16"/>
      <c r="D1659" s="16"/>
      <c r="E1659" s="16"/>
      <c r="F1659" s="16"/>
      <c r="G1659" s="16"/>
      <c r="H1659" s="16"/>
      <c r="I1659" s="16"/>
      <c r="J1659" s="16"/>
      <c r="K1659" s="16"/>
      <c r="L1659" s="16"/>
      <c r="M1659" s="16"/>
      <c r="N1659" s="16"/>
      <c r="O1659" s="84"/>
      <c r="P1659" s="54"/>
      <c r="Q1659" s="54"/>
      <c r="R1659" s="55"/>
      <c r="S1659" s="55"/>
      <c r="T1659" s="32"/>
      <c r="U1659" s="32"/>
      <c r="V1659" s="32"/>
      <c r="W1659" s="32"/>
      <c r="X1659" s="32"/>
      <c r="Y1659" s="32"/>
      <c r="Z1659" s="32"/>
      <c r="AA1659" s="32"/>
      <c r="AB1659" s="32"/>
      <c r="AC1659" s="32"/>
    </row>
    <row r="1660">
      <c r="A1660" s="32"/>
      <c r="B1660" s="16"/>
      <c r="C1660" s="16"/>
      <c r="D1660" s="16"/>
      <c r="E1660" s="16"/>
      <c r="F1660" s="16"/>
      <c r="G1660" s="16"/>
      <c r="H1660" s="16"/>
      <c r="I1660" s="16"/>
      <c r="J1660" s="16"/>
      <c r="K1660" s="16"/>
      <c r="L1660" s="16"/>
      <c r="M1660" s="16"/>
      <c r="N1660" s="16"/>
      <c r="O1660" s="84"/>
      <c r="P1660" s="54"/>
      <c r="Q1660" s="54"/>
      <c r="R1660" s="55"/>
      <c r="S1660" s="55"/>
      <c r="T1660" s="32"/>
      <c r="U1660" s="32"/>
      <c r="V1660" s="32"/>
      <c r="W1660" s="32"/>
      <c r="X1660" s="32"/>
      <c r="Y1660" s="32"/>
      <c r="Z1660" s="32"/>
      <c r="AA1660" s="32"/>
      <c r="AB1660" s="32"/>
      <c r="AC1660" s="32"/>
    </row>
    <row r="1661">
      <c r="A1661" s="32"/>
      <c r="B1661" s="16"/>
      <c r="C1661" s="16"/>
      <c r="D1661" s="16"/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  <c r="O1661" s="84"/>
      <c r="P1661" s="54"/>
      <c r="Q1661" s="54"/>
      <c r="R1661" s="55"/>
      <c r="S1661" s="55"/>
      <c r="T1661" s="32"/>
      <c r="U1661" s="32"/>
      <c r="V1661" s="32"/>
      <c r="W1661" s="32"/>
      <c r="X1661" s="32"/>
      <c r="Y1661" s="32"/>
      <c r="Z1661" s="32"/>
      <c r="AA1661" s="32"/>
      <c r="AB1661" s="32"/>
      <c r="AC1661" s="32"/>
    </row>
    <row r="1662">
      <c r="A1662" s="32"/>
      <c r="B1662" s="16"/>
      <c r="C1662" s="16"/>
      <c r="D1662" s="16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84"/>
      <c r="P1662" s="54"/>
      <c r="Q1662" s="54"/>
      <c r="R1662" s="55"/>
      <c r="S1662" s="55"/>
      <c r="T1662" s="32"/>
      <c r="U1662" s="32"/>
      <c r="V1662" s="32"/>
      <c r="W1662" s="32"/>
      <c r="X1662" s="32"/>
      <c r="Y1662" s="32"/>
      <c r="Z1662" s="32"/>
      <c r="AA1662" s="32"/>
      <c r="AB1662" s="32"/>
      <c r="AC1662" s="32"/>
    </row>
    <row r="1663">
      <c r="A1663" s="32"/>
      <c r="B1663" s="16"/>
      <c r="C1663" s="16"/>
      <c r="D1663" s="16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  <c r="O1663" s="84"/>
      <c r="P1663" s="54"/>
      <c r="Q1663" s="54"/>
      <c r="R1663" s="55"/>
      <c r="S1663" s="55"/>
      <c r="T1663" s="32"/>
      <c r="U1663" s="32"/>
      <c r="V1663" s="32"/>
      <c r="W1663" s="32"/>
      <c r="X1663" s="32"/>
      <c r="Y1663" s="32"/>
      <c r="Z1663" s="32"/>
      <c r="AA1663" s="32"/>
      <c r="AB1663" s="32"/>
      <c r="AC1663" s="32"/>
    </row>
    <row r="1664">
      <c r="A1664" s="32"/>
      <c r="B1664" s="16"/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84"/>
      <c r="P1664" s="54"/>
      <c r="Q1664" s="54"/>
      <c r="R1664" s="55"/>
      <c r="S1664" s="55"/>
      <c r="T1664" s="32"/>
      <c r="U1664" s="32"/>
      <c r="V1664" s="32"/>
      <c r="W1664" s="32"/>
      <c r="X1664" s="32"/>
      <c r="Y1664" s="32"/>
      <c r="Z1664" s="32"/>
      <c r="AA1664" s="32"/>
      <c r="AB1664" s="32"/>
      <c r="AC1664" s="32"/>
    </row>
    <row r="1665">
      <c r="A1665" s="32"/>
      <c r="B1665" s="16"/>
      <c r="C1665" s="16"/>
      <c r="D1665" s="16"/>
      <c r="E1665" s="16"/>
      <c r="F1665" s="16"/>
      <c r="G1665" s="16"/>
      <c r="H1665" s="16"/>
      <c r="I1665" s="16"/>
      <c r="J1665" s="16"/>
      <c r="K1665" s="16"/>
      <c r="L1665" s="16"/>
      <c r="M1665" s="16"/>
      <c r="N1665" s="16"/>
      <c r="O1665" s="84"/>
      <c r="P1665" s="54"/>
      <c r="Q1665" s="54"/>
      <c r="R1665" s="55"/>
      <c r="S1665" s="55"/>
      <c r="T1665" s="32"/>
      <c r="U1665" s="32"/>
      <c r="V1665" s="32"/>
      <c r="W1665" s="32"/>
      <c r="X1665" s="32"/>
      <c r="Y1665" s="32"/>
      <c r="Z1665" s="32"/>
      <c r="AA1665" s="32"/>
      <c r="AB1665" s="32"/>
      <c r="AC1665" s="32"/>
    </row>
    <row r="1666">
      <c r="A1666" s="32"/>
      <c r="B1666" s="16"/>
      <c r="C1666" s="16"/>
      <c r="D1666" s="16"/>
      <c r="E1666" s="16"/>
      <c r="F1666" s="16"/>
      <c r="G1666" s="16"/>
      <c r="H1666" s="16"/>
      <c r="I1666" s="16"/>
      <c r="J1666" s="16"/>
      <c r="K1666" s="16"/>
      <c r="L1666" s="16"/>
      <c r="M1666" s="16"/>
      <c r="N1666" s="16"/>
      <c r="O1666" s="84"/>
      <c r="P1666" s="54"/>
      <c r="Q1666" s="54"/>
      <c r="R1666" s="55"/>
      <c r="S1666" s="55"/>
      <c r="T1666" s="32"/>
      <c r="U1666" s="32"/>
      <c r="V1666" s="32"/>
      <c r="W1666" s="32"/>
      <c r="X1666" s="32"/>
      <c r="Y1666" s="32"/>
      <c r="Z1666" s="32"/>
      <c r="AA1666" s="32"/>
      <c r="AB1666" s="32"/>
      <c r="AC1666" s="32"/>
    </row>
    <row r="1667">
      <c r="A1667" s="32"/>
      <c r="B1667" s="16"/>
      <c r="C1667" s="16"/>
      <c r="D1667" s="16"/>
      <c r="E1667" s="16"/>
      <c r="F1667" s="16"/>
      <c r="G1667" s="16"/>
      <c r="H1667" s="16"/>
      <c r="I1667" s="16"/>
      <c r="J1667" s="16"/>
      <c r="K1667" s="16"/>
      <c r="L1667" s="16"/>
      <c r="M1667" s="16"/>
      <c r="N1667" s="16"/>
      <c r="O1667" s="84"/>
      <c r="P1667" s="54"/>
      <c r="Q1667" s="54"/>
      <c r="R1667" s="55"/>
      <c r="S1667" s="55"/>
      <c r="T1667" s="32"/>
      <c r="U1667" s="32"/>
      <c r="V1667" s="32"/>
      <c r="W1667" s="32"/>
      <c r="X1667" s="32"/>
      <c r="Y1667" s="32"/>
      <c r="Z1667" s="32"/>
      <c r="AA1667" s="32"/>
      <c r="AB1667" s="32"/>
      <c r="AC1667" s="32"/>
    </row>
    <row r="1668">
      <c r="A1668" s="32"/>
      <c r="B1668" s="16"/>
      <c r="C1668" s="16"/>
      <c r="D1668" s="16"/>
      <c r="E1668" s="16"/>
      <c r="F1668" s="16"/>
      <c r="G1668" s="16"/>
      <c r="H1668" s="16"/>
      <c r="I1668" s="16"/>
      <c r="J1668" s="16"/>
      <c r="K1668" s="16"/>
      <c r="L1668" s="16"/>
      <c r="M1668" s="16"/>
      <c r="N1668" s="16"/>
      <c r="O1668" s="84"/>
      <c r="P1668" s="54"/>
      <c r="Q1668" s="54"/>
      <c r="R1668" s="55"/>
      <c r="S1668" s="55"/>
      <c r="T1668" s="32"/>
      <c r="U1668" s="32"/>
      <c r="V1668" s="32"/>
      <c r="W1668" s="32"/>
      <c r="X1668" s="32"/>
      <c r="Y1668" s="32"/>
      <c r="Z1668" s="32"/>
      <c r="AA1668" s="32"/>
      <c r="AB1668" s="32"/>
      <c r="AC1668" s="32"/>
    </row>
    <row r="1669">
      <c r="A1669" s="32"/>
      <c r="B1669" s="16"/>
      <c r="C1669" s="16"/>
      <c r="D1669" s="16"/>
      <c r="E1669" s="16"/>
      <c r="F1669" s="16"/>
      <c r="G1669" s="16"/>
      <c r="H1669" s="16"/>
      <c r="I1669" s="16"/>
      <c r="J1669" s="16"/>
      <c r="K1669" s="16"/>
      <c r="L1669" s="16"/>
      <c r="M1669" s="16"/>
      <c r="N1669" s="16"/>
      <c r="O1669" s="84"/>
      <c r="P1669" s="54"/>
      <c r="Q1669" s="54"/>
      <c r="R1669" s="55"/>
      <c r="S1669" s="55"/>
      <c r="T1669" s="32"/>
      <c r="U1669" s="32"/>
      <c r="V1669" s="32"/>
      <c r="W1669" s="32"/>
      <c r="X1669" s="32"/>
      <c r="Y1669" s="32"/>
      <c r="Z1669" s="32"/>
      <c r="AA1669" s="32"/>
      <c r="AB1669" s="32"/>
      <c r="AC1669" s="32"/>
    </row>
    <row r="1670">
      <c r="A1670" s="32"/>
      <c r="B1670" s="16"/>
      <c r="C1670" s="16"/>
      <c r="D1670" s="16"/>
      <c r="E1670" s="16"/>
      <c r="F1670" s="16"/>
      <c r="G1670" s="16"/>
      <c r="H1670" s="16"/>
      <c r="I1670" s="16"/>
      <c r="J1670" s="16"/>
      <c r="K1670" s="16"/>
      <c r="L1670" s="16"/>
      <c r="M1670" s="16"/>
      <c r="N1670" s="16"/>
      <c r="O1670" s="84"/>
      <c r="P1670" s="54"/>
      <c r="Q1670" s="54"/>
      <c r="R1670" s="55"/>
      <c r="S1670" s="55"/>
      <c r="T1670" s="32"/>
      <c r="U1670" s="32"/>
      <c r="V1670" s="32"/>
      <c r="W1670" s="32"/>
      <c r="X1670" s="32"/>
      <c r="Y1670" s="32"/>
      <c r="Z1670" s="32"/>
      <c r="AA1670" s="32"/>
      <c r="AB1670" s="32"/>
      <c r="AC1670" s="32"/>
    </row>
    <row r="1671">
      <c r="A1671" s="32"/>
      <c r="B1671" s="16"/>
      <c r="C1671" s="16"/>
      <c r="D1671" s="16"/>
      <c r="E1671" s="16"/>
      <c r="F1671" s="16"/>
      <c r="G1671" s="16"/>
      <c r="H1671" s="16"/>
      <c r="I1671" s="16"/>
      <c r="J1671" s="16"/>
      <c r="K1671" s="16"/>
      <c r="L1671" s="16"/>
      <c r="M1671" s="16"/>
      <c r="N1671" s="16"/>
      <c r="O1671" s="84"/>
      <c r="P1671" s="54"/>
      <c r="Q1671" s="54"/>
      <c r="R1671" s="55"/>
      <c r="S1671" s="55"/>
      <c r="T1671" s="32"/>
      <c r="U1671" s="32"/>
      <c r="V1671" s="32"/>
      <c r="W1671" s="32"/>
      <c r="X1671" s="32"/>
      <c r="Y1671" s="32"/>
      <c r="Z1671" s="32"/>
      <c r="AA1671" s="32"/>
      <c r="AB1671" s="32"/>
      <c r="AC1671" s="32"/>
    </row>
    <row r="1672">
      <c r="A1672" s="32"/>
      <c r="B1672" s="16"/>
      <c r="C1672" s="16"/>
      <c r="D1672" s="16"/>
      <c r="E1672" s="16"/>
      <c r="F1672" s="16"/>
      <c r="G1672" s="16"/>
      <c r="H1672" s="16"/>
      <c r="I1672" s="16"/>
      <c r="J1672" s="16"/>
      <c r="K1672" s="16"/>
      <c r="L1672" s="16"/>
      <c r="M1672" s="16"/>
      <c r="N1672" s="16"/>
      <c r="O1672" s="84"/>
      <c r="P1672" s="54"/>
      <c r="Q1672" s="54"/>
      <c r="R1672" s="55"/>
      <c r="S1672" s="55"/>
      <c r="T1672" s="32"/>
      <c r="U1672" s="32"/>
      <c r="V1672" s="32"/>
      <c r="W1672" s="32"/>
      <c r="X1672" s="32"/>
      <c r="Y1672" s="32"/>
      <c r="Z1672" s="32"/>
      <c r="AA1672" s="32"/>
      <c r="AB1672" s="32"/>
      <c r="AC1672" s="32"/>
    </row>
    <row r="1673">
      <c r="A1673" s="32"/>
      <c r="B1673" s="16"/>
      <c r="C1673" s="16"/>
      <c r="D1673" s="16"/>
      <c r="E1673" s="16"/>
      <c r="F1673" s="16"/>
      <c r="G1673" s="16"/>
      <c r="H1673" s="16"/>
      <c r="I1673" s="16"/>
      <c r="J1673" s="16"/>
      <c r="K1673" s="16"/>
      <c r="L1673" s="16"/>
      <c r="M1673" s="16"/>
      <c r="N1673" s="16"/>
      <c r="O1673" s="84"/>
      <c r="P1673" s="54"/>
      <c r="Q1673" s="54"/>
      <c r="R1673" s="55"/>
      <c r="S1673" s="55"/>
      <c r="T1673" s="32"/>
      <c r="U1673" s="32"/>
      <c r="V1673" s="32"/>
      <c r="W1673" s="32"/>
      <c r="X1673" s="32"/>
      <c r="Y1673" s="32"/>
      <c r="Z1673" s="32"/>
      <c r="AA1673" s="32"/>
      <c r="AB1673" s="32"/>
      <c r="AC1673" s="32"/>
    </row>
    <row r="1674">
      <c r="A1674" s="32"/>
      <c r="B1674" s="16"/>
      <c r="C1674" s="16"/>
      <c r="D1674" s="16"/>
      <c r="E1674" s="16"/>
      <c r="F1674" s="16"/>
      <c r="G1674" s="16"/>
      <c r="H1674" s="16"/>
      <c r="I1674" s="16"/>
      <c r="J1674" s="16"/>
      <c r="K1674" s="16"/>
      <c r="L1674" s="16"/>
      <c r="M1674" s="16"/>
      <c r="N1674" s="16"/>
      <c r="O1674" s="84"/>
      <c r="P1674" s="54"/>
      <c r="Q1674" s="54"/>
      <c r="R1674" s="55"/>
      <c r="S1674" s="55"/>
      <c r="T1674" s="32"/>
      <c r="U1674" s="32"/>
      <c r="V1674" s="32"/>
      <c r="W1674" s="32"/>
      <c r="X1674" s="32"/>
      <c r="Y1674" s="32"/>
      <c r="Z1674" s="32"/>
      <c r="AA1674" s="32"/>
      <c r="AB1674" s="32"/>
      <c r="AC1674" s="32"/>
    </row>
    <row r="1675">
      <c r="A1675" s="32"/>
      <c r="B1675" s="16"/>
      <c r="C1675" s="16"/>
      <c r="D1675" s="16"/>
      <c r="E1675" s="16"/>
      <c r="F1675" s="16"/>
      <c r="G1675" s="16"/>
      <c r="H1675" s="16"/>
      <c r="I1675" s="16"/>
      <c r="J1675" s="16"/>
      <c r="K1675" s="16"/>
      <c r="L1675" s="16"/>
      <c r="M1675" s="16"/>
      <c r="N1675" s="16"/>
      <c r="O1675" s="84"/>
      <c r="P1675" s="54"/>
      <c r="Q1675" s="54"/>
      <c r="R1675" s="55"/>
      <c r="S1675" s="55"/>
      <c r="T1675" s="32"/>
      <c r="U1675" s="32"/>
      <c r="V1675" s="32"/>
      <c r="W1675" s="32"/>
      <c r="X1675" s="32"/>
      <c r="Y1675" s="32"/>
      <c r="Z1675" s="32"/>
      <c r="AA1675" s="32"/>
      <c r="AB1675" s="32"/>
      <c r="AC1675" s="32"/>
    </row>
    <row r="1676">
      <c r="A1676" s="32"/>
      <c r="B1676" s="16"/>
      <c r="C1676" s="16"/>
      <c r="D1676" s="16"/>
      <c r="E1676" s="16"/>
      <c r="F1676" s="16"/>
      <c r="G1676" s="16"/>
      <c r="H1676" s="16"/>
      <c r="I1676" s="16"/>
      <c r="J1676" s="16"/>
      <c r="K1676" s="16"/>
      <c r="L1676" s="16"/>
      <c r="M1676" s="16"/>
      <c r="N1676" s="16"/>
      <c r="O1676" s="84"/>
      <c r="P1676" s="54"/>
      <c r="Q1676" s="54"/>
      <c r="R1676" s="55"/>
      <c r="S1676" s="55"/>
      <c r="T1676" s="32"/>
      <c r="U1676" s="32"/>
      <c r="V1676" s="32"/>
      <c r="W1676" s="32"/>
      <c r="X1676" s="32"/>
      <c r="Y1676" s="32"/>
      <c r="Z1676" s="32"/>
      <c r="AA1676" s="32"/>
      <c r="AB1676" s="32"/>
      <c r="AC1676" s="32"/>
    </row>
    <row r="1677">
      <c r="A1677" s="32"/>
      <c r="B1677" s="16"/>
      <c r="C1677" s="16"/>
      <c r="D1677" s="16"/>
      <c r="E1677" s="16"/>
      <c r="F1677" s="16"/>
      <c r="G1677" s="16"/>
      <c r="H1677" s="16"/>
      <c r="I1677" s="16"/>
      <c r="J1677" s="16"/>
      <c r="K1677" s="16"/>
      <c r="L1677" s="16"/>
      <c r="M1677" s="16"/>
      <c r="N1677" s="16"/>
      <c r="O1677" s="84"/>
      <c r="P1677" s="54"/>
      <c r="Q1677" s="54"/>
      <c r="R1677" s="55"/>
      <c r="S1677" s="55"/>
      <c r="T1677" s="32"/>
      <c r="U1677" s="32"/>
      <c r="V1677" s="32"/>
      <c r="W1677" s="32"/>
      <c r="X1677" s="32"/>
      <c r="Y1677" s="32"/>
      <c r="Z1677" s="32"/>
      <c r="AA1677" s="32"/>
      <c r="AB1677" s="32"/>
      <c r="AC1677" s="32"/>
    </row>
    <row r="1678">
      <c r="A1678" s="32"/>
      <c r="B1678" s="16"/>
      <c r="C1678" s="16"/>
      <c r="D1678" s="16"/>
      <c r="E1678" s="16"/>
      <c r="F1678" s="16"/>
      <c r="G1678" s="16"/>
      <c r="H1678" s="16"/>
      <c r="I1678" s="16"/>
      <c r="J1678" s="16"/>
      <c r="K1678" s="16"/>
      <c r="L1678" s="16"/>
      <c r="M1678" s="16"/>
      <c r="N1678" s="16"/>
      <c r="O1678" s="84"/>
      <c r="P1678" s="54"/>
      <c r="Q1678" s="54"/>
      <c r="R1678" s="55"/>
      <c r="S1678" s="55"/>
      <c r="T1678" s="32"/>
      <c r="U1678" s="32"/>
      <c r="V1678" s="32"/>
      <c r="W1678" s="32"/>
      <c r="X1678" s="32"/>
      <c r="Y1678" s="32"/>
      <c r="Z1678" s="32"/>
      <c r="AA1678" s="32"/>
      <c r="AB1678" s="32"/>
      <c r="AC1678" s="32"/>
    </row>
    <row r="1679">
      <c r="A1679" s="32"/>
      <c r="B1679" s="16"/>
      <c r="C1679" s="16"/>
      <c r="D1679" s="16"/>
      <c r="E1679" s="16"/>
      <c r="F1679" s="16"/>
      <c r="G1679" s="16"/>
      <c r="H1679" s="16"/>
      <c r="I1679" s="16"/>
      <c r="J1679" s="16"/>
      <c r="K1679" s="16"/>
      <c r="L1679" s="16"/>
      <c r="M1679" s="16"/>
      <c r="N1679" s="16"/>
      <c r="O1679" s="84"/>
      <c r="P1679" s="54"/>
      <c r="Q1679" s="54"/>
      <c r="R1679" s="55"/>
      <c r="S1679" s="55"/>
      <c r="T1679" s="32"/>
      <c r="U1679" s="32"/>
      <c r="V1679" s="32"/>
      <c r="W1679" s="32"/>
      <c r="X1679" s="32"/>
      <c r="Y1679" s="32"/>
      <c r="Z1679" s="32"/>
      <c r="AA1679" s="32"/>
      <c r="AB1679" s="32"/>
      <c r="AC1679" s="32"/>
    </row>
    <row r="1680">
      <c r="A1680" s="32"/>
      <c r="B1680" s="16"/>
      <c r="C1680" s="16"/>
      <c r="D1680" s="16"/>
      <c r="E1680" s="16"/>
      <c r="F1680" s="16"/>
      <c r="G1680" s="16"/>
      <c r="H1680" s="16"/>
      <c r="I1680" s="16"/>
      <c r="J1680" s="16"/>
      <c r="K1680" s="16"/>
      <c r="L1680" s="16"/>
      <c r="M1680" s="16"/>
      <c r="N1680" s="16"/>
      <c r="O1680" s="84"/>
      <c r="P1680" s="54"/>
      <c r="Q1680" s="54"/>
      <c r="R1680" s="55"/>
      <c r="S1680" s="55"/>
      <c r="T1680" s="32"/>
      <c r="U1680" s="32"/>
      <c r="V1680" s="32"/>
      <c r="W1680" s="32"/>
      <c r="X1680" s="32"/>
      <c r="Y1680" s="32"/>
      <c r="Z1680" s="32"/>
      <c r="AA1680" s="32"/>
      <c r="AB1680" s="32"/>
      <c r="AC1680" s="32"/>
    </row>
    <row r="1681">
      <c r="A1681" s="32"/>
      <c r="B1681" s="16"/>
      <c r="C1681" s="16"/>
      <c r="D1681" s="16"/>
      <c r="E1681" s="16"/>
      <c r="F1681" s="16"/>
      <c r="G1681" s="16"/>
      <c r="H1681" s="16"/>
      <c r="I1681" s="16"/>
      <c r="J1681" s="16"/>
      <c r="K1681" s="16"/>
      <c r="L1681" s="16"/>
      <c r="M1681" s="16"/>
      <c r="N1681" s="16"/>
      <c r="O1681" s="84"/>
      <c r="P1681" s="54"/>
      <c r="Q1681" s="54"/>
      <c r="R1681" s="55"/>
      <c r="S1681" s="55"/>
      <c r="T1681" s="32"/>
      <c r="U1681" s="32"/>
      <c r="V1681" s="32"/>
      <c r="W1681" s="32"/>
      <c r="X1681" s="32"/>
      <c r="Y1681" s="32"/>
      <c r="Z1681" s="32"/>
      <c r="AA1681" s="32"/>
      <c r="AB1681" s="32"/>
      <c r="AC1681" s="32"/>
    </row>
    <row r="1682">
      <c r="A1682" s="32"/>
      <c r="B1682" s="16"/>
      <c r="C1682" s="16"/>
      <c r="D1682" s="16"/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  <c r="O1682" s="84"/>
      <c r="P1682" s="54"/>
      <c r="Q1682" s="54"/>
      <c r="R1682" s="55"/>
      <c r="S1682" s="55"/>
      <c r="T1682" s="32"/>
      <c r="U1682" s="32"/>
      <c r="V1682" s="32"/>
      <c r="W1682" s="32"/>
      <c r="X1682" s="32"/>
      <c r="Y1682" s="32"/>
      <c r="Z1682" s="32"/>
      <c r="AA1682" s="32"/>
      <c r="AB1682" s="32"/>
      <c r="AC1682" s="32"/>
    </row>
    <row r="1683">
      <c r="A1683" s="32"/>
      <c r="B1683" s="16"/>
      <c r="C1683" s="16"/>
      <c r="D1683" s="16"/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  <c r="O1683" s="84"/>
      <c r="P1683" s="54"/>
      <c r="Q1683" s="54"/>
      <c r="R1683" s="55"/>
      <c r="S1683" s="55"/>
      <c r="T1683" s="32"/>
      <c r="U1683" s="32"/>
      <c r="V1683" s="32"/>
      <c r="W1683" s="32"/>
      <c r="X1683" s="32"/>
      <c r="Y1683" s="32"/>
      <c r="Z1683" s="32"/>
      <c r="AA1683" s="32"/>
      <c r="AB1683" s="32"/>
      <c r="AC1683" s="32"/>
    </row>
    <row r="1684">
      <c r="A1684" s="32"/>
      <c r="B1684" s="16"/>
      <c r="C1684" s="16"/>
      <c r="D1684" s="16"/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  <c r="O1684" s="84"/>
      <c r="P1684" s="54"/>
      <c r="Q1684" s="54"/>
      <c r="R1684" s="55"/>
      <c r="S1684" s="55"/>
      <c r="T1684" s="32"/>
      <c r="U1684" s="32"/>
      <c r="V1684" s="32"/>
      <c r="W1684" s="32"/>
      <c r="X1684" s="32"/>
      <c r="Y1684" s="32"/>
      <c r="Z1684" s="32"/>
      <c r="AA1684" s="32"/>
      <c r="AB1684" s="32"/>
      <c r="AC1684" s="32"/>
    </row>
    <row r="1685">
      <c r="A1685" s="32"/>
      <c r="B1685" s="16"/>
      <c r="C1685" s="16"/>
      <c r="D1685" s="16"/>
      <c r="E1685" s="16"/>
      <c r="F1685" s="16"/>
      <c r="G1685" s="16"/>
      <c r="H1685" s="16"/>
      <c r="I1685" s="16"/>
      <c r="J1685" s="16"/>
      <c r="K1685" s="16"/>
      <c r="L1685" s="16"/>
      <c r="M1685" s="16"/>
      <c r="N1685" s="16"/>
      <c r="O1685" s="84"/>
      <c r="P1685" s="54"/>
      <c r="Q1685" s="54"/>
      <c r="R1685" s="55"/>
      <c r="S1685" s="55"/>
      <c r="T1685" s="32"/>
      <c r="U1685" s="32"/>
      <c r="V1685" s="32"/>
      <c r="W1685" s="32"/>
      <c r="X1685" s="32"/>
      <c r="Y1685" s="32"/>
      <c r="Z1685" s="32"/>
      <c r="AA1685" s="32"/>
      <c r="AB1685" s="32"/>
      <c r="AC1685" s="32"/>
    </row>
    <row r="1686">
      <c r="A1686" s="32"/>
      <c r="B1686" s="16"/>
      <c r="C1686" s="16"/>
      <c r="D1686" s="16"/>
      <c r="E1686" s="16"/>
      <c r="F1686" s="16"/>
      <c r="G1686" s="16"/>
      <c r="H1686" s="16"/>
      <c r="I1686" s="16"/>
      <c r="J1686" s="16"/>
      <c r="K1686" s="16"/>
      <c r="L1686" s="16"/>
      <c r="M1686" s="16"/>
      <c r="N1686" s="16"/>
      <c r="O1686" s="84"/>
      <c r="P1686" s="54"/>
      <c r="Q1686" s="54"/>
      <c r="R1686" s="55"/>
      <c r="S1686" s="55"/>
      <c r="T1686" s="32"/>
      <c r="U1686" s="32"/>
      <c r="V1686" s="32"/>
      <c r="W1686" s="32"/>
      <c r="X1686" s="32"/>
      <c r="Y1686" s="32"/>
      <c r="Z1686" s="32"/>
      <c r="AA1686" s="32"/>
      <c r="AB1686" s="32"/>
      <c r="AC1686" s="32"/>
    </row>
    <row r="1687">
      <c r="A1687" s="32"/>
      <c r="B1687" s="16"/>
      <c r="C1687" s="16"/>
      <c r="D1687" s="16"/>
      <c r="E1687" s="16"/>
      <c r="F1687" s="16"/>
      <c r="G1687" s="16"/>
      <c r="H1687" s="16"/>
      <c r="I1687" s="16"/>
      <c r="J1687" s="16"/>
      <c r="K1687" s="16"/>
      <c r="L1687" s="16"/>
      <c r="M1687" s="16"/>
      <c r="N1687" s="16"/>
      <c r="O1687" s="84"/>
      <c r="P1687" s="54"/>
      <c r="Q1687" s="54"/>
      <c r="R1687" s="55"/>
      <c r="S1687" s="55"/>
      <c r="T1687" s="32"/>
      <c r="U1687" s="32"/>
      <c r="V1687" s="32"/>
      <c r="W1687" s="32"/>
      <c r="X1687" s="32"/>
      <c r="Y1687" s="32"/>
      <c r="Z1687" s="32"/>
      <c r="AA1687" s="32"/>
      <c r="AB1687" s="32"/>
      <c r="AC1687" s="32"/>
    </row>
    <row r="1688">
      <c r="A1688" s="32"/>
      <c r="B1688" s="16"/>
      <c r="C1688" s="16"/>
      <c r="D1688" s="16"/>
      <c r="E1688" s="16"/>
      <c r="F1688" s="16"/>
      <c r="G1688" s="16"/>
      <c r="H1688" s="16"/>
      <c r="I1688" s="16"/>
      <c r="J1688" s="16"/>
      <c r="K1688" s="16"/>
      <c r="L1688" s="16"/>
      <c r="M1688" s="16"/>
      <c r="N1688" s="16"/>
      <c r="O1688" s="84"/>
      <c r="P1688" s="54"/>
      <c r="Q1688" s="54"/>
      <c r="R1688" s="55"/>
      <c r="S1688" s="55"/>
      <c r="T1688" s="32"/>
      <c r="U1688" s="32"/>
      <c r="V1688" s="32"/>
      <c r="W1688" s="32"/>
      <c r="X1688" s="32"/>
      <c r="Y1688" s="32"/>
      <c r="Z1688" s="32"/>
      <c r="AA1688" s="32"/>
      <c r="AB1688" s="32"/>
      <c r="AC1688" s="32"/>
    </row>
    <row r="1689">
      <c r="A1689" s="32"/>
      <c r="B1689" s="16"/>
      <c r="C1689" s="16"/>
      <c r="D1689" s="16"/>
      <c r="E1689" s="16"/>
      <c r="F1689" s="16"/>
      <c r="G1689" s="16"/>
      <c r="H1689" s="16"/>
      <c r="I1689" s="16"/>
      <c r="J1689" s="16"/>
      <c r="K1689" s="16"/>
      <c r="L1689" s="16"/>
      <c r="M1689" s="16"/>
      <c r="N1689" s="16"/>
      <c r="O1689" s="84"/>
      <c r="P1689" s="54"/>
      <c r="Q1689" s="54"/>
      <c r="R1689" s="55"/>
      <c r="S1689" s="55"/>
      <c r="T1689" s="32"/>
      <c r="U1689" s="32"/>
      <c r="V1689" s="32"/>
      <c r="W1689" s="32"/>
      <c r="X1689" s="32"/>
      <c r="Y1689" s="32"/>
      <c r="Z1689" s="32"/>
      <c r="AA1689" s="32"/>
      <c r="AB1689" s="32"/>
      <c r="AC1689" s="32"/>
    </row>
    <row r="1690">
      <c r="A1690" s="32"/>
      <c r="B1690" s="16"/>
      <c r="C1690" s="16"/>
      <c r="D1690" s="16"/>
      <c r="E1690" s="16"/>
      <c r="F1690" s="16"/>
      <c r="G1690" s="16"/>
      <c r="H1690" s="16"/>
      <c r="I1690" s="16"/>
      <c r="J1690" s="16"/>
      <c r="K1690" s="16"/>
      <c r="L1690" s="16"/>
      <c r="M1690" s="16"/>
      <c r="N1690" s="16"/>
      <c r="O1690" s="84"/>
      <c r="P1690" s="54"/>
      <c r="Q1690" s="54"/>
      <c r="R1690" s="55"/>
      <c r="S1690" s="55"/>
      <c r="T1690" s="32"/>
      <c r="U1690" s="32"/>
      <c r="V1690" s="32"/>
      <c r="W1690" s="32"/>
      <c r="X1690" s="32"/>
      <c r="Y1690" s="32"/>
      <c r="Z1690" s="32"/>
      <c r="AA1690" s="32"/>
      <c r="AB1690" s="32"/>
      <c r="AC1690" s="32"/>
    </row>
    <row r="1691">
      <c r="A1691" s="32"/>
      <c r="B1691" s="16"/>
      <c r="C1691" s="16"/>
      <c r="D1691" s="16"/>
      <c r="E1691" s="16"/>
      <c r="F1691" s="16"/>
      <c r="G1691" s="16"/>
      <c r="H1691" s="16"/>
      <c r="I1691" s="16"/>
      <c r="J1691" s="16"/>
      <c r="K1691" s="16"/>
      <c r="L1691" s="16"/>
      <c r="M1691" s="16"/>
      <c r="N1691" s="16"/>
      <c r="O1691" s="84"/>
      <c r="P1691" s="54"/>
      <c r="Q1691" s="54"/>
      <c r="R1691" s="55"/>
      <c r="S1691" s="55"/>
      <c r="T1691" s="32"/>
      <c r="U1691" s="32"/>
      <c r="V1691" s="32"/>
      <c r="W1691" s="32"/>
      <c r="X1691" s="32"/>
      <c r="Y1691" s="32"/>
      <c r="Z1691" s="32"/>
      <c r="AA1691" s="32"/>
      <c r="AB1691" s="32"/>
      <c r="AC1691" s="32"/>
    </row>
    <row r="1692">
      <c r="A1692" s="32"/>
      <c r="B1692" s="16"/>
      <c r="C1692" s="16"/>
      <c r="D1692" s="16"/>
      <c r="E1692" s="16"/>
      <c r="F1692" s="16"/>
      <c r="G1692" s="16"/>
      <c r="H1692" s="16"/>
      <c r="I1692" s="16"/>
      <c r="J1692" s="16"/>
      <c r="K1692" s="16"/>
      <c r="L1692" s="16"/>
      <c r="M1692" s="16"/>
      <c r="N1692" s="16"/>
      <c r="O1692" s="84"/>
      <c r="P1692" s="54"/>
      <c r="Q1692" s="54"/>
      <c r="R1692" s="55"/>
      <c r="S1692" s="55"/>
      <c r="T1692" s="32"/>
      <c r="U1692" s="32"/>
      <c r="V1692" s="32"/>
      <c r="W1692" s="32"/>
      <c r="X1692" s="32"/>
      <c r="Y1692" s="32"/>
      <c r="Z1692" s="32"/>
      <c r="AA1692" s="32"/>
      <c r="AB1692" s="32"/>
      <c r="AC1692" s="32"/>
    </row>
    <row r="1693">
      <c r="A1693" s="32"/>
      <c r="B1693" s="16"/>
      <c r="C1693" s="16"/>
      <c r="D1693" s="16"/>
      <c r="E1693" s="16"/>
      <c r="F1693" s="16"/>
      <c r="G1693" s="16"/>
      <c r="H1693" s="16"/>
      <c r="I1693" s="16"/>
      <c r="J1693" s="16"/>
      <c r="K1693" s="16"/>
      <c r="L1693" s="16"/>
      <c r="M1693" s="16"/>
      <c r="N1693" s="16"/>
      <c r="O1693" s="84"/>
      <c r="P1693" s="54"/>
      <c r="Q1693" s="54"/>
      <c r="R1693" s="55"/>
      <c r="S1693" s="55"/>
      <c r="T1693" s="32"/>
      <c r="U1693" s="32"/>
      <c r="V1693" s="32"/>
      <c r="W1693" s="32"/>
      <c r="X1693" s="32"/>
      <c r="Y1693" s="32"/>
      <c r="Z1693" s="32"/>
      <c r="AA1693" s="32"/>
      <c r="AB1693" s="32"/>
      <c r="AC1693" s="32"/>
    </row>
    <row r="1694">
      <c r="A1694" s="32"/>
      <c r="B1694" s="16"/>
      <c r="C1694" s="16"/>
      <c r="D1694" s="16"/>
      <c r="E1694" s="16"/>
      <c r="F1694" s="16"/>
      <c r="G1694" s="16"/>
      <c r="H1694" s="16"/>
      <c r="I1694" s="16"/>
      <c r="J1694" s="16"/>
      <c r="K1694" s="16"/>
      <c r="L1694" s="16"/>
      <c r="M1694" s="16"/>
      <c r="N1694" s="16"/>
      <c r="O1694" s="84"/>
      <c r="P1694" s="54"/>
      <c r="Q1694" s="54"/>
      <c r="R1694" s="55"/>
      <c r="S1694" s="55"/>
      <c r="T1694" s="32"/>
      <c r="U1694" s="32"/>
      <c r="V1694" s="32"/>
      <c r="W1694" s="32"/>
      <c r="X1694" s="32"/>
      <c r="Y1694" s="32"/>
      <c r="Z1694" s="32"/>
      <c r="AA1694" s="32"/>
      <c r="AB1694" s="32"/>
      <c r="AC1694" s="32"/>
    </row>
    <row r="1695">
      <c r="A1695" s="32"/>
      <c r="B1695" s="16"/>
      <c r="C1695" s="16"/>
      <c r="D1695" s="16"/>
      <c r="E1695" s="16"/>
      <c r="F1695" s="16"/>
      <c r="G1695" s="16"/>
      <c r="H1695" s="16"/>
      <c r="I1695" s="16"/>
      <c r="J1695" s="16"/>
      <c r="K1695" s="16"/>
      <c r="L1695" s="16"/>
      <c r="M1695" s="16"/>
      <c r="N1695" s="16"/>
      <c r="O1695" s="84"/>
      <c r="P1695" s="54"/>
      <c r="Q1695" s="54"/>
      <c r="R1695" s="55"/>
      <c r="S1695" s="55"/>
      <c r="T1695" s="32"/>
      <c r="U1695" s="32"/>
      <c r="V1695" s="32"/>
      <c r="W1695" s="32"/>
      <c r="X1695" s="32"/>
      <c r="Y1695" s="32"/>
      <c r="Z1695" s="32"/>
      <c r="AA1695" s="32"/>
      <c r="AB1695" s="32"/>
      <c r="AC1695" s="32"/>
    </row>
    <row r="1696">
      <c r="A1696" s="32"/>
      <c r="B1696" s="16"/>
      <c r="C1696" s="16"/>
      <c r="D1696" s="16"/>
      <c r="E1696" s="16"/>
      <c r="F1696" s="16"/>
      <c r="G1696" s="16"/>
      <c r="H1696" s="16"/>
      <c r="I1696" s="16"/>
      <c r="J1696" s="16"/>
      <c r="K1696" s="16"/>
      <c r="L1696" s="16"/>
      <c r="M1696" s="16"/>
      <c r="N1696" s="16"/>
      <c r="O1696" s="84"/>
      <c r="P1696" s="54"/>
      <c r="Q1696" s="54"/>
      <c r="R1696" s="55"/>
      <c r="S1696" s="55"/>
      <c r="T1696" s="32"/>
      <c r="U1696" s="32"/>
      <c r="V1696" s="32"/>
      <c r="W1696" s="32"/>
      <c r="X1696" s="32"/>
      <c r="Y1696" s="32"/>
      <c r="Z1696" s="32"/>
      <c r="AA1696" s="32"/>
      <c r="AB1696" s="32"/>
      <c r="AC1696" s="32"/>
    </row>
    <row r="1697">
      <c r="A1697" s="32"/>
      <c r="B1697" s="16"/>
      <c r="C1697" s="16"/>
      <c r="D1697" s="16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84"/>
      <c r="P1697" s="54"/>
      <c r="Q1697" s="54"/>
      <c r="R1697" s="55"/>
      <c r="S1697" s="55"/>
      <c r="T1697" s="32"/>
      <c r="U1697" s="32"/>
      <c r="V1697" s="32"/>
      <c r="W1697" s="32"/>
      <c r="X1697" s="32"/>
      <c r="Y1697" s="32"/>
      <c r="Z1697" s="32"/>
      <c r="AA1697" s="32"/>
      <c r="AB1697" s="32"/>
      <c r="AC1697" s="32"/>
    </row>
    <row r="1698">
      <c r="A1698" s="32"/>
      <c r="B1698" s="16"/>
      <c r="C1698" s="16"/>
      <c r="D1698" s="16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84"/>
      <c r="P1698" s="54"/>
      <c r="Q1698" s="54"/>
      <c r="R1698" s="55"/>
      <c r="S1698" s="55"/>
      <c r="T1698" s="32"/>
      <c r="U1698" s="32"/>
      <c r="V1698" s="32"/>
      <c r="W1698" s="32"/>
      <c r="X1698" s="32"/>
      <c r="Y1698" s="32"/>
      <c r="Z1698" s="32"/>
      <c r="AA1698" s="32"/>
      <c r="AB1698" s="32"/>
      <c r="AC1698" s="32"/>
    </row>
    <row r="1699">
      <c r="A1699" s="32"/>
      <c r="B1699" s="16"/>
      <c r="C1699" s="16"/>
      <c r="D1699" s="16"/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84"/>
      <c r="P1699" s="54"/>
      <c r="Q1699" s="54"/>
      <c r="R1699" s="55"/>
      <c r="S1699" s="55"/>
      <c r="T1699" s="32"/>
      <c r="U1699" s="32"/>
      <c r="V1699" s="32"/>
      <c r="W1699" s="32"/>
      <c r="X1699" s="32"/>
      <c r="Y1699" s="32"/>
      <c r="Z1699" s="32"/>
      <c r="AA1699" s="32"/>
      <c r="AB1699" s="32"/>
      <c r="AC1699" s="32"/>
    </row>
    <row r="1700">
      <c r="A1700" s="32"/>
      <c r="B1700" s="16"/>
      <c r="C1700" s="16"/>
      <c r="D1700" s="16"/>
      <c r="E1700" s="16"/>
      <c r="F1700" s="16"/>
      <c r="G1700" s="16"/>
      <c r="H1700" s="16"/>
      <c r="I1700" s="16"/>
      <c r="J1700" s="16"/>
      <c r="K1700" s="16"/>
      <c r="L1700" s="16"/>
      <c r="M1700" s="16"/>
      <c r="N1700" s="16"/>
      <c r="O1700" s="84"/>
      <c r="P1700" s="54"/>
      <c r="Q1700" s="54"/>
      <c r="R1700" s="55"/>
      <c r="S1700" s="55"/>
      <c r="T1700" s="32"/>
      <c r="U1700" s="32"/>
      <c r="V1700" s="32"/>
      <c r="W1700" s="32"/>
      <c r="X1700" s="32"/>
      <c r="Y1700" s="32"/>
      <c r="Z1700" s="32"/>
      <c r="AA1700" s="32"/>
      <c r="AB1700" s="32"/>
      <c r="AC1700" s="32"/>
    </row>
    <row r="1701">
      <c r="A1701" s="32"/>
      <c r="B1701" s="16"/>
      <c r="C1701" s="16"/>
      <c r="D1701" s="16"/>
      <c r="E1701" s="16"/>
      <c r="F1701" s="16"/>
      <c r="G1701" s="16"/>
      <c r="H1701" s="16"/>
      <c r="I1701" s="16"/>
      <c r="J1701" s="16"/>
      <c r="K1701" s="16"/>
      <c r="L1701" s="16"/>
      <c r="M1701" s="16"/>
      <c r="N1701" s="16"/>
      <c r="O1701" s="84"/>
      <c r="P1701" s="54"/>
      <c r="Q1701" s="54"/>
      <c r="R1701" s="55"/>
      <c r="S1701" s="55"/>
      <c r="T1701" s="32"/>
      <c r="U1701" s="32"/>
      <c r="V1701" s="32"/>
      <c r="W1701" s="32"/>
      <c r="X1701" s="32"/>
      <c r="Y1701" s="32"/>
      <c r="Z1701" s="32"/>
      <c r="AA1701" s="32"/>
      <c r="AB1701" s="32"/>
      <c r="AC1701" s="32"/>
    </row>
    <row r="1702">
      <c r="A1702" s="32"/>
      <c r="B1702" s="16"/>
      <c r="C1702" s="16"/>
      <c r="D1702" s="16"/>
      <c r="E1702" s="16"/>
      <c r="F1702" s="16"/>
      <c r="G1702" s="16"/>
      <c r="H1702" s="16"/>
      <c r="I1702" s="16"/>
      <c r="J1702" s="16"/>
      <c r="K1702" s="16"/>
      <c r="L1702" s="16"/>
      <c r="M1702" s="16"/>
      <c r="N1702" s="16"/>
      <c r="O1702" s="84"/>
      <c r="P1702" s="54"/>
      <c r="Q1702" s="54"/>
      <c r="R1702" s="55"/>
      <c r="S1702" s="55"/>
      <c r="T1702" s="32"/>
      <c r="U1702" s="32"/>
      <c r="V1702" s="32"/>
      <c r="W1702" s="32"/>
      <c r="X1702" s="32"/>
      <c r="Y1702" s="32"/>
      <c r="Z1702" s="32"/>
      <c r="AA1702" s="32"/>
      <c r="AB1702" s="32"/>
      <c r="AC1702" s="32"/>
    </row>
    <row r="1703">
      <c r="A1703" s="32"/>
      <c r="B1703" s="16"/>
      <c r="C1703" s="16"/>
      <c r="D1703" s="16"/>
      <c r="E1703" s="16"/>
      <c r="F1703" s="16"/>
      <c r="G1703" s="16"/>
      <c r="H1703" s="16"/>
      <c r="I1703" s="16"/>
      <c r="J1703" s="16"/>
      <c r="K1703" s="16"/>
      <c r="L1703" s="16"/>
      <c r="M1703" s="16"/>
      <c r="N1703" s="16"/>
      <c r="O1703" s="84"/>
      <c r="P1703" s="54"/>
      <c r="Q1703" s="54"/>
      <c r="R1703" s="55"/>
      <c r="S1703" s="55"/>
      <c r="T1703" s="32"/>
      <c r="U1703" s="32"/>
      <c r="V1703" s="32"/>
      <c r="W1703" s="32"/>
      <c r="X1703" s="32"/>
      <c r="Y1703" s="32"/>
      <c r="Z1703" s="32"/>
      <c r="AA1703" s="32"/>
      <c r="AB1703" s="32"/>
      <c r="AC1703" s="32"/>
    </row>
    <row r="1704">
      <c r="A1704" s="32"/>
      <c r="B1704" s="16"/>
      <c r="C1704" s="16"/>
      <c r="D1704" s="16"/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  <c r="O1704" s="84"/>
      <c r="P1704" s="54"/>
      <c r="Q1704" s="54"/>
      <c r="R1704" s="55"/>
      <c r="S1704" s="55"/>
      <c r="T1704" s="32"/>
      <c r="U1704" s="32"/>
      <c r="V1704" s="32"/>
      <c r="W1704" s="32"/>
      <c r="X1704" s="32"/>
      <c r="Y1704" s="32"/>
      <c r="Z1704" s="32"/>
      <c r="AA1704" s="32"/>
      <c r="AB1704" s="32"/>
      <c r="AC1704" s="32"/>
    </row>
    <row r="1705">
      <c r="A1705" s="32"/>
      <c r="B1705" s="16"/>
      <c r="C1705" s="16"/>
      <c r="D1705" s="16"/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  <c r="O1705" s="84"/>
      <c r="P1705" s="54"/>
      <c r="Q1705" s="54"/>
      <c r="R1705" s="55"/>
      <c r="S1705" s="55"/>
      <c r="T1705" s="32"/>
      <c r="U1705" s="32"/>
      <c r="V1705" s="32"/>
      <c r="W1705" s="32"/>
      <c r="X1705" s="32"/>
      <c r="Y1705" s="32"/>
      <c r="Z1705" s="32"/>
      <c r="AA1705" s="32"/>
      <c r="AB1705" s="32"/>
      <c r="AC1705" s="32"/>
    </row>
    <row r="1706">
      <c r="A1706" s="32"/>
      <c r="B1706" s="16"/>
      <c r="C1706" s="16"/>
      <c r="D1706" s="16"/>
      <c r="E1706" s="16"/>
      <c r="F1706" s="16"/>
      <c r="G1706" s="16"/>
      <c r="H1706" s="16"/>
      <c r="I1706" s="16"/>
      <c r="J1706" s="16"/>
      <c r="K1706" s="16"/>
      <c r="L1706" s="16"/>
      <c r="M1706" s="16"/>
      <c r="N1706" s="16"/>
      <c r="O1706" s="84"/>
      <c r="P1706" s="54"/>
      <c r="Q1706" s="54"/>
      <c r="R1706" s="55"/>
      <c r="S1706" s="55"/>
      <c r="T1706" s="32"/>
      <c r="U1706" s="32"/>
      <c r="V1706" s="32"/>
      <c r="W1706" s="32"/>
      <c r="X1706" s="32"/>
      <c r="Y1706" s="32"/>
      <c r="Z1706" s="32"/>
      <c r="AA1706" s="32"/>
      <c r="AB1706" s="32"/>
      <c r="AC1706" s="32"/>
    </row>
    <row r="1707">
      <c r="A1707" s="32"/>
      <c r="B1707" s="16"/>
      <c r="C1707" s="16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84"/>
      <c r="P1707" s="54"/>
      <c r="Q1707" s="54"/>
      <c r="R1707" s="55"/>
      <c r="S1707" s="55"/>
      <c r="T1707" s="32"/>
      <c r="U1707" s="32"/>
      <c r="V1707" s="32"/>
      <c r="W1707" s="32"/>
      <c r="X1707" s="32"/>
      <c r="Y1707" s="32"/>
      <c r="Z1707" s="32"/>
      <c r="AA1707" s="32"/>
      <c r="AB1707" s="32"/>
      <c r="AC1707" s="32"/>
    </row>
    <row r="1708">
      <c r="A1708" s="32"/>
      <c r="B1708" s="16"/>
      <c r="C1708" s="16"/>
      <c r="D1708" s="16"/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84"/>
      <c r="P1708" s="54"/>
      <c r="Q1708" s="54"/>
      <c r="R1708" s="55"/>
      <c r="S1708" s="55"/>
      <c r="T1708" s="32"/>
      <c r="U1708" s="32"/>
      <c r="V1708" s="32"/>
      <c r="W1708" s="32"/>
      <c r="X1708" s="32"/>
      <c r="Y1708" s="32"/>
      <c r="Z1708" s="32"/>
      <c r="AA1708" s="32"/>
      <c r="AB1708" s="32"/>
      <c r="AC1708" s="32"/>
    </row>
    <row r="1709">
      <c r="A1709" s="32"/>
      <c r="B1709" s="16"/>
      <c r="C1709" s="16"/>
      <c r="D1709" s="16"/>
      <c r="E1709" s="16"/>
      <c r="F1709" s="16"/>
      <c r="G1709" s="16"/>
      <c r="H1709" s="16"/>
      <c r="I1709" s="16"/>
      <c r="J1709" s="16"/>
      <c r="K1709" s="16"/>
      <c r="L1709" s="16"/>
      <c r="M1709" s="16"/>
      <c r="N1709" s="16"/>
      <c r="O1709" s="84"/>
      <c r="P1709" s="54"/>
      <c r="Q1709" s="54"/>
      <c r="R1709" s="55"/>
      <c r="S1709" s="55"/>
      <c r="T1709" s="32"/>
      <c r="U1709" s="32"/>
      <c r="V1709" s="32"/>
      <c r="W1709" s="32"/>
      <c r="X1709" s="32"/>
      <c r="Y1709" s="32"/>
      <c r="Z1709" s="32"/>
      <c r="AA1709" s="32"/>
      <c r="AB1709" s="32"/>
      <c r="AC1709" s="32"/>
    </row>
    <row r="1710">
      <c r="A1710" s="32"/>
      <c r="B1710" s="16"/>
      <c r="C1710" s="16"/>
      <c r="D1710" s="16"/>
      <c r="E1710" s="16"/>
      <c r="F1710" s="16"/>
      <c r="G1710" s="16"/>
      <c r="H1710" s="16"/>
      <c r="I1710" s="16"/>
      <c r="J1710" s="16"/>
      <c r="K1710" s="16"/>
      <c r="L1710" s="16"/>
      <c r="M1710" s="16"/>
      <c r="N1710" s="16"/>
      <c r="O1710" s="84"/>
      <c r="P1710" s="54"/>
      <c r="Q1710" s="54"/>
      <c r="R1710" s="55"/>
      <c r="S1710" s="55"/>
      <c r="T1710" s="32"/>
      <c r="U1710" s="32"/>
      <c r="V1710" s="32"/>
      <c r="W1710" s="32"/>
      <c r="X1710" s="32"/>
      <c r="Y1710" s="32"/>
      <c r="Z1710" s="32"/>
      <c r="AA1710" s="32"/>
      <c r="AB1710" s="32"/>
      <c r="AC1710" s="32"/>
    </row>
    <row r="1711">
      <c r="A1711" s="32"/>
      <c r="B1711" s="16"/>
      <c r="C1711" s="16"/>
      <c r="D1711" s="16"/>
      <c r="E1711" s="16"/>
      <c r="F1711" s="16"/>
      <c r="G1711" s="16"/>
      <c r="H1711" s="16"/>
      <c r="I1711" s="16"/>
      <c r="J1711" s="16"/>
      <c r="K1711" s="16"/>
      <c r="L1711" s="16"/>
      <c r="M1711" s="16"/>
      <c r="N1711" s="16"/>
      <c r="O1711" s="84"/>
      <c r="P1711" s="54"/>
      <c r="Q1711" s="54"/>
      <c r="R1711" s="55"/>
      <c r="S1711" s="55"/>
      <c r="T1711" s="32"/>
      <c r="U1711" s="32"/>
      <c r="V1711" s="32"/>
      <c r="W1711" s="32"/>
      <c r="X1711" s="32"/>
      <c r="Y1711" s="32"/>
      <c r="Z1711" s="32"/>
      <c r="AA1711" s="32"/>
      <c r="AB1711" s="32"/>
      <c r="AC1711" s="32"/>
    </row>
    <row r="1712">
      <c r="A1712" s="32"/>
      <c r="B1712" s="16"/>
      <c r="C1712" s="16"/>
      <c r="D1712" s="16"/>
      <c r="E1712" s="16"/>
      <c r="F1712" s="16"/>
      <c r="G1712" s="16"/>
      <c r="H1712" s="16"/>
      <c r="I1712" s="16"/>
      <c r="J1712" s="16"/>
      <c r="K1712" s="16"/>
      <c r="L1712" s="16"/>
      <c r="M1712" s="16"/>
      <c r="N1712" s="16"/>
      <c r="O1712" s="84"/>
      <c r="P1712" s="54"/>
      <c r="Q1712" s="54"/>
      <c r="R1712" s="55"/>
      <c r="S1712" s="55"/>
      <c r="T1712" s="32"/>
      <c r="U1712" s="32"/>
      <c r="V1712" s="32"/>
      <c r="W1712" s="32"/>
      <c r="X1712" s="32"/>
      <c r="Y1712" s="32"/>
      <c r="Z1712" s="32"/>
      <c r="AA1712" s="32"/>
      <c r="AB1712" s="32"/>
      <c r="AC1712" s="32"/>
    </row>
    <row r="1713">
      <c r="A1713" s="32"/>
      <c r="B1713" s="16"/>
      <c r="C1713" s="16"/>
      <c r="D1713" s="16"/>
      <c r="E1713" s="16"/>
      <c r="F1713" s="16"/>
      <c r="G1713" s="16"/>
      <c r="H1713" s="16"/>
      <c r="I1713" s="16"/>
      <c r="J1713" s="16"/>
      <c r="K1713" s="16"/>
      <c r="L1713" s="16"/>
      <c r="M1713" s="16"/>
      <c r="N1713" s="16"/>
      <c r="O1713" s="84"/>
      <c r="P1713" s="54"/>
      <c r="Q1713" s="54"/>
      <c r="R1713" s="55"/>
      <c r="S1713" s="55"/>
      <c r="T1713" s="32"/>
      <c r="U1713" s="32"/>
      <c r="V1713" s="32"/>
      <c r="W1713" s="32"/>
      <c r="X1713" s="32"/>
      <c r="Y1713" s="32"/>
      <c r="Z1713" s="32"/>
      <c r="AA1713" s="32"/>
      <c r="AB1713" s="32"/>
      <c r="AC1713" s="32"/>
    </row>
    <row r="1714">
      <c r="A1714" s="32"/>
      <c r="B1714" s="16"/>
      <c r="C1714" s="16"/>
      <c r="D1714" s="16"/>
      <c r="E1714" s="16"/>
      <c r="F1714" s="16"/>
      <c r="G1714" s="16"/>
      <c r="H1714" s="16"/>
      <c r="I1714" s="16"/>
      <c r="J1714" s="16"/>
      <c r="K1714" s="16"/>
      <c r="L1714" s="16"/>
      <c r="M1714" s="16"/>
      <c r="N1714" s="16"/>
      <c r="O1714" s="84"/>
      <c r="P1714" s="54"/>
      <c r="Q1714" s="54"/>
      <c r="R1714" s="55"/>
      <c r="S1714" s="55"/>
      <c r="T1714" s="32"/>
      <c r="U1714" s="32"/>
      <c r="V1714" s="32"/>
      <c r="W1714" s="32"/>
      <c r="X1714" s="32"/>
      <c r="Y1714" s="32"/>
      <c r="Z1714" s="32"/>
      <c r="AA1714" s="32"/>
      <c r="AB1714" s="32"/>
      <c r="AC1714" s="32"/>
    </row>
    <row r="1715">
      <c r="A1715" s="32"/>
      <c r="B1715" s="16"/>
      <c r="C1715" s="16"/>
      <c r="D1715" s="16"/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  <c r="O1715" s="84"/>
      <c r="P1715" s="54"/>
      <c r="Q1715" s="54"/>
      <c r="R1715" s="55"/>
      <c r="S1715" s="55"/>
      <c r="T1715" s="32"/>
      <c r="U1715" s="32"/>
      <c r="V1715" s="32"/>
      <c r="W1715" s="32"/>
      <c r="X1715" s="32"/>
      <c r="Y1715" s="32"/>
      <c r="Z1715" s="32"/>
      <c r="AA1715" s="32"/>
      <c r="AB1715" s="32"/>
      <c r="AC1715" s="32"/>
    </row>
    <row r="1716">
      <c r="A1716" s="32"/>
      <c r="B1716" s="16"/>
      <c r="C1716" s="16"/>
      <c r="D1716" s="16"/>
      <c r="E1716" s="16"/>
      <c r="F1716" s="16"/>
      <c r="G1716" s="16"/>
      <c r="H1716" s="16"/>
      <c r="I1716" s="16"/>
      <c r="J1716" s="16"/>
      <c r="K1716" s="16"/>
      <c r="L1716" s="16"/>
      <c r="M1716" s="16"/>
      <c r="N1716" s="16"/>
      <c r="O1716" s="84"/>
      <c r="P1716" s="54"/>
      <c r="Q1716" s="54"/>
      <c r="R1716" s="55"/>
      <c r="S1716" s="55"/>
      <c r="T1716" s="32"/>
      <c r="U1716" s="32"/>
      <c r="V1716" s="32"/>
      <c r="W1716" s="32"/>
      <c r="X1716" s="32"/>
      <c r="Y1716" s="32"/>
      <c r="Z1716" s="32"/>
      <c r="AA1716" s="32"/>
      <c r="AB1716" s="32"/>
      <c r="AC1716" s="32"/>
    </row>
    <row r="1717">
      <c r="A1717" s="32"/>
      <c r="B1717" s="16"/>
      <c r="C1717" s="16"/>
      <c r="D1717" s="16"/>
      <c r="E1717" s="16"/>
      <c r="F1717" s="16"/>
      <c r="G1717" s="16"/>
      <c r="H1717" s="16"/>
      <c r="I1717" s="16"/>
      <c r="J1717" s="16"/>
      <c r="K1717" s="16"/>
      <c r="L1717" s="16"/>
      <c r="M1717" s="16"/>
      <c r="N1717" s="16"/>
      <c r="O1717" s="84"/>
      <c r="P1717" s="54"/>
      <c r="Q1717" s="54"/>
      <c r="R1717" s="55"/>
      <c r="S1717" s="55"/>
      <c r="T1717" s="32"/>
      <c r="U1717" s="32"/>
      <c r="V1717" s="32"/>
      <c r="W1717" s="32"/>
      <c r="X1717" s="32"/>
      <c r="Y1717" s="32"/>
      <c r="Z1717" s="32"/>
      <c r="AA1717" s="32"/>
      <c r="AB1717" s="32"/>
      <c r="AC1717" s="32"/>
    </row>
    <row r="1718">
      <c r="A1718" s="32"/>
      <c r="B1718" s="16"/>
      <c r="C1718" s="16"/>
      <c r="D1718" s="16"/>
      <c r="E1718" s="16"/>
      <c r="F1718" s="16"/>
      <c r="G1718" s="16"/>
      <c r="H1718" s="16"/>
      <c r="I1718" s="16"/>
      <c r="J1718" s="16"/>
      <c r="K1718" s="16"/>
      <c r="L1718" s="16"/>
      <c r="M1718" s="16"/>
      <c r="N1718" s="16"/>
      <c r="O1718" s="84"/>
      <c r="P1718" s="54"/>
      <c r="Q1718" s="54"/>
      <c r="R1718" s="55"/>
      <c r="S1718" s="55"/>
      <c r="T1718" s="32"/>
      <c r="U1718" s="32"/>
      <c r="V1718" s="32"/>
      <c r="W1718" s="32"/>
      <c r="X1718" s="32"/>
      <c r="Y1718" s="32"/>
      <c r="Z1718" s="32"/>
      <c r="AA1718" s="32"/>
      <c r="AB1718" s="32"/>
      <c r="AC1718" s="32"/>
    </row>
    <row r="1719">
      <c r="A1719" s="32"/>
      <c r="B1719" s="16"/>
      <c r="C1719" s="16"/>
      <c r="D1719" s="16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84"/>
      <c r="P1719" s="54"/>
      <c r="Q1719" s="54"/>
      <c r="R1719" s="55"/>
      <c r="S1719" s="55"/>
      <c r="T1719" s="32"/>
      <c r="U1719" s="32"/>
      <c r="V1719" s="32"/>
      <c r="W1719" s="32"/>
      <c r="X1719" s="32"/>
      <c r="Y1719" s="32"/>
      <c r="Z1719" s="32"/>
      <c r="AA1719" s="32"/>
      <c r="AB1719" s="32"/>
      <c r="AC1719" s="32"/>
    </row>
    <row r="1720">
      <c r="A1720" s="32"/>
      <c r="B1720" s="16"/>
      <c r="C1720" s="16"/>
      <c r="D1720" s="16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84"/>
      <c r="P1720" s="54"/>
      <c r="Q1720" s="54"/>
      <c r="R1720" s="55"/>
      <c r="S1720" s="55"/>
      <c r="T1720" s="32"/>
      <c r="U1720" s="32"/>
      <c r="V1720" s="32"/>
      <c r="W1720" s="32"/>
      <c r="X1720" s="32"/>
      <c r="Y1720" s="32"/>
      <c r="Z1720" s="32"/>
      <c r="AA1720" s="32"/>
      <c r="AB1720" s="32"/>
      <c r="AC1720" s="32"/>
    </row>
    <row r="1721">
      <c r="A1721" s="32"/>
      <c r="B1721" s="16"/>
      <c r="C1721" s="16"/>
      <c r="D1721" s="16"/>
      <c r="E1721" s="16"/>
      <c r="F1721" s="16"/>
      <c r="G1721" s="16"/>
      <c r="H1721" s="16"/>
      <c r="I1721" s="16"/>
      <c r="J1721" s="16"/>
      <c r="K1721" s="16"/>
      <c r="L1721" s="16"/>
      <c r="M1721" s="16"/>
      <c r="N1721" s="16"/>
      <c r="O1721" s="84"/>
      <c r="P1721" s="54"/>
      <c r="Q1721" s="54"/>
      <c r="R1721" s="55"/>
      <c r="S1721" s="55"/>
      <c r="T1721" s="32"/>
      <c r="U1721" s="32"/>
      <c r="V1721" s="32"/>
      <c r="W1721" s="32"/>
      <c r="X1721" s="32"/>
      <c r="Y1721" s="32"/>
      <c r="Z1721" s="32"/>
      <c r="AA1721" s="32"/>
      <c r="AB1721" s="32"/>
      <c r="AC1721" s="32"/>
    </row>
    <row r="1722">
      <c r="A1722" s="32"/>
      <c r="B1722" s="16"/>
      <c r="C1722" s="16"/>
      <c r="D1722" s="16"/>
      <c r="E1722" s="16"/>
      <c r="F1722" s="16"/>
      <c r="G1722" s="16"/>
      <c r="H1722" s="16"/>
      <c r="I1722" s="16"/>
      <c r="J1722" s="16"/>
      <c r="K1722" s="16"/>
      <c r="L1722" s="16"/>
      <c r="M1722" s="16"/>
      <c r="N1722" s="16"/>
      <c r="O1722" s="84"/>
      <c r="P1722" s="54"/>
      <c r="Q1722" s="54"/>
      <c r="R1722" s="55"/>
      <c r="S1722" s="55"/>
      <c r="T1722" s="32"/>
      <c r="U1722" s="32"/>
      <c r="V1722" s="32"/>
      <c r="W1722" s="32"/>
      <c r="X1722" s="32"/>
      <c r="Y1722" s="32"/>
      <c r="Z1722" s="32"/>
      <c r="AA1722" s="32"/>
      <c r="AB1722" s="32"/>
      <c r="AC1722" s="32"/>
    </row>
    <row r="1723">
      <c r="A1723" s="32"/>
      <c r="B1723" s="16"/>
      <c r="C1723" s="16"/>
      <c r="D1723" s="16"/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  <c r="O1723" s="84"/>
      <c r="P1723" s="54"/>
      <c r="Q1723" s="54"/>
      <c r="R1723" s="55"/>
      <c r="S1723" s="55"/>
      <c r="T1723" s="32"/>
      <c r="U1723" s="32"/>
      <c r="V1723" s="32"/>
      <c r="W1723" s="32"/>
      <c r="X1723" s="32"/>
      <c r="Y1723" s="32"/>
      <c r="Z1723" s="32"/>
      <c r="AA1723" s="32"/>
      <c r="AB1723" s="32"/>
      <c r="AC1723" s="32"/>
    </row>
    <row r="1724">
      <c r="A1724" s="32"/>
      <c r="B1724" s="16"/>
      <c r="C1724" s="16"/>
      <c r="D1724" s="16"/>
      <c r="E1724" s="16"/>
      <c r="F1724" s="16"/>
      <c r="G1724" s="16"/>
      <c r="H1724" s="16"/>
      <c r="I1724" s="16"/>
      <c r="J1724" s="16"/>
      <c r="K1724" s="16"/>
      <c r="L1724" s="16"/>
      <c r="M1724" s="16"/>
      <c r="N1724" s="16"/>
      <c r="O1724" s="84"/>
      <c r="P1724" s="54"/>
      <c r="Q1724" s="54"/>
      <c r="R1724" s="55"/>
      <c r="S1724" s="55"/>
      <c r="T1724" s="32"/>
      <c r="U1724" s="32"/>
      <c r="V1724" s="32"/>
      <c r="W1724" s="32"/>
      <c r="X1724" s="32"/>
      <c r="Y1724" s="32"/>
      <c r="Z1724" s="32"/>
      <c r="AA1724" s="32"/>
      <c r="AB1724" s="32"/>
      <c r="AC1724" s="32"/>
    </row>
    <row r="1725">
      <c r="A1725" s="32"/>
      <c r="B1725" s="16"/>
      <c r="C1725" s="16"/>
      <c r="D1725" s="16"/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84"/>
      <c r="P1725" s="54"/>
      <c r="Q1725" s="54"/>
      <c r="R1725" s="55"/>
      <c r="S1725" s="55"/>
      <c r="T1725" s="32"/>
      <c r="U1725" s="32"/>
      <c r="V1725" s="32"/>
      <c r="W1725" s="32"/>
      <c r="X1725" s="32"/>
      <c r="Y1725" s="32"/>
      <c r="Z1725" s="32"/>
      <c r="AA1725" s="32"/>
      <c r="AB1725" s="32"/>
      <c r="AC1725" s="32"/>
    </row>
    <row r="1726">
      <c r="A1726" s="32"/>
      <c r="B1726" s="16"/>
      <c r="C1726" s="16"/>
      <c r="D1726" s="16"/>
      <c r="E1726" s="16"/>
      <c r="F1726" s="16"/>
      <c r="G1726" s="16"/>
      <c r="H1726" s="16"/>
      <c r="I1726" s="16"/>
      <c r="J1726" s="16"/>
      <c r="K1726" s="16"/>
      <c r="L1726" s="16"/>
      <c r="M1726" s="16"/>
      <c r="N1726" s="16"/>
      <c r="O1726" s="84"/>
      <c r="P1726" s="54"/>
      <c r="Q1726" s="54"/>
      <c r="R1726" s="55"/>
      <c r="S1726" s="55"/>
      <c r="T1726" s="32"/>
      <c r="U1726" s="32"/>
      <c r="V1726" s="32"/>
      <c r="W1726" s="32"/>
      <c r="X1726" s="32"/>
      <c r="Y1726" s="32"/>
      <c r="Z1726" s="32"/>
      <c r="AA1726" s="32"/>
      <c r="AB1726" s="32"/>
      <c r="AC1726" s="32"/>
    </row>
    <row r="1727">
      <c r="A1727" s="32"/>
      <c r="B1727" s="16"/>
      <c r="C1727" s="16"/>
      <c r="D1727" s="16"/>
      <c r="E1727" s="16"/>
      <c r="F1727" s="16"/>
      <c r="G1727" s="16"/>
      <c r="H1727" s="16"/>
      <c r="I1727" s="16"/>
      <c r="J1727" s="16"/>
      <c r="K1727" s="16"/>
      <c r="L1727" s="16"/>
      <c r="M1727" s="16"/>
      <c r="N1727" s="16"/>
      <c r="O1727" s="84"/>
      <c r="P1727" s="54"/>
      <c r="Q1727" s="54"/>
      <c r="R1727" s="55"/>
      <c r="S1727" s="55"/>
      <c r="T1727" s="32"/>
      <c r="U1727" s="32"/>
      <c r="V1727" s="32"/>
      <c r="W1727" s="32"/>
      <c r="X1727" s="32"/>
      <c r="Y1727" s="32"/>
      <c r="Z1727" s="32"/>
      <c r="AA1727" s="32"/>
      <c r="AB1727" s="32"/>
      <c r="AC1727" s="32"/>
    </row>
    <row r="1728">
      <c r="A1728" s="32"/>
      <c r="B1728" s="16"/>
      <c r="C1728" s="16"/>
      <c r="D1728" s="16"/>
      <c r="E1728" s="16"/>
      <c r="F1728" s="16"/>
      <c r="G1728" s="16"/>
      <c r="H1728" s="16"/>
      <c r="I1728" s="16"/>
      <c r="J1728" s="16"/>
      <c r="K1728" s="16"/>
      <c r="L1728" s="16"/>
      <c r="M1728" s="16"/>
      <c r="N1728" s="16"/>
      <c r="O1728" s="84"/>
      <c r="P1728" s="54"/>
      <c r="Q1728" s="54"/>
      <c r="R1728" s="55"/>
      <c r="S1728" s="55"/>
      <c r="T1728" s="32"/>
      <c r="U1728" s="32"/>
      <c r="V1728" s="32"/>
      <c r="W1728" s="32"/>
      <c r="X1728" s="32"/>
      <c r="Y1728" s="32"/>
      <c r="Z1728" s="32"/>
      <c r="AA1728" s="32"/>
      <c r="AB1728" s="32"/>
      <c r="AC1728" s="32"/>
    </row>
    <row r="1729">
      <c r="A1729" s="32"/>
      <c r="B1729" s="16"/>
      <c r="C1729" s="16"/>
      <c r="D1729" s="16"/>
      <c r="E1729" s="16"/>
      <c r="F1729" s="16"/>
      <c r="G1729" s="16"/>
      <c r="H1729" s="16"/>
      <c r="I1729" s="16"/>
      <c r="J1729" s="16"/>
      <c r="K1729" s="16"/>
      <c r="L1729" s="16"/>
      <c r="M1729" s="16"/>
      <c r="N1729" s="16"/>
      <c r="O1729" s="84"/>
      <c r="P1729" s="54"/>
      <c r="Q1729" s="54"/>
      <c r="R1729" s="55"/>
      <c r="S1729" s="55"/>
      <c r="T1729" s="32"/>
      <c r="U1729" s="32"/>
      <c r="V1729" s="32"/>
      <c r="W1729" s="32"/>
      <c r="X1729" s="32"/>
      <c r="Y1729" s="32"/>
      <c r="Z1729" s="32"/>
      <c r="AA1729" s="32"/>
      <c r="AB1729" s="32"/>
      <c r="AC1729" s="32"/>
    </row>
    <row r="1730">
      <c r="A1730" s="32"/>
      <c r="B1730" s="16"/>
      <c r="C1730" s="16"/>
      <c r="D1730" s="16"/>
      <c r="E1730" s="16"/>
      <c r="F1730" s="16"/>
      <c r="G1730" s="16"/>
      <c r="H1730" s="16"/>
      <c r="I1730" s="16"/>
      <c r="J1730" s="16"/>
      <c r="K1730" s="16"/>
      <c r="L1730" s="16"/>
      <c r="M1730" s="16"/>
      <c r="N1730" s="16"/>
      <c r="O1730" s="84"/>
      <c r="P1730" s="54"/>
      <c r="Q1730" s="54"/>
      <c r="R1730" s="55"/>
      <c r="S1730" s="55"/>
      <c r="T1730" s="32"/>
      <c r="U1730" s="32"/>
      <c r="V1730" s="32"/>
      <c r="W1730" s="32"/>
      <c r="X1730" s="32"/>
      <c r="Y1730" s="32"/>
      <c r="Z1730" s="32"/>
      <c r="AA1730" s="32"/>
      <c r="AB1730" s="32"/>
      <c r="AC1730" s="32"/>
    </row>
    <row r="1731">
      <c r="A1731" s="32"/>
      <c r="B1731" s="16"/>
      <c r="C1731" s="16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84"/>
      <c r="P1731" s="54"/>
      <c r="Q1731" s="54"/>
      <c r="R1731" s="55"/>
      <c r="S1731" s="55"/>
      <c r="T1731" s="32"/>
      <c r="U1731" s="32"/>
      <c r="V1731" s="32"/>
      <c r="W1731" s="32"/>
      <c r="X1731" s="32"/>
      <c r="Y1731" s="32"/>
      <c r="Z1731" s="32"/>
      <c r="AA1731" s="32"/>
      <c r="AB1731" s="32"/>
      <c r="AC1731" s="32"/>
    </row>
    <row r="1732">
      <c r="A1732" s="32"/>
      <c r="B1732" s="16"/>
      <c r="C1732" s="16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84"/>
      <c r="P1732" s="54"/>
      <c r="Q1732" s="54"/>
      <c r="R1732" s="55"/>
      <c r="S1732" s="55"/>
      <c r="T1732" s="32"/>
      <c r="U1732" s="32"/>
      <c r="V1732" s="32"/>
      <c r="W1732" s="32"/>
      <c r="X1732" s="32"/>
      <c r="Y1732" s="32"/>
      <c r="Z1732" s="32"/>
      <c r="AA1732" s="32"/>
      <c r="AB1732" s="32"/>
      <c r="AC1732" s="32"/>
    </row>
    <row r="1733">
      <c r="A1733" s="32"/>
      <c r="B1733" s="16"/>
      <c r="C1733" s="16"/>
      <c r="D1733" s="16"/>
      <c r="E1733" s="16"/>
      <c r="F1733" s="16"/>
      <c r="G1733" s="16"/>
      <c r="H1733" s="16"/>
      <c r="I1733" s="16"/>
      <c r="J1733" s="16"/>
      <c r="K1733" s="16"/>
      <c r="L1733" s="16"/>
      <c r="M1733" s="16"/>
      <c r="N1733" s="16"/>
      <c r="O1733" s="84"/>
      <c r="P1733" s="54"/>
      <c r="Q1733" s="54"/>
      <c r="R1733" s="55"/>
      <c r="S1733" s="55"/>
      <c r="T1733" s="32"/>
      <c r="U1733" s="32"/>
      <c r="V1733" s="32"/>
      <c r="W1733" s="32"/>
      <c r="X1733" s="32"/>
      <c r="Y1733" s="32"/>
      <c r="Z1733" s="32"/>
      <c r="AA1733" s="32"/>
      <c r="AB1733" s="32"/>
      <c r="AC1733" s="32"/>
    </row>
    <row r="1734">
      <c r="A1734" s="32"/>
      <c r="B1734" s="16"/>
      <c r="C1734" s="16"/>
      <c r="D1734" s="16"/>
      <c r="E1734" s="16"/>
      <c r="F1734" s="16"/>
      <c r="G1734" s="16"/>
      <c r="H1734" s="16"/>
      <c r="I1734" s="16"/>
      <c r="J1734" s="16"/>
      <c r="K1734" s="16"/>
      <c r="L1734" s="16"/>
      <c r="M1734" s="16"/>
      <c r="N1734" s="16"/>
      <c r="O1734" s="84"/>
      <c r="P1734" s="54"/>
      <c r="Q1734" s="54"/>
      <c r="R1734" s="55"/>
      <c r="S1734" s="55"/>
      <c r="T1734" s="32"/>
      <c r="U1734" s="32"/>
      <c r="V1734" s="32"/>
      <c r="W1734" s="32"/>
      <c r="X1734" s="32"/>
      <c r="Y1734" s="32"/>
      <c r="Z1734" s="32"/>
      <c r="AA1734" s="32"/>
      <c r="AB1734" s="32"/>
      <c r="AC1734" s="32"/>
    </row>
    <row r="1735">
      <c r="A1735" s="32"/>
      <c r="B1735" s="16"/>
      <c r="C1735" s="16"/>
      <c r="D1735" s="16"/>
      <c r="E1735" s="16"/>
      <c r="F1735" s="16"/>
      <c r="G1735" s="16"/>
      <c r="H1735" s="16"/>
      <c r="I1735" s="16"/>
      <c r="J1735" s="16"/>
      <c r="K1735" s="16"/>
      <c r="L1735" s="16"/>
      <c r="M1735" s="16"/>
      <c r="N1735" s="16"/>
      <c r="O1735" s="84"/>
      <c r="P1735" s="54"/>
      <c r="Q1735" s="54"/>
      <c r="R1735" s="55"/>
      <c r="S1735" s="55"/>
      <c r="T1735" s="32"/>
      <c r="U1735" s="32"/>
      <c r="V1735" s="32"/>
      <c r="W1735" s="32"/>
      <c r="X1735" s="32"/>
      <c r="Y1735" s="32"/>
      <c r="Z1735" s="32"/>
      <c r="AA1735" s="32"/>
      <c r="AB1735" s="32"/>
      <c r="AC1735" s="32"/>
    </row>
    <row r="1736">
      <c r="A1736" s="32"/>
      <c r="B1736" s="16"/>
      <c r="C1736" s="16"/>
      <c r="D1736" s="16"/>
      <c r="E1736" s="16"/>
      <c r="F1736" s="16"/>
      <c r="G1736" s="16"/>
      <c r="H1736" s="16"/>
      <c r="I1736" s="16"/>
      <c r="J1736" s="16"/>
      <c r="K1736" s="16"/>
      <c r="L1736" s="16"/>
      <c r="M1736" s="16"/>
      <c r="N1736" s="16"/>
      <c r="O1736" s="84"/>
      <c r="P1736" s="54"/>
      <c r="Q1736" s="54"/>
      <c r="R1736" s="55"/>
      <c r="S1736" s="55"/>
      <c r="T1736" s="32"/>
      <c r="U1736" s="32"/>
      <c r="V1736" s="32"/>
      <c r="W1736" s="32"/>
      <c r="X1736" s="32"/>
      <c r="Y1736" s="32"/>
      <c r="Z1736" s="32"/>
      <c r="AA1736" s="32"/>
      <c r="AB1736" s="32"/>
      <c r="AC1736" s="32"/>
    </row>
    <row r="1737">
      <c r="A1737" s="32"/>
      <c r="B1737" s="16"/>
      <c r="C1737" s="16"/>
      <c r="D1737" s="16"/>
      <c r="E1737" s="16"/>
      <c r="F1737" s="16"/>
      <c r="G1737" s="16"/>
      <c r="H1737" s="16"/>
      <c r="I1737" s="16"/>
      <c r="J1737" s="16"/>
      <c r="K1737" s="16"/>
      <c r="L1737" s="16"/>
      <c r="M1737" s="16"/>
      <c r="N1737" s="16"/>
      <c r="O1737" s="84"/>
      <c r="P1737" s="54"/>
      <c r="Q1737" s="54"/>
      <c r="R1737" s="55"/>
      <c r="S1737" s="55"/>
      <c r="T1737" s="32"/>
      <c r="U1737" s="32"/>
      <c r="V1737" s="32"/>
      <c r="W1737" s="32"/>
      <c r="X1737" s="32"/>
      <c r="Y1737" s="32"/>
      <c r="Z1737" s="32"/>
      <c r="AA1737" s="32"/>
      <c r="AB1737" s="32"/>
      <c r="AC1737" s="32"/>
    </row>
    <row r="1738">
      <c r="A1738" s="32"/>
      <c r="B1738" s="16"/>
      <c r="C1738" s="16"/>
      <c r="D1738" s="16"/>
      <c r="E1738" s="16"/>
      <c r="F1738" s="16"/>
      <c r="G1738" s="16"/>
      <c r="H1738" s="16"/>
      <c r="I1738" s="16"/>
      <c r="J1738" s="16"/>
      <c r="K1738" s="16"/>
      <c r="L1738" s="16"/>
      <c r="M1738" s="16"/>
      <c r="N1738" s="16"/>
      <c r="O1738" s="84"/>
      <c r="P1738" s="54"/>
      <c r="Q1738" s="54"/>
      <c r="R1738" s="55"/>
      <c r="S1738" s="55"/>
      <c r="T1738" s="32"/>
      <c r="U1738" s="32"/>
      <c r="V1738" s="32"/>
      <c r="W1738" s="32"/>
      <c r="X1738" s="32"/>
      <c r="Y1738" s="32"/>
      <c r="Z1738" s="32"/>
      <c r="AA1738" s="32"/>
      <c r="AB1738" s="32"/>
      <c r="AC1738" s="32"/>
    </row>
    <row r="1739">
      <c r="A1739" s="32"/>
      <c r="B1739" s="16"/>
      <c r="C1739" s="16"/>
      <c r="D1739" s="16"/>
      <c r="E1739" s="16"/>
      <c r="F1739" s="16"/>
      <c r="G1739" s="16"/>
      <c r="H1739" s="16"/>
      <c r="I1739" s="16"/>
      <c r="J1739" s="16"/>
      <c r="K1739" s="16"/>
      <c r="L1739" s="16"/>
      <c r="M1739" s="16"/>
      <c r="N1739" s="16"/>
      <c r="O1739" s="84"/>
      <c r="P1739" s="54"/>
      <c r="Q1739" s="54"/>
      <c r="R1739" s="55"/>
      <c r="S1739" s="55"/>
      <c r="T1739" s="32"/>
      <c r="U1739" s="32"/>
      <c r="V1739" s="32"/>
      <c r="W1739" s="32"/>
      <c r="X1739" s="32"/>
      <c r="Y1739" s="32"/>
      <c r="Z1739" s="32"/>
      <c r="AA1739" s="32"/>
      <c r="AB1739" s="32"/>
      <c r="AC1739" s="32"/>
    </row>
    <row r="1740">
      <c r="A1740" s="32"/>
      <c r="B1740" s="16"/>
      <c r="C1740" s="16"/>
      <c r="D1740" s="16"/>
      <c r="E1740" s="16"/>
      <c r="F1740" s="16"/>
      <c r="G1740" s="16"/>
      <c r="H1740" s="16"/>
      <c r="I1740" s="16"/>
      <c r="J1740" s="16"/>
      <c r="K1740" s="16"/>
      <c r="L1740" s="16"/>
      <c r="M1740" s="16"/>
      <c r="N1740" s="16"/>
      <c r="O1740" s="84"/>
      <c r="P1740" s="54"/>
      <c r="Q1740" s="54"/>
      <c r="R1740" s="55"/>
      <c r="S1740" s="55"/>
      <c r="T1740" s="32"/>
      <c r="U1740" s="32"/>
      <c r="V1740" s="32"/>
      <c r="W1740" s="32"/>
      <c r="X1740" s="32"/>
      <c r="Y1740" s="32"/>
      <c r="Z1740" s="32"/>
      <c r="AA1740" s="32"/>
      <c r="AB1740" s="32"/>
      <c r="AC1740" s="32"/>
    </row>
    <row r="1741">
      <c r="A1741" s="32"/>
      <c r="B1741" s="16"/>
      <c r="C1741" s="16"/>
      <c r="D1741" s="16"/>
      <c r="E1741" s="16"/>
      <c r="F1741" s="16"/>
      <c r="G1741" s="16"/>
      <c r="H1741" s="16"/>
      <c r="I1741" s="16"/>
      <c r="J1741" s="16"/>
      <c r="K1741" s="16"/>
      <c r="L1741" s="16"/>
      <c r="M1741" s="16"/>
      <c r="N1741" s="16"/>
      <c r="O1741" s="84"/>
      <c r="P1741" s="54"/>
      <c r="Q1741" s="54"/>
      <c r="R1741" s="55"/>
      <c r="S1741" s="55"/>
      <c r="T1741" s="32"/>
      <c r="U1741" s="32"/>
      <c r="V1741" s="32"/>
      <c r="W1741" s="32"/>
      <c r="X1741" s="32"/>
      <c r="Y1741" s="32"/>
      <c r="Z1741" s="32"/>
      <c r="AA1741" s="32"/>
      <c r="AB1741" s="32"/>
      <c r="AC1741" s="32"/>
    </row>
    <row r="1742">
      <c r="A1742" s="32"/>
      <c r="B1742" s="16"/>
      <c r="C1742" s="16"/>
      <c r="D1742" s="16"/>
      <c r="E1742" s="16"/>
      <c r="F1742" s="16"/>
      <c r="G1742" s="16"/>
      <c r="H1742" s="16"/>
      <c r="I1742" s="16"/>
      <c r="J1742" s="16"/>
      <c r="K1742" s="16"/>
      <c r="L1742" s="16"/>
      <c r="M1742" s="16"/>
      <c r="N1742" s="16"/>
      <c r="O1742" s="84"/>
      <c r="P1742" s="54"/>
      <c r="Q1742" s="54"/>
      <c r="R1742" s="55"/>
      <c r="S1742" s="55"/>
      <c r="T1742" s="32"/>
      <c r="U1742" s="32"/>
      <c r="V1742" s="32"/>
      <c r="W1742" s="32"/>
      <c r="X1742" s="32"/>
      <c r="Y1742" s="32"/>
      <c r="Z1742" s="32"/>
      <c r="AA1742" s="32"/>
      <c r="AB1742" s="32"/>
      <c r="AC1742" s="32"/>
    </row>
    <row r="1743">
      <c r="A1743" s="32"/>
      <c r="B1743" s="16"/>
      <c r="C1743" s="16"/>
      <c r="D1743" s="16"/>
      <c r="E1743" s="16"/>
      <c r="F1743" s="16"/>
      <c r="G1743" s="16"/>
      <c r="H1743" s="16"/>
      <c r="I1743" s="16"/>
      <c r="J1743" s="16"/>
      <c r="K1743" s="16"/>
      <c r="L1743" s="16"/>
      <c r="M1743" s="16"/>
      <c r="N1743" s="16"/>
      <c r="O1743" s="84"/>
      <c r="P1743" s="54"/>
      <c r="Q1743" s="54"/>
      <c r="R1743" s="55"/>
      <c r="S1743" s="55"/>
      <c r="T1743" s="32"/>
      <c r="U1743" s="32"/>
      <c r="V1743" s="32"/>
      <c r="W1743" s="32"/>
      <c r="X1743" s="32"/>
      <c r="Y1743" s="32"/>
      <c r="Z1743" s="32"/>
      <c r="AA1743" s="32"/>
      <c r="AB1743" s="32"/>
      <c r="AC1743" s="32"/>
    </row>
    <row r="1744">
      <c r="A1744" s="32"/>
      <c r="B1744" s="16"/>
      <c r="C1744" s="16"/>
      <c r="D1744" s="16"/>
      <c r="E1744" s="16"/>
      <c r="F1744" s="16"/>
      <c r="G1744" s="16"/>
      <c r="H1744" s="16"/>
      <c r="I1744" s="16"/>
      <c r="J1744" s="16"/>
      <c r="K1744" s="16"/>
      <c r="L1744" s="16"/>
      <c r="M1744" s="16"/>
      <c r="N1744" s="16"/>
      <c r="O1744" s="84"/>
      <c r="P1744" s="54"/>
      <c r="Q1744" s="54"/>
      <c r="R1744" s="55"/>
      <c r="S1744" s="55"/>
      <c r="T1744" s="32"/>
      <c r="U1744" s="32"/>
      <c r="V1744" s="32"/>
      <c r="W1744" s="32"/>
      <c r="X1744" s="32"/>
      <c r="Y1744" s="32"/>
      <c r="Z1744" s="32"/>
      <c r="AA1744" s="32"/>
      <c r="AB1744" s="32"/>
      <c r="AC1744" s="32"/>
    </row>
    <row r="1745">
      <c r="A1745" s="32"/>
      <c r="B1745" s="16"/>
      <c r="C1745" s="16"/>
      <c r="D1745" s="16"/>
      <c r="E1745" s="16"/>
      <c r="F1745" s="16"/>
      <c r="G1745" s="16"/>
      <c r="H1745" s="16"/>
      <c r="I1745" s="16"/>
      <c r="J1745" s="16"/>
      <c r="K1745" s="16"/>
      <c r="L1745" s="16"/>
      <c r="M1745" s="16"/>
      <c r="N1745" s="16"/>
      <c r="O1745" s="84"/>
      <c r="P1745" s="54"/>
      <c r="Q1745" s="54"/>
      <c r="R1745" s="55"/>
      <c r="S1745" s="55"/>
      <c r="T1745" s="32"/>
      <c r="U1745" s="32"/>
      <c r="V1745" s="32"/>
      <c r="W1745" s="32"/>
      <c r="X1745" s="32"/>
      <c r="Y1745" s="32"/>
      <c r="Z1745" s="32"/>
      <c r="AA1745" s="32"/>
      <c r="AB1745" s="32"/>
      <c r="AC1745" s="32"/>
    </row>
    <row r="1746">
      <c r="A1746" s="32"/>
      <c r="B1746" s="16"/>
      <c r="C1746" s="16"/>
      <c r="D1746" s="16"/>
      <c r="E1746" s="16"/>
      <c r="F1746" s="16"/>
      <c r="G1746" s="16"/>
      <c r="H1746" s="16"/>
      <c r="I1746" s="16"/>
      <c r="J1746" s="16"/>
      <c r="K1746" s="16"/>
      <c r="L1746" s="16"/>
      <c r="M1746" s="16"/>
      <c r="N1746" s="16"/>
      <c r="O1746" s="84"/>
      <c r="P1746" s="54"/>
      <c r="Q1746" s="54"/>
      <c r="R1746" s="55"/>
      <c r="S1746" s="55"/>
      <c r="T1746" s="32"/>
      <c r="U1746" s="32"/>
      <c r="V1746" s="32"/>
      <c r="W1746" s="32"/>
      <c r="X1746" s="32"/>
      <c r="Y1746" s="32"/>
      <c r="Z1746" s="32"/>
      <c r="AA1746" s="32"/>
      <c r="AB1746" s="32"/>
      <c r="AC1746" s="32"/>
    </row>
    <row r="1747">
      <c r="A1747" s="32"/>
      <c r="B1747" s="16"/>
      <c r="C1747" s="16"/>
      <c r="D1747" s="16"/>
      <c r="E1747" s="16"/>
      <c r="F1747" s="16"/>
      <c r="G1747" s="16"/>
      <c r="H1747" s="16"/>
      <c r="I1747" s="16"/>
      <c r="J1747" s="16"/>
      <c r="K1747" s="16"/>
      <c r="L1747" s="16"/>
      <c r="M1747" s="16"/>
      <c r="N1747" s="16"/>
      <c r="O1747" s="84"/>
      <c r="P1747" s="54"/>
      <c r="Q1747" s="54"/>
      <c r="R1747" s="55"/>
      <c r="S1747" s="55"/>
      <c r="T1747" s="32"/>
      <c r="U1747" s="32"/>
      <c r="V1747" s="32"/>
      <c r="W1747" s="32"/>
      <c r="X1747" s="32"/>
      <c r="Y1747" s="32"/>
      <c r="Z1747" s="32"/>
      <c r="AA1747" s="32"/>
      <c r="AB1747" s="32"/>
      <c r="AC1747" s="32"/>
    </row>
    <row r="1748">
      <c r="A1748" s="32"/>
      <c r="B1748" s="16"/>
      <c r="C1748" s="16"/>
      <c r="D1748" s="16"/>
      <c r="E1748" s="16"/>
      <c r="F1748" s="16"/>
      <c r="G1748" s="16"/>
      <c r="H1748" s="16"/>
      <c r="I1748" s="16"/>
      <c r="J1748" s="16"/>
      <c r="K1748" s="16"/>
      <c r="L1748" s="16"/>
      <c r="M1748" s="16"/>
      <c r="N1748" s="16"/>
      <c r="O1748" s="84"/>
      <c r="P1748" s="54"/>
      <c r="Q1748" s="54"/>
      <c r="R1748" s="55"/>
      <c r="S1748" s="55"/>
      <c r="T1748" s="32"/>
      <c r="U1748" s="32"/>
      <c r="V1748" s="32"/>
      <c r="W1748" s="32"/>
      <c r="X1748" s="32"/>
      <c r="Y1748" s="32"/>
      <c r="Z1748" s="32"/>
      <c r="AA1748" s="32"/>
      <c r="AB1748" s="32"/>
      <c r="AC1748" s="32"/>
    </row>
    <row r="1749">
      <c r="A1749" s="32"/>
      <c r="B1749" s="16"/>
      <c r="C1749" s="16"/>
      <c r="D1749" s="16"/>
      <c r="E1749" s="16"/>
      <c r="F1749" s="16"/>
      <c r="G1749" s="16"/>
      <c r="H1749" s="16"/>
      <c r="I1749" s="16"/>
      <c r="J1749" s="16"/>
      <c r="K1749" s="16"/>
      <c r="L1749" s="16"/>
      <c r="M1749" s="16"/>
      <c r="N1749" s="16"/>
      <c r="O1749" s="84"/>
      <c r="P1749" s="54"/>
      <c r="Q1749" s="54"/>
      <c r="R1749" s="55"/>
      <c r="S1749" s="55"/>
      <c r="T1749" s="32"/>
      <c r="U1749" s="32"/>
      <c r="V1749" s="32"/>
      <c r="W1749" s="32"/>
      <c r="X1749" s="32"/>
      <c r="Y1749" s="32"/>
      <c r="Z1749" s="32"/>
      <c r="AA1749" s="32"/>
      <c r="AB1749" s="32"/>
      <c r="AC1749" s="32"/>
    </row>
    <row r="1750">
      <c r="A1750" s="32"/>
      <c r="B1750" s="16"/>
      <c r="C1750" s="16"/>
      <c r="D1750" s="16"/>
      <c r="E1750" s="16"/>
      <c r="F1750" s="16"/>
      <c r="G1750" s="16"/>
      <c r="H1750" s="16"/>
      <c r="I1750" s="16"/>
      <c r="J1750" s="16"/>
      <c r="K1750" s="16"/>
      <c r="L1750" s="16"/>
      <c r="M1750" s="16"/>
      <c r="N1750" s="16"/>
      <c r="O1750" s="84"/>
      <c r="P1750" s="54"/>
      <c r="Q1750" s="54"/>
      <c r="R1750" s="55"/>
      <c r="S1750" s="55"/>
      <c r="T1750" s="32"/>
      <c r="U1750" s="32"/>
      <c r="V1750" s="32"/>
      <c r="W1750" s="32"/>
      <c r="X1750" s="32"/>
      <c r="Y1750" s="32"/>
      <c r="Z1750" s="32"/>
      <c r="AA1750" s="32"/>
      <c r="AB1750" s="32"/>
      <c r="AC1750" s="32"/>
    </row>
    <row r="1751">
      <c r="A1751" s="32"/>
      <c r="B1751" s="16"/>
      <c r="C1751" s="16"/>
      <c r="D1751" s="16"/>
      <c r="E1751" s="16"/>
      <c r="F1751" s="16"/>
      <c r="G1751" s="16"/>
      <c r="H1751" s="16"/>
      <c r="I1751" s="16"/>
      <c r="J1751" s="16"/>
      <c r="K1751" s="16"/>
      <c r="L1751" s="16"/>
      <c r="M1751" s="16"/>
      <c r="N1751" s="16"/>
      <c r="O1751" s="84"/>
      <c r="P1751" s="54"/>
      <c r="Q1751" s="54"/>
      <c r="R1751" s="55"/>
      <c r="S1751" s="55"/>
      <c r="T1751" s="32"/>
      <c r="U1751" s="32"/>
      <c r="V1751" s="32"/>
      <c r="W1751" s="32"/>
      <c r="X1751" s="32"/>
      <c r="Y1751" s="32"/>
      <c r="Z1751" s="32"/>
      <c r="AA1751" s="32"/>
      <c r="AB1751" s="32"/>
      <c r="AC1751" s="32"/>
    </row>
    <row r="1752">
      <c r="A1752" s="32"/>
      <c r="B1752" s="16"/>
      <c r="C1752" s="16"/>
      <c r="D1752" s="16"/>
      <c r="E1752" s="16"/>
      <c r="F1752" s="16"/>
      <c r="G1752" s="16"/>
      <c r="H1752" s="16"/>
      <c r="I1752" s="16"/>
      <c r="J1752" s="16"/>
      <c r="K1752" s="16"/>
      <c r="L1752" s="16"/>
      <c r="M1752" s="16"/>
      <c r="N1752" s="16"/>
      <c r="O1752" s="84"/>
      <c r="P1752" s="54"/>
      <c r="Q1752" s="54"/>
      <c r="R1752" s="55"/>
      <c r="S1752" s="55"/>
      <c r="T1752" s="32"/>
      <c r="U1752" s="32"/>
      <c r="V1752" s="32"/>
      <c r="W1752" s="32"/>
      <c r="X1752" s="32"/>
      <c r="Y1752" s="32"/>
      <c r="Z1752" s="32"/>
      <c r="AA1752" s="32"/>
      <c r="AB1752" s="32"/>
      <c r="AC1752" s="32"/>
    </row>
    <row r="1753">
      <c r="A1753" s="32"/>
      <c r="B1753" s="16"/>
      <c r="C1753" s="16"/>
      <c r="D1753" s="16"/>
      <c r="E1753" s="16"/>
      <c r="F1753" s="16"/>
      <c r="G1753" s="16"/>
      <c r="H1753" s="16"/>
      <c r="I1753" s="16"/>
      <c r="J1753" s="16"/>
      <c r="K1753" s="16"/>
      <c r="L1753" s="16"/>
      <c r="M1753" s="16"/>
      <c r="N1753" s="16"/>
      <c r="O1753" s="84"/>
      <c r="P1753" s="54"/>
      <c r="Q1753" s="54"/>
      <c r="R1753" s="55"/>
      <c r="S1753" s="55"/>
      <c r="T1753" s="32"/>
      <c r="U1753" s="32"/>
      <c r="V1753" s="32"/>
      <c r="W1753" s="32"/>
      <c r="X1753" s="32"/>
      <c r="Y1753" s="32"/>
      <c r="Z1753" s="32"/>
      <c r="AA1753" s="32"/>
      <c r="AB1753" s="32"/>
      <c r="AC1753" s="32"/>
    </row>
    <row r="1754">
      <c r="A1754" s="32"/>
      <c r="B1754" s="16"/>
      <c r="C1754" s="16"/>
      <c r="D1754" s="16"/>
      <c r="E1754" s="16"/>
      <c r="F1754" s="16"/>
      <c r="G1754" s="16"/>
      <c r="H1754" s="16"/>
      <c r="I1754" s="16"/>
      <c r="J1754" s="16"/>
      <c r="K1754" s="16"/>
      <c r="L1754" s="16"/>
      <c r="M1754" s="16"/>
      <c r="N1754" s="16"/>
      <c r="O1754" s="84"/>
      <c r="P1754" s="54"/>
      <c r="Q1754" s="54"/>
      <c r="R1754" s="55"/>
      <c r="S1754" s="55"/>
      <c r="T1754" s="32"/>
      <c r="U1754" s="32"/>
      <c r="V1754" s="32"/>
      <c r="W1754" s="32"/>
      <c r="X1754" s="32"/>
      <c r="Y1754" s="32"/>
      <c r="Z1754" s="32"/>
      <c r="AA1754" s="32"/>
      <c r="AB1754" s="32"/>
      <c r="AC1754" s="32"/>
    </row>
    <row r="1755">
      <c r="A1755" s="32"/>
      <c r="B1755" s="16"/>
      <c r="C1755" s="16"/>
      <c r="D1755" s="16"/>
      <c r="E1755" s="16"/>
      <c r="F1755" s="16"/>
      <c r="G1755" s="16"/>
      <c r="H1755" s="16"/>
      <c r="I1755" s="16"/>
      <c r="J1755" s="16"/>
      <c r="K1755" s="16"/>
      <c r="L1755" s="16"/>
      <c r="M1755" s="16"/>
      <c r="N1755" s="16"/>
      <c r="O1755" s="84"/>
      <c r="P1755" s="54"/>
      <c r="Q1755" s="54"/>
      <c r="R1755" s="55"/>
      <c r="S1755" s="55"/>
      <c r="T1755" s="32"/>
      <c r="U1755" s="32"/>
      <c r="V1755" s="32"/>
      <c r="W1755" s="32"/>
      <c r="X1755" s="32"/>
      <c r="Y1755" s="32"/>
      <c r="Z1755" s="32"/>
      <c r="AA1755" s="32"/>
      <c r="AB1755" s="32"/>
      <c r="AC1755" s="32"/>
    </row>
    <row r="1756">
      <c r="A1756" s="32"/>
      <c r="B1756" s="16"/>
      <c r="C1756" s="16"/>
      <c r="D1756" s="16"/>
      <c r="E1756" s="16"/>
      <c r="F1756" s="16"/>
      <c r="G1756" s="16"/>
      <c r="H1756" s="16"/>
      <c r="I1756" s="16"/>
      <c r="J1756" s="16"/>
      <c r="K1756" s="16"/>
      <c r="L1756" s="16"/>
      <c r="M1756" s="16"/>
      <c r="N1756" s="16"/>
      <c r="O1756" s="84"/>
      <c r="P1756" s="54"/>
      <c r="Q1756" s="54"/>
      <c r="R1756" s="55"/>
      <c r="S1756" s="55"/>
      <c r="T1756" s="32"/>
      <c r="U1756" s="32"/>
      <c r="V1756" s="32"/>
      <c r="W1756" s="32"/>
      <c r="X1756" s="32"/>
      <c r="Y1756" s="32"/>
      <c r="Z1756" s="32"/>
      <c r="AA1756" s="32"/>
      <c r="AB1756" s="32"/>
      <c r="AC1756" s="32"/>
    </row>
    <row r="1757">
      <c r="A1757" s="32"/>
      <c r="B1757" s="16"/>
      <c r="C1757" s="16"/>
      <c r="D1757" s="16"/>
      <c r="E1757" s="16"/>
      <c r="F1757" s="16"/>
      <c r="G1757" s="16"/>
      <c r="H1757" s="16"/>
      <c r="I1757" s="16"/>
      <c r="J1757" s="16"/>
      <c r="K1757" s="16"/>
      <c r="L1757" s="16"/>
      <c r="M1757" s="16"/>
      <c r="N1757" s="16"/>
      <c r="O1757" s="84"/>
      <c r="P1757" s="54"/>
      <c r="Q1757" s="54"/>
      <c r="R1757" s="55"/>
      <c r="S1757" s="55"/>
      <c r="T1757" s="32"/>
      <c r="U1757" s="32"/>
      <c r="V1757" s="32"/>
      <c r="W1757" s="32"/>
      <c r="X1757" s="32"/>
      <c r="Y1757" s="32"/>
      <c r="Z1757" s="32"/>
      <c r="AA1757" s="32"/>
      <c r="AB1757" s="32"/>
      <c r="AC1757" s="32"/>
    </row>
    <row r="1758">
      <c r="A1758" s="32"/>
      <c r="B1758" s="16"/>
      <c r="C1758" s="16"/>
      <c r="D1758" s="16"/>
      <c r="E1758" s="16"/>
      <c r="F1758" s="16"/>
      <c r="G1758" s="16"/>
      <c r="H1758" s="16"/>
      <c r="I1758" s="16"/>
      <c r="J1758" s="16"/>
      <c r="K1758" s="16"/>
      <c r="L1758" s="16"/>
      <c r="M1758" s="16"/>
      <c r="N1758" s="16"/>
      <c r="O1758" s="84"/>
      <c r="P1758" s="54"/>
      <c r="Q1758" s="54"/>
      <c r="R1758" s="55"/>
      <c r="S1758" s="55"/>
      <c r="T1758" s="32"/>
      <c r="U1758" s="32"/>
      <c r="V1758" s="32"/>
      <c r="W1758" s="32"/>
      <c r="X1758" s="32"/>
      <c r="Y1758" s="32"/>
      <c r="Z1758" s="32"/>
      <c r="AA1758" s="32"/>
      <c r="AB1758" s="32"/>
      <c r="AC1758" s="32"/>
    </row>
    <row r="1759">
      <c r="A1759" s="32"/>
      <c r="B1759" s="16"/>
      <c r="C1759" s="16"/>
      <c r="D1759" s="16"/>
      <c r="E1759" s="16"/>
      <c r="F1759" s="16"/>
      <c r="G1759" s="16"/>
      <c r="H1759" s="16"/>
      <c r="I1759" s="16"/>
      <c r="J1759" s="16"/>
      <c r="K1759" s="16"/>
      <c r="L1759" s="16"/>
      <c r="M1759" s="16"/>
      <c r="N1759" s="16"/>
      <c r="O1759" s="84"/>
      <c r="P1759" s="54"/>
      <c r="Q1759" s="54"/>
      <c r="R1759" s="55"/>
      <c r="S1759" s="55"/>
      <c r="T1759" s="32"/>
      <c r="U1759" s="32"/>
      <c r="V1759" s="32"/>
      <c r="W1759" s="32"/>
      <c r="X1759" s="32"/>
      <c r="Y1759" s="32"/>
      <c r="Z1759" s="32"/>
      <c r="AA1759" s="32"/>
      <c r="AB1759" s="32"/>
      <c r="AC1759" s="32"/>
    </row>
    <row r="1760">
      <c r="A1760" s="32"/>
      <c r="B1760" s="16"/>
      <c r="C1760" s="16"/>
      <c r="D1760" s="16"/>
      <c r="E1760" s="16"/>
      <c r="F1760" s="16"/>
      <c r="G1760" s="16"/>
      <c r="H1760" s="16"/>
      <c r="I1760" s="16"/>
      <c r="J1760" s="16"/>
      <c r="K1760" s="16"/>
      <c r="L1760" s="16"/>
      <c r="M1760" s="16"/>
      <c r="N1760" s="16"/>
      <c r="O1760" s="84"/>
      <c r="P1760" s="54"/>
      <c r="Q1760" s="54"/>
      <c r="R1760" s="55"/>
      <c r="S1760" s="55"/>
      <c r="T1760" s="32"/>
      <c r="U1760" s="32"/>
      <c r="V1760" s="32"/>
      <c r="W1760" s="32"/>
      <c r="X1760" s="32"/>
      <c r="Y1760" s="32"/>
      <c r="Z1760" s="32"/>
      <c r="AA1760" s="32"/>
      <c r="AB1760" s="32"/>
      <c r="AC1760" s="32"/>
    </row>
    <row r="1761">
      <c r="A1761" s="32"/>
      <c r="B1761" s="16"/>
      <c r="C1761" s="16"/>
      <c r="D1761" s="16"/>
      <c r="E1761" s="16"/>
      <c r="F1761" s="16"/>
      <c r="G1761" s="16"/>
      <c r="H1761" s="16"/>
      <c r="I1761" s="16"/>
      <c r="J1761" s="16"/>
      <c r="K1761" s="16"/>
      <c r="L1761" s="16"/>
      <c r="M1761" s="16"/>
      <c r="N1761" s="16"/>
      <c r="O1761" s="84"/>
      <c r="P1761" s="54"/>
      <c r="Q1761" s="54"/>
      <c r="R1761" s="55"/>
      <c r="S1761" s="55"/>
      <c r="T1761" s="32"/>
      <c r="U1761" s="32"/>
      <c r="V1761" s="32"/>
      <c r="W1761" s="32"/>
      <c r="X1761" s="32"/>
      <c r="Y1761" s="32"/>
      <c r="Z1761" s="32"/>
      <c r="AA1761" s="32"/>
      <c r="AB1761" s="32"/>
      <c r="AC1761" s="32"/>
    </row>
    <row r="1762">
      <c r="A1762" s="32"/>
      <c r="B1762" s="16"/>
      <c r="C1762" s="16"/>
      <c r="D1762" s="16"/>
      <c r="E1762" s="16"/>
      <c r="F1762" s="16"/>
      <c r="G1762" s="16"/>
      <c r="H1762" s="16"/>
      <c r="I1762" s="16"/>
      <c r="J1762" s="16"/>
      <c r="K1762" s="16"/>
      <c r="L1762" s="16"/>
      <c r="M1762" s="16"/>
      <c r="N1762" s="16"/>
      <c r="O1762" s="84"/>
      <c r="P1762" s="54"/>
      <c r="Q1762" s="54"/>
      <c r="R1762" s="55"/>
      <c r="S1762" s="55"/>
      <c r="T1762" s="32"/>
      <c r="U1762" s="32"/>
      <c r="V1762" s="32"/>
      <c r="W1762" s="32"/>
      <c r="X1762" s="32"/>
      <c r="Y1762" s="32"/>
      <c r="Z1762" s="32"/>
      <c r="AA1762" s="32"/>
      <c r="AB1762" s="32"/>
      <c r="AC1762" s="32"/>
    </row>
    <row r="1763">
      <c r="A1763" s="32"/>
      <c r="B1763" s="16"/>
      <c r="C1763" s="16"/>
      <c r="D1763" s="16"/>
      <c r="E1763" s="16"/>
      <c r="F1763" s="16"/>
      <c r="G1763" s="16"/>
      <c r="H1763" s="16"/>
      <c r="I1763" s="16"/>
      <c r="J1763" s="16"/>
      <c r="K1763" s="16"/>
      <c r="L1763" s="16"/>
      <c r="M1763" s="16"/>
      <c r="N1763" s="16"/>
      <c r="O1763" s="84"/>
      <c r="P1763" s="54"/>
      <c r="Q1763" s="54"/>
      <c r="R1763" s="55"/>
      <c r="S1763" s="55"/>
      <c r="T1763" s="32"/>
      <c r="U1763" s="32"/>
      <c r="V1763" s="32"/>
      <c r="W1763" s="32"/>
      <c r="X1763" s="32"/>
      <c r="Y1763" s="32"/>
      <c r="Z1763" s="32"/>
      <c r="AA1763" s="32"/>
      <c r="AB1763" s="32"/>
      <c r="AC1763" s="32"/>
    </row>
    <row r="1764">
      <c r="A1764" s="32"/>
      <c r="B1764" s="16"/>
      <c r="C1764" s="16"/>
      <c r="D1764" s="16"/>
      <c r="E1764" s="16"/>
      <c r="F1764" s="16"/>
      <c r="G1764" s="16"/>
      <c r="H1764" s="16"/>
      <c r="I1764" s="16"/>
      <c r="J1764" s="16"/>
      <c r="K1764" s="16"/>
      <c r="L1764" s="16"/>
      <c r="M1764" s="16"/>
      <c r="N1764" s="16"/>
      <c r="O1764" s="84"/>
      <c r="P1764" s="54"/>
      <c r="Q1764" s="54"/>
      <c r="R1764" s="55"/>
      <c r="S1764" s="55"/>
      <c r="T1764" s="32"/>
      <c r="U1764" s="32"/>
      <c r="V1764" s="32"/>
      <c r="W1764" s="32"/>
      <c r="X1764" s="32"/>
      <c r="Y1764" s="32"/>
      <c r="Z1764" s="32"/>
      <c r="AA1764" s="32"/>
      <c r="AB1764" s="32"/>
      <c r="AC1764" s="32"/>
    </row>
    <row r="1765">
      <c r="A1765" s="32"/>
      <c r="B1765" s="16"/>
      <c r="C1765" s="16"/>
      <c r="D1765" s="16"/>
      <c r="E1765" s="16"/>
      <c r="F1765" s="16"/>
      <c r="G1765" s="16"/>
      <c r="H1765" s="16"/>
      <c r="I1765" s="16"/>
      <c r="J1765" s="16"/>
      <c r="K1765" s="16"/>
      <c r="L1765" s="16"/>
      <c r="M1765" s="16"/>
      <c r="N1765" s="16"/>
      <c r="O1765" s="84"/>
      <c r="P1765" s="54"/>
      <c r="Q1765" s="54"/>
      <c r="R1765" s="55"/>
      <c r="S1765" s="55"/>
      <c r="T1765" s="32"/>
      <c r="U1765" s="32"/>
      <c r="V1765" s="32"/>
      <c r="W1765" s="32"/>
      <c r="X1765" s="32"/>
      <c r="Y1765" s="32"/>
      <c r="Z1765" s="32"/>
      <c r="AA1765" s="32"/>
      <c r="AB1765" s="32"/>
      <c r="AC1765" s="32"/>
    </row>
    <row r="1766">
      <c r="A1766" s="32"/>
      <c r="B1766" s="16"/>
      <c r="C1766" s="16"/>
      <c r="D1766" s="16"/>
      <c r="E1766" s="16"/>
      <c r="F1766" s="16"/>
      <c r="G1766" s="16"/>
      <c r="H1766" s="16"/>
      <c r="I1766" s="16"/>
      <c r="J1766" s="16"/>
      <c r="K1766" s="16"/>
      <c r="L1766" s="16"/>
      <c r="M1766" s="16"/>
      <c r="N1766" s="16"/>
      <c r="O1766" s="84"/>
      <c r="P1766" s="54"/>
      <c r="Q1766" s="54"/>
      <c r="R1766" s="55"/>
      <c r="S1766" s="55"/>
      <c r="T1766" s="32"/>
      <c r="U1766" s="32"/>
      <c r="V1766" s="32"/>
      <c r="W1766" s="32"/>
      <c r="X1766" s="32"/>
      <c r="Y1766" s="32"/>
      <c r="Z1766" s="32"/>
      <c r="AA1766" s="32"/>
      <c r="AB1766" s="32"/>
      <c r="AC1766" s="32"/>
    </row>
    <row r="1767">
      <c r="A1767" s="32"/>
      <c r="B1767" s="16"/>
      <c r="C1767" s="16"/>
      <c r="D1767" s="16"/>
      <c r="E1767" s="16"/>
      <c r="F1767" s="16"/>
      <c r="G1767" s="16"/>
      <c r="H1767" s="16"/>
      <c r="I1767" s="16"/>
      <c r="J1767" s="16"/>
      <c r="K1767" s="16"/>
      <c r="L1767" s="16"/>
      <c r="M1767" s="16"/>
      <c r="N1767" s="16"/>
      <c r="O1767" s="84"/>
      <c r="P1767" s="54"/>
      <c r="Q1767" s="54"/>
      <c r="R1767" s="55"/>
      <c r="S1767" s="55"/>
      <c r="T1767" s="32"/>
      <c r="U1767" s="32"/>
      <c r="V1767" s="32"/>
      <c r="W1767" s="32"/>
      <c r="X1767" s="32"/>
      <c r="Y1767" s="32"/>
      <c r="Z1767" s="32"/>
      <c r="AA1767" s="32"/>
      <c r="AB1767" s="32"/>
      <c r="AC1767" s="32"/>
    </row>
    <row r="1768">
      <c r="A1768" s="32"/>
      <c r="B1768" s="16"/>
      <c r="C1768" s="16"/>
      <c r="D1768" s="16"/>
      <c r="E1768" s="16"/>
      <c r="F1768" s="16"/>
      <c r="G1768" s="16"/>
      <c r="H1768" s="16"/>
      <c r="I1768" s="16"/>
      <c r="J1768" s="16"/>
      <c r="K1768" s="16"/>
      <c r="L1768" s="16"/>
      <c r="M1768" s="16"/>
      <c r="N1768" s="16"/>
      <c r="O1768" s="84"/>
      <c r="P1768" s="54"/>
      <c r="Q1768" s="54"/>
      <c r="R1768" s="55"/>
      <c r="S1768" s="55"/>
      <c r="T1768" s="32"/>
      <c r="U1768" s="32"/>
      <c r="V1768" s="32"/>
      <c r="W1768" s="32"/>
      <c r="X1768" s="32"/>
      <c r="Y1768" s="32"/>
      <c r="Z1768" s="32"/>
      <c r="AA1768" s="32"/>
      <c r="AB1768" s="32"/>
      <c r="AC1768" s="32"/>
    </row>
    <row r="1769">
      <c r="A1769" s="32"/>
      <c r="B1769" s="16"/>
      <c r="C1769" s="16"/>
      <c r="D1769" s="16"/>
      <c r="E1769" s="16"/>
      <c r="F1769" s="16"/>
      <c r="G1769" s="16"/>
      <c r="H1769" s="16"/>
      <c r="I1769" s="16"/>
      <c r="J1769" s="16"/>
      <c r="K1769" s="16"/>
      <c r="L1769" s="16"/>
      <c r="M1769" s="16"/>
      <c r="N1769" s="16"/>
      <c r="O1769" s="84"/>
      <c r="P1769" s="54"/>
      <c r="Q1769" s="54"/>
      <c r="R1769" s="55"/>
      <c r="S1769" s="55"/>
      <c r="T1769" s="32"/>
      <c r="U1769" s="32"/>
      <c r="V1769" s="32"/>
      <c r="W1769" s="32"/>
      <c r="X1769" s="32"/>
      <c r="Y1769" s="32"/>
      <c r="Z1769" s="32"/>
      <c r="AA1769" s="32"/>
      <c r="AB1769" s="32"/>
      <c r="AC1769" s="32"/>
    </row>
    <row r="1770">
      <c r="A1770" s="32"/>
      <c r="B1770" s="16"/>
      <c r="C1770" s="16"/>
      <c r="D1770" s="16"/>
      <c r="E1770" s="16"/>
      <c r="F1770" s="16"/>
      <c r="G1770" s="16"/>
      <c r="H1770" s="16"/>
      <c r="I1770" s="16"/>
      <c r="J1770" s="16"/>
      <c r="K1770" s="16"/>
      <c r="L1770" s="16"/>
      <c r="M1770" s="16"/>
      <c r="N1770" s="16"/>
      <c r="O1770" s="84"/>
      <c r="P1770" s="54"/>
      <c r="Q1770" s="54"/>
      <c r="R1770" s="55"/>
      <c r="S1770" s="55"/>
      <c r="T1770" s="32"/>
      <c r="U1770" s="32"/>
      <c r="V1770" s="32"/>
      <c r="W1770" s="32"/>
      <c r="X1770" s="32"/>
      <c r="Y1770" s="32"/>
      <c r="Z1770" s="32"/>
      <c r="AA1770" s="32"/>
      <c r="AB1770" s="32"/>
      <c r="AC1770" s="32"/>
    </row>
    <row r="1771">
      <c r="A1771" s="32"/>
      <c r="B1771" s="16"/>
      <c r="C1771" s="16"/>
      <c r="D1771" s="16"/>
      <c r="E1771" s="16"/>
      <c r="F1771" s="16"/>
      <c r="G1771" s="16"/>
      <c r="H1771" s="16"/>
      <c r="I1771" s="16"/>
      <c r="J1771" s="16"/>
      <c r="K1771" s="16"/>
      <c r="L1771" s="16"/>
      <c r="M1771" s="16"/>
      <c r="N1771" s="16"/>
      <c r="O1771" s="84"/>
      <c r="P1771" s="54"/>
      <c r="Q1771" s="54"/>
      <c r="R1771" s="55"/>
      <c r="S1771" s="55"/>
      <c r="T1771" s="32"/>
      <c r="U1771" s="32"/>
      <c r="V1771" s="32"/>
      <c r="W1771" s="32"/>
      <c r="X1771" s="32"/>
      <c r="Y1771" s="32"/>
      <c r="Z1771" s="32"/>
      <c r="AA1771" s="32"/>
      <c r="AB1771" s="32"/>
      <c r="AC1771" s="32"/>
    </row>
    <row r="1772">
      <c r="A1772" s="32"/>
      <c r="B1772" s="16"/>
      <c r="C1772" s="16"/>
      <c r="D1772" s="16"/>
      <c r="E1772" s="16"/>
      <c r="F1772" s="16"/>
      <c r="G1772" s="16"/>
      <c r="H1772" s="16"/>
      <c r="I1772" s="16"/>
      <c r="J1772" s="16"/>
      <c r="K1772" s="16"/>
      <c r="L1772" s="16"/>
      <c r="M1772" s="16"/>
      <c r="N1772" s="16"/>
      <c r="O1772" s="84"/>
      <c r="P1772" s="54"/>
      <c r="Q1772" s="54"/>
      <c r="R1772" s="55"/>
      <c r="S1772" s="55"/>
      <c r="T1772" s="32"/>
      <c r="U1772" s="32"/>
      <c r="V1772" s="32"/>
      <c r="W1772" s="32"/>
      <c r="X1772" s="32"/>
      <c r="Y1772" s="32"/>
      <c r="Z1772" s="32"/>
      <c r="AA1772" s="32"/>
      <c r="AB1772" s="32"/>
      <c r="AC1772" s="32"/>
    </row>
    <row r="1773">
      <c r="A1773" s="32"/>
      <c r="B1773" s="16"/>
      <c r="C1773" s="16"/>
      <c r="D1773" s="16"/>
      <c r="E1773" s="16"/>
      <c r="F1773" s="16"/>
      <c r="G1773" s="16"/>
      <c r="H1773" s="16"/>
      <c r="I1773" s="16"/>
      <c r="J1773" s="16"/>
      <c r="K1773" s="16"/>
      <c r="L1773" s="16"/>
      <c r="M1773" s="16"/>
      <c r="N1773" s="16"/>
      <c r="O1773" s="84"/>
      <c r="P1773" s="54"/>
      <c r="Q1773" s="54"/>
      <c r="R1773" s="55"/>
      <c r="S1773" s="55"/>
      <c r="T1773" s="32"/>
      <c r="U1773" s="32"/>
      <c r="V1773" s="32"/>
      <c r="W1773" s="32"/>
      <c r="X1773" s="32"/>
      <c r="Y1773" s="32"/>
      <c r="Z1773" s="32"/>
      <c r="AA1773" s="32"/>
      <c r="AB1773" s="32"/>
      <c r="AC1773" s="32"/>
    </row>
    <row r="1774">
      <c r="A1774" s="32"/>
      <c r="B1774" s="16"/>
      <c r="C1774" s="16"/>
      <c r="D1774" s="16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84"/>
      <c r="P1774" s="54"/>
      <c r="Q1774" s="54"/>
      <c r="R1774" s="55"/>
      <c r="S1774" s="55"/>
      <c r="T1774" s="32"/>
      <c r="U1774" s="32"/>
      <c r="V1774" s="32"/>
      <c r="W1774" s="32"/>
      <c r="X1774" s="32"/>
      <c r="Y1774" s="32"/>
      <c r="Z1774" s="32"/>
      <c r="AA1774" s="32"/>
      <c r="AB1774" s="32"/>
      <c r="AC1774" s="32"/>
    </row>
    <row r="1775">
      <c r="A1775" s="32"/>
      <c r="B1775" s="16"/>
      <c r="C1775" s="16"/>
      <c r="D1775" s="16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84"/>
      <c r="P1775" s="54"/>
      <c r="Q1775" s="54"/>
      <c r="R1775" s="55"/>
      <c r="S1775" s="55"/>
      <c r="T1775" s="32"/>
      <c r="U1775" s="32"/>
      <c r="V1775" s="32"/>
      <c r="W1775" s="32"/>
      <c r="X1775" s="32"/>
      <c r="Y1775" s="32"/>
      <c r="Z1775" s="32"/>
      <c r="AA1775" s="32"/>
      <c r="AB1775" s="32"/>
      <c r="AC1775" s="32"/>
    </row>
    <row r="1776">
      <c r="A1776" s="32"/>
      <c r="B1776" s="16"/>
      <c r="C1776" s="16"/>
      <c r="D1776" s="16"/>
      <c r="E1776" s="16"/>
      <c r="F1776" s="16"/>
      <c r="G1776" s="16"/>
      <c r="H1776" s="16"/>
      <c r="I1776" s="16"/>
      <c r="J1776" s="16"/>
      <c r="K1776" s="16"/>
      <c r="L1776" s="16"/>
      <c r="M1776" s="16"/>
      <c r="N1776" s="16"/>
      <c r="O1776" s="84"/>
      <c r="P1776" s="54"/>
      <c r="Q1776" s="54"/>
      <c r="R1776" s="55"/>
      <c r="S1776" s="55"/>
      <c r="T1776" s="32"/>
      <c r="U1776" s="32"/>
      <c r="V1776" s="32"/>
      <c r="W1776" s="32"/>
      <c r="X1776" s="32"/>
      <c r="Y1776" s="32"/>
      <c r="Z1776" s="32"/>
      <c r="AA1776" s="32"/>
      <c r="AB1776" s="32"/>
      <c r="AC1776" s="32"/>
    </row>
    <row r="1777">
      <c r="A1777" s="32"/>
      <c r="B1777" s="16"/>
      <c r="C1777" s="16"/>
      <c r="D1777" s="16"/>
      <c r="E1777" s="16"/>
      <c r="F1777" s="16"/>
      <c r="G1777" s="16"/>
      <c r="H1777" s="16"/>
      <c r="I1777" s="16"/>
      <c r="J1777" s="16"/>
      <c r="K1777" s="16"/>
      <c r="L1777" s="16"/>
      <c r="M1777" s="16"/>
      <c r="N1777" s="16"/>
      <c r="O1777" s="84"/>
      <c r="P1777" s="54"/>
      <c r="Q1777" s="54"/>
      <c r="R1777" s="55"/>
      <c r="S1777" s="55"/>
      <c r="T1777" s="32"/>
      <c r="U1777" s="32"/>
      <c r="V1777" s="32"/>
      <c r="W1777" s="32"/>
      <c r="X1777" s="32"/>
      <c r="Y1777" s="32"/>
      <c r="Z1777" s="32"/>
      <c r="AA1777" s="32"/>
      <c r="AB1777" s="32"/>
      <c r="AC1777" s="32"/>
    </row>
    <row r="1778">
      <c r="A1778" s="32"/>
      <c r="B1778" s="16"/>
      <c r="C1778" s="16"/>
      <c r="D1778" s="16"/>
      <c r="E1778" s="16"/>
      <c r="F1778" s="16"/>
      <c r="G1778" s="16"/>
      <c r="H1778" s="16"/>
      <c r="I1778" s="16"/>
      <c r="J1778" s="16"/>
      <c r="K1778" s="16"/>
      <c r="L1778" s="16"/>
      <c r="M1778" s="16"/>
      <c r="N1778" s="16"/>
      <c r="O1778" s="84"/>
      <c r="P1778" s="54"/>
      <c r="Q1778" s="54"/>
      <c r="R1778" s="55"/>
      <c r="S1778" s="55"/>
      <c r="T1778" s="32"/>
      <c r="U1778" s="32"/>
      <c r="V1778" s="32"/>
      <c r="W1778" s="32"/>
      <c r="X1778" s="32"/>
      <c r="Y1778" s="32"/>
      <c r="Z1778" s="32"/>
      <c r="AA1778" s="32"/>
      <c r="AB1778" s="32"/>
      <c r="AC1778" s="32"/>
    </row>
    <row r="1779">
      <c r="A1779" s="32"/>
      <c r="B1779" s="16"/>
      <c r="C1779" s="16"/>
      <c r="D1779" s="16"/>
      <c r="E1779" s="16"/>
      <c r="F1779" s="16"/>
      <c r="G1779" s="16"/>
      <c r="H1779" s="16"/>
      <c r="I1779" s="16"/>
      <c r="J1779" s="16"/>
      <c r="K1779" s="16"/>
      <c r="L1779" s="16"/>
      <c r="M1779" s="16"/>
      <c r="N1779" s="16"/>
      <c r="O1779" s="84"/>
      <c r="P1779" s="54"/>
      <c r="Q1779" s="54"/>
      <c r="R1779" s="55"/>
      <c r="S1779" s="55"/>
      <c r="T1779" s="32"/>
      <c r="U1779" s="32"/>
      <c r="V1779" s="32"/>
      <c r="W1779" s="32"/>
      <c r="X1779" s="32"/>
      <c r="Y1779" s="32"/>
      <c r="Z1779" s="32"/>
      <c r="AA1779" s="32"/>
      <c r="AB1779" s="32"/>
      <c r="AC1779" s="32"/>
    </row>
    <row r="1780">
      <c r="A1780" s="32"/>
      <c r="B1780" s="16"/>
      <c r="C1780" s="16"/>
      <c r="D1780" s="16"/>
      <c r="E1780" s="16"/>
      <c r="F1780" s="16"/>
      <c r="G1780" s="16"/>
      <c r="H1780" s="16"/>
      <c r="I1780" s="16"/>
      <c r="J1780" s="16"/>
      <c r="K1780" s="16"/>
      <c r="L1780" s="16"/>
      <c r="M1780" s="16"/>
      <c r="N1780" s="16"/>
      <c r="O1780" s="84"/>
      <c r="P1780" s="54"/>
      <c r="Q1780" s="54"/>
      <c r="R1780" s="55"/>
      <c r="S1780" s="55"/>
      <c r="T1780" s="32"/>
      <c r="U1780" s="32"/>
      <c r="V1780" s="32"/>
      <c r="W1780" s="32"/>
      <c r="X1780" s="32"/>
      <c r="Y1780" s="32"/>
      <c r="Z1780" s="32"/>
      <c r="AA1780" s="32"/>
      <c r="AB1780" s="32"/>
      <c r="AC1780" s="32"/>
    </row>
    <row r="1781">
      <c r="A1781" s="32"/>
      <c r="B1781" s="16"/>
      <c r="C1781" s="16"/>
      <c r="D1781" s="16"/>
      <c r="E1781" s="16"/>
      <c r="F1781" s="16"/>
      <c r="G1781" s="16"/>
      <c r="H1781" s="16"/>
      <c r="I1781" s="16"/>
      <c r="J1781" s="16"/>
      <c r="K1781" s="16"/>
      <c r="L1781" s="16"/>
      <c r="M1781" s="16"/>
      <c r="N1781" s="16"/>
      <c r="O1781" s="84"/>
      <c r="P1781" s="54"/>
      <c r="Q1781" s="54"/>
      <c r="R1781" s="55"/>
      <c r="S1781" s="55"/>
      <c r="T1781" s="32"/>
      <c r="U1781" s="32"/>
      <c r="V1781" s="32"/>
      <c r="W1781" s="32"/>
      <c r="X1781" s="32"/>
      <c r="Y1781" s="32"/>
      <c r="Z1781" s="32"/>
      <c r="AA1781" s="32"/>
      <c r="AB1781" s="32"/>
      <c r="AC1781" s="32"/>
    </row>
    <row r="1782">
      <c r="A1782" s="32"/>
      <c r="B1782" s="16"/>
      <c r="C1782" s="16"/>
      <c r="D1782" s="16"/>
      <c r="E1782" s="16"/>
      <c r="F1782" s="16"/>
      <c r="G1782" s="16"/>
      <c r="H1782" s="16"/>
      <c r="I1782" s="16"/>
      <c r="J1782" s="16"/>
      <c r="K1782" s="16"/>
      <c r="L1782" s="16"/>
      <c r="M1782" s="16"/>
      <c r="N1782" s="16"/>
      <c r="O1782" s="84"/>
      <c r="P1782" s="54"/>
      <c r="Q1782" s="54"/>
      <c r="R1782" s="55"/>
      <c r="S1782" s="55"/>
      <c r="T1782" s="32"/>
      <c r="U1782" s="32"/>
      <c r="V1782" s="32"/>
      <c r="W1782" s="32"/>
      <c r="X1782" s="32"/>
      <c r="Y1782" s="32"/>
      <c r="Z1782" s="32"/>
      <c r="AA1782" s="32"/>
      <c r="AB1782" s="32"/>
      <c r="AC1782" s="32"/>
    </row>
    <row r="1783">
      <c r="A1783" s="32"/>
      <c r="B1783" s="16"/>
      <c r="C1783" s="16"/>
      <c r="D1783" s="16"/>
      <c r="E1783" s="16"/>
      <c r="F1783" s="16"/>
      <c r="G1783" s="16"/>
      <c r="H1783" s="16"/>
      <c r="I1783" s="16"/>
      <c r="J1783" s="16"/>
      <c r="K1783" s="16"/>
      <c r="L1783" s="16"/>
      <c r="M1783" s="16"/>
      <c r="N1783" s="16"/>
      <c r="O1783" s="84"/>
      <c r="P1783" s="54"/>
      <c r="Q1783" s="54"/>
      <c r="R1783" s="55"/>
      <c r="S1783" s="55"/>
      <c r="T1783" s="32"/>
      <c r="U1783" s="32"/>
      <c r="V1783" s="32"/>
      <c r="W1783" s="32"/>
      <c r="X1783" s="32"/>
      <c r="Y1783" s="32"/>
      <c r="Z1783" s="32"/>
      <c r="AA1783" s="32"/>
      <c r="AB1783" s="32"/>
      <c r="AC1783" s="32"/>
    </row>
    <row r="1784">
      <c r="A1784" s="32"/>
      <c r="B1784" s="16"/>
      <c r="C1784" s="16"/>
      <c r="D1784" s="16"/>
      <c r="E1784" s="16"/>
      <c r="F1784" s="16"/>
      <c r="G1784" s="16"/>
      <c r="H1784" s="16"/>
      <c r="I1784" s="16"/>
      <c r="J1784" s="16"/>
      <c r="K1784" s="16"/>
      <c r="L1784" s="16"/>
      <c r="M1784" s="16"/>
      <c r="N1784" s="16"/>
      <c r="O1784" s="84"/>
      <c r="P1784" s="54"/>
      <c r="Q1784" s="54"/>
      <c r="R1784" s="55"/>
      <c r="S1784" s="55"/>
      <c r="T1784" s="32"/>
      <c r="U1784" s="32"/>
      <c r="V1784" s="32"/>
      <c r="W1784" s="32"/>
      <c r="X1784" s="32"/>
      <c r="Y1784" s="32"/>
      <c r="Z1784" s="32"/>
      <c r="AA1784" s="32"/>
      <c r="AB1784" s="32"/>
      <c r="AC1784" s="32"/>
    </row>
    <row r="1785">
      <c r="A1785" s="32"/>
      <c r="B1785" s="16"/>
      <c r="C1785" s="16"/>
      <c r="D1785" s="16"/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  <c r="O1785" s="84"/>
      <c r="P1785" s="54"/>
      <c r="Q1785" s="54"/>
      <c r="R1785" s="55"/>
      <c r="S1785" s="55"/>
      <c r="T1785" s="32"/>
      <c r="U1785" s="32"/>
      <c r="V1785" s="32"/>
      <c r="W1785" s="32"/>
      <c r="X1785" s="32"/>
      <c r="Y1785" s="32"/>
      <c r="Z1785" s="32"/>
      <c r="AA1785" s="32"/>
      <c r="AB1785" s="32"/>
      <c r="AC1785" s="32"/>
    </row>
    <row r="1786">
      <c r="A1786" s="32"/>
      <c r="B1786" s="16"/>
      <c r="C1786" s="16"/>
      <c r="D1786" s="16"/>
      <c r="E1786" s="16"/>
      <c r="F1786" s="16"/>
      <c r="G1786" s="16"/>
      <c r="H1786" s="16"/>
      <c r="I1786" s="16"/>
      <c r="J1786" s="16"/>
      <c r="K1786" s="16"/>
      <c r="L1786" s="16"/>
      <c r="M1786" s="16"/>
      <c r="N1786" s="16"/>
      <c r="O1786" s="84"/>
      <c r="P1786" s="54"/>
      <c r="Q1786" s="54"/>
      <c r="R1786" s="55"/>
      <c r="S1786" s="55"/>
      <c r="T1786" s="32"/>
      <c r="U1786" s="32"/>
      <c r="V1786" s="32"/>
      <c r="W1786" s="32"/>
      <c r="X1786" s="32"/>
      <c r="Y1786" s="32"/>
      <c r="Z1786" s="32"/>
      <c r="AA1786" s="32"/>
      <c r="AB1786" s="32"/>
      <c r="AC1786" s="32"/>
    </row>
    <row r="1787">
      <c r="A1787" s="32"/>
      <c r="B1787" s="16"/>
      <c r="C1787" s="16"/>
      <c r="D1787" s="16"/>
      <c r="E1787" s="16"/>
      <c r="F1787" s="16"/>
      <c r="G1787" s="16"/>
      <c r="H1787" s="16"/>
      <c r="I1787" s="16"/>
      <c r="J1787" s="16"/>
      <c r="K1787" s="16"/>
      <c r="L1787" s="16"/>
      <c r="M1787" s="16"/>
      <c r="N1787" s="16"/>
      <c r="O1787" s="84"/>
      <c r="P1787" s="54"/>
      <c r="Q1787" s="54"/>
      <c r="R1787" s="55"/>
      <c r="S1787" s="55"/>
      <c r="T1787" s="32"/>
      <c r="U1787" s="32"/>
      <c r="V1787" s="32"/>
      <c r="W1787" s="32"/>
      <c r="X1787" s="32"/>
      <c r="Y1787" s="32"/>
      <c r="Z1787" s="32"/>
      <c r="AA1787" s="32"/>
      <c r="AB1787" s="32"/>
      <c r="AC1787" s="32"/>
    </row>
    <row r="1788">
      <c r="A1788" s="32"/>
      <c r="B1788" s="16"/>
      <c r="C1788" s="16"/>
      <c r="D1788" s="16"/>
      <c r="E1788" s="16"/>
      <c r="F1788" s="16"/>
      <c r="G1788" s="16"/>
      <c r="H1788" s="16"/>
      <c r="I1788" s="16"/>
      <c r="J1788" s="16"/>
      <c r="K1788" s="16"/>
      <c r="L1788" s="16"/>
      <c r="M1788" s="16"/>
      <c r="N1788" s="16"/>
      <c r="O1788" s="84"/>
      <c r="P1788" s="54"/>
      <c r="Q1788" s="54"/>
      <c r="R1788" s="55"/>
      <c r="S1788" s="55"/>
      <c r="T1788" s="32"/>
      <c r="U1788" s="32"/>
      <c r="V1788" s="32"/>
      <c r="W1788" s="32"/>
      <c r="X1788" s="32"/>
      <c r="Y1788" s="32"/>
      <c r="Z1788" s="32"/>
      <c r="AA1788" s="32"/>
      <c r="AB1788" s="32"/>
      <c r="AC1788" s="32"/>
    </row>
    <row r="1789">
      <c r="A1789" s="32"/>
      <c r="B1789" s="16"/>
      <c r="C1789" s="16"/>
      <c r="D1789" s="16"/>
      <c r="E1789" s="16"/>
      <c r="F1789" s="16"/>
      <c r="G1789" s="16"/>
      <c r="H1789" s="16"/>
      <c r="I1789" s="16"/>
      <c r="J1789" s="16"/>
      <c r="K1789" s="16"/>
      <c r="L1789" s="16"/>
      <c r="M1789" s="16"/>
      <c r="N1789" s="16"/>
      <c r="O1789" s="84"/>
      <c r="P1789" s="54"/>
      <c r="Q1789" s="54"/>
      <c r="R1789" s="55"/>
      <c r="S1789" s="55"/>
      <c r="T1789" s="32"/>
      <c r="U1789" s="32"/>
      <c r="V1789" s="32"/>
      <c r="W1789" s="32"/>
      <c r="X1789" s="32"/>
      <c r="Y1789" s="32"/>
      <c r="Z1789" s="32"/>
      <c r="AA1789" s="32"/>
      <c r="AB1789" s="32"/>
      <c r="AC1789" s="32"/>
    </row>
    <row r="1790">
      <c r="A1790" s="32"/>
      <c r="B1790" s="16"/>
      <c r="C1790" s="16"/>
      <c r="D1790" s="16"/>
      <c r="E1790" s="16"/>
      <c r="F1790" s="16"/>
      <c r="G1790" s="16"/>
      <c r="H1790" s="16"/>
      <c r="I1790" s="16"/>
      <c r="J1790" s="16"/>
      <c r="K1790" s="16"/>
      <c r="L1790" s="16"/>
      <c r="M1790" s="16"/>
      <c r="N1790" s="16"/>
      <c r="O1790" s="84"/>
      <c r="P1790" s="54"/>
      <c r="Q1790" s="54"/>
      <c r="R1790" s="55"/>
      <c r="S1790" s="55"/>
      <c r="T1790" s="32"/>
      <c r="U1790" s="32"/>
      <c r="V1790" s="32"/>
      <c r="W1790" s="32"/>
      <c r="X1790" s="32"/>
      <c r="Y1790" s="32"/>
      <c r="Z1790" s="32"/>
      <c r="AA1790" s="32"/>
      <c r="AB1790" s="32"/>
      <c r="AC1790" s="32"/>
    </row>
    <row r="1791">
      <c r="A1791" s="32"/>
      <c r="B1791" s="16"/>
      <c r="C1791" s="16"/>
      <c r="D1791" s="16"/>
      <c r="E1791" s="16"/>
      <c r="F1791" s="16"/>
      <c r="G1791" s="16"/>
      <c r="H1791" s="16"/>
      <c r="I1791" s="16"/>
      <c r="J1791" s="16"/>
      <c r="K1791" s="16"/>
      <c r="L1791" s="16"/>
      <c r="M1791" s="16"/>
      <c r="N1791" s="16"/>
      <c r="O1791" s="84"/>
      <c r="P1791" s="54"/>
      <c r="Q1791" s="54"/>
      <c r="R1791" s="55"/>
      <c r="S1791" s="55"/>
      <c r="T1791" s="32"/>
      <c r="U1791" s="32"/>
      <c r="V1791" s="32"/>
      <c r="W1791" s="32"/>
      <c r="X1791" s="32"/>
      <c r="Y1791" s="32"/>
      <c r="Z1791" s="32"/>
      <c r="AA1791" s="32"/>
      <c r="AB1791" s="32"/>
      <c r="AC1791" s="32"/>
    </row>
    <row r="1792">
      <c r="A1792" s="32"/>
      <c r="B1792" s="16"/>
      <c r="C1792" s="16"/>
      <c r="D1792" s="16"/>
      <c r="E1792" s="16"/>
      <c r="F1792" s="16"/>
      <c r="G1792" s="16"/>
      <c r="H1792" s="16"/>
      <c r="I1792" s="16"/>
      <c r="J1792" s="16"/>
      <c r="K1792" s="16"/>
      <c r="L1792" s="16"/>
      <c r="M1792" s="16"/>
      <c r="N1792" s="16"/>
      <c r="O1792" s="84"/>
      <c r="P1792" s="54"/>
      <c r="Q1792" s="54"/>
      <c r="R1792" s="55"/>
      <c r="S1792" s="55"/>
      <c r="T1792" s="32"/>
      <c r="U1792" s="32"/>
      <c r="V1792" s="32"/>
      <c r="W1792" s="32"/>
      <c r="X1792" s="32"/>
      <c r="Y1792" s="32"/>
      <c r="Z1792" s="32"/>
      <c r="AA1792" s="32"/>
      <c r="AB1792" s="32"/>
      <c r="AC1792" s="32"/>
    </row>
    <row r="1793">
      <c r="A1793" s="32"/>
      <c r="B1793" s="16"/>
      <c r="C1793" s="16"/>
      <c r="D1793" s="16"/>
      <c r="E1793" s="16"/>
      <c r="F1793" s="16"/>
      <c r="G1793" s="16"/>
      <c r="H1793" s="16"/>
      <c r="I1793" s="16"/>
      <c r="J1793" s="16"/>
      <c r="K1793" s="16"/>
      <c r="L1793" s="16"/>
      <c r="M1793" s="16"/>
      <c r="N1793" s="16"/>
      <c r="O1793" s="84"/>
      <c r="P1793" s="54"/>
      <c r="Q1793" s="54"/>
      <c r="R1793" s="55"/>
      <c r="S1793" s="55"/>
      <c r="T1793" s="32"/>
      <c r="U1793" s="32"/>
      <c r="V1793" s="32"/>
      <c r="W1793" s="32"/>
      <c r="X1793" s="32"/>
      <c r="Y1793" s="32"/>
      <c r="Z1793" s="32"/>
      <c r="AA1793" s="32"/>
      <c r="AB1793" s="32"/>
      <c r="AC1793" s="32"/>
    </row>
    <row r="1794">
      <c r="A1794" s="32"/>
      <c r="B1794" s="16"/>
      <c r="C1794" s="16"/>
      <c r="D1794" s="16"/>
      <c r="E1794" s="16"/>
      <c r="F1794" s="16"/>
      <c r="G1794" s="16"/>
      <c r="H1794" s="16"/>
      <c r="I1794" s="16"/>
      <c r="J1794" s="16"/>
      <c r="K1794" s="16"/>
      <c r="L1794" s="16"/>
      <c r="M1794" s="16"/>
      <c r="N1794" s="16"/>
      <c r="O1794" s="84"/>
      <c r="P1794" s="54"/>
      <c r="Q1794" s="54"/>
      <c r="R1794" s="55"/>
      <c r="S1794" s="55"/>
      <c r="T1794" s="32"/>
      <c r="U1794" s="32"/>
      <c r="V1794" s="32"/>
      <c r="W1794" s="32"/>
      <c r="X1794" s="32"/>
      <c r="Y1794" s="32"/>
      <c r="Z1794" s="32"/>
      <c r="AA1794" s="32"/>
      <c r="AB1794" s="32"/>
      <c r="AC1794" s="32"/>
    </row>
    <row r="1795">
      <c r="A1795" s="32"/>
      <c r="B1795" s="16"/>
      <c r="C1795" s="16"/>
      <c r="D1795" s="16"/>
      <c r="E1795" s="16"/>
      <c r="F1795" s="16"/>
      <c r="G1795" s="16"/>
      <c r="H1795" s="16"/>
      <c r="I1795" s="16"/>
      <c r="J1795" s="16"/>
      <c r="K1795" s="16"/>
      <c r="L1795" s="16"/>
      <c r="M1795" s="16"/>
      <c r="N1795" s="16"/>
      <c r="O1795" s="84"/>
      <c r="P1795" s="54"/>
      <c r="Q1795" s="54"/>
      <c r="R1795" s="55"/>
      <c r="S1795" s="55"/>
      <c r="T1795" s="32"/>
      <c r="U1795" s="32"/>
      <c r="V1795" s="32"/>
      <c r="W1795" s="32"/>
      <c r="X1795" s="32"/>
      <c r="Y1795" s="32"/>
      <c r="Z1795" s="32"/>
      <c r="AA1795" s="32"/>
      <c r="AB1795" s="32"/>
      <c r="AC1795" s="32"/>
    </row>
    <row r="1796">
      <c r="A1796" s="32"/>
      <c r="B1796" s="16"/>
      <c r="C1796" s="16"/>
      <c r="D1796" s="16"/>
      <c r="E1796" s="16"/>
      <c r="F1796" s="16"/>
      <c r="G1796" s="16"/>
      <c r="H1796" s="16"/>
      <c r="I1796" s="16"/>
      <c r="J1796" s="16"/>
      <c r="K1796" s="16"/>
      <c r="L1796" s="16"/>
      <c r="M1796" s="16"/>
      <c r="N1796" s="16"/>
      <c r="O1796" s="84"/>
      <c r="P1796" s="54"/>
      <c r="Q1796" s="54"/>
      <c r="R1796" s="55"/>
      <c r="S1796" s="55"/>
      <c r="T1796" s="32"/>
      <c r="U1796" s="32"/>
      <c r="V1796" s="32"/>
      <c r="W1796" s="32"/>
      <c r="X1796" s="32"/>
      <c r="Y1796" s="32"/>
      <c r="Z1796" s="32"/>
      <c r="AA1796" s="32"/>
      <c r="AB1796" s="32"/>
      <c r="AC1796" s="32"/>
    </row>
    <row r="1797">
      <c r="A1797" s="32"/>
      <c r="B1797" s="16"/>
      <c r="C1797" s="16"/>
      <c r="D1797" s="16"/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  <c r="O1797" s="84"/>
      <c r="P1797" s="54"/>
      <c r="Q1797" s="54"/>
      <c r="R1797" s="55"/>
      <c r="S1797" s="55"/>
      <c r="T1797" s="32"/>
      <c r="U1797" s="32"/>
      <c r="V1797" s="32"/>
      <c r="W1797" s="32"/>
      <c r="X1797" s="32"/>
      <c r="Y1797" s="32"/>
      <c r="Z1797" s="32"/>
      <c r="AA1797" s="32"/>
      <c r="AB1797" s="32"/>
      <c r="AC1797" s="32"/>
    </row>
    <row r="1798">
      <c r="A1798" s="32"/>
      <c r="B1798" s="16"/>
      <c r="C1798" s="16"/>
      <c r="D1798" s="16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  <c r="O1798" s="84"/>
      <c r="P1798" s="54"/>
      <c r="Q1798" s="54"/>
      <c r="R1798" s="55"/>
      <c r="S1798" s="55"/>
      <c r="T1798" s="32"/>
      <c r="U1798" s="32"/>
      <c r="V1798" s="32"/>
      <c r="W1798" s="32"/>
      <c r="X1798" s="32"/>
      <c r="Y1798" s="32"/>
      <c r="Z1798" s="32"/>
      <c r="AA1798" s="32"/>
      <c r="AB1798" s="32"/>
      <c r="AC1798" s="32"/>
    </row>
    <row r="1799">
      <c r="A1799" s="32"/>
      <c r="B1799" s="16"/>
      <c r="C1799" s="16"/>
      <c r="D1799" s="16"/>
      <c r="E1799" s="16"/>
      <c r="F1799" s="16"/>
      <c r="G1799" s="16"/>
      <c r="H1799" s="16"/>
      <c r="I1799" s="16"/>
      <c r="J1799" s="16"/>
      <c r="K1799" s="16"/>
      <c r="L1799" s="16"/>
      <c r="M1799" s="16"/>
      <c r="N1799" s="16"/>
      <c r="O1799" s="84"/>
      <c r="P1799" s="54"/>
      <c r="Q1799" s="54"/>
      <c r="R1799" s="55"/>
      <c r="S1799" s="55"/>
      <c r="T1799" s="32"/>
      <c r="U1799" s="32"/>
      <c r="V1799" s="32"/>
      <c r="W1799" s="32"/>
      <c r="X1799" s="32"/>
      <c r="Y1799" s="32"/>
      <c r="Z1799" s="32"/>
      <c r="AA1799" s="32"/>
      <c r="AB1799" s="32"/>
      <c r="AC1799" s="32"/>
    </row>
    <row r="1800">
      <c r="A1800" s="32"/>
      <c r="B1800" s="16"/>
      <c r="C1800" s="16"/>
      <c r="D1800" s="16"/>
      <c r="E1800" s="16"/>
      <c r="F1800" s="16"/>
      <c r="G1800" s="16"/>
      <c r="H1800" s="16"/>
      <c r="I1800" s="16"/>
      <c r="J1800" s="16"/>
      <c r="K1800" s="16"/>
      <c r="L1800" s="16"/>
      <c r="M1800" s="16"/>
      <c r="N1800" s="16"/>
      <c r="O1800" s="84"/>
      <c r="P1800" s="54"/>
      <c r="Q1800" s="54"/>
      <c r="R1800" s="55"/>
      <c r="S1800" s="55"/>
      <c r="T1800" s="32"/>
      <c r="U1800" s="32"/>
      <c r="V1800" s="32"/>
      <c r="W1800" s="32"/>
      <c r="X1800" s="32"/>
      <c r="Y1800" s="32"/>
      <c r="Z1800" s="32"/>
      <c r="AA1800" s="32"/>
      <c r="AB1800" s="32"/>
      <c r="AC1800" s="32"/>
    </row>
    <row r="1801">
      <c r="A1801" s="32"/>
      <c r="B1801" s="16"/>
      <c r="C1801" s="16"/>
      <c r="D1801" s="16"/>
      <c r="E1801" s="16"/>
      <c r="F1801" s="16"/>
      <c r="G1801" s="16"/>
      <c r="H1801" s="16"/>
      <c r="I1801" s="16"/>
      <c r="J1801" s="16"/>
      <c r="K1801" s="16"/>
      <c r="L1801" s="16"/>
      <c r="M1801" s="16"/>
      <c r="N1801" s="16"/>
      <c r="O1801" s="84"/>
      <c r="P1801" s="54"/>
      <c r="Q1801" s="54"/>
      <c r="R1801" s="55"/>
      <c r="S1801" s="55"/>
      <c r="T1801" s="32"/>
      <c r="U1801" s="32"/>
      <c r="V1801" s="32"/>
      <c r="W1801" s="32"/>
      <c r="X1801" s="32"/>
      <c r="Y1801" s="32"/>
      <c r="Z1801" s="32"/>
      <c r="AA1801" s="32"/>
      <c r="AB1801" s="32"/>
      <c r="AC1801" s="32"/>
    </row>
    <row r="1802">
      <c r="A1802" s="32"/>
      <c r="B1802" s="16"/>
      <c r="C1802" s="16"/>
      <c r="D1802" s="16"/>
      <c r="E1802" s="16"/>
      <c r="F1802" s="16"/>
      <c r="G1802" s="16"/>
      <c r="H1802" s="16"/>
      <c r="I1802" s="16"/>
      <c r="J1802" s="16"/>
      <c r="K1802" s="16"/>
      <c r="L1802" s="16"/>
      <c r="M1802" s="16"/>
      <c r="N1802" s="16"/>
      <c r="O1802" s="84"/>
      <c r="P1802" s="54"/>
      <c r="Q1802" s="54"/>
      <c r="R1802" s="55"/>
      <c r="S1802" s="55"/>
      <c r="T1802" s="32"/>
      <c r="U1802" s="32"/>
      <c r="V1802" s="32"/>
      <c r="W1802" s="32"/>
      <c r="X1802" s="32"/>
      <c r="Y1802" s="32"/>
      <c r="Z1802" s="32"/>
      <c r="AA1802" s="32"/>
      <c r="AB1802" s="32"/>
      <c r="AC1802" s="32"/>
    </row>
    <row r="1803">
      <c r="A1803" s="32"/>
      <c r="B1803" s="16"/>
      <c r="C1803" s="16"/>
      <c r="D1803" s="16"/>
      <c r="E1803" s="16"/>
      <c r="F1803" s="16"/>
      <c r="G1803" s="16"/>
      <c r="H1803" s="16"/>
      <c r="I1803" s="16"/>
      <c r="J1803" s="16"/>
      <c r="K1803" s="16"/>
      <c r="L1803" s="16"/>
      <c r="M1803" s="16"/>
      <c r="N1803" s="16"/>
      <c r="O1803" s="84"/>
      <c r="P1803" s="54"/>
      <c r="Q1803" s="54"/>
      <c r="R1803" s="55"/>
      <c r="S1803" s="55"/>
      <c r="T1803" s="32"/>
      <c r="U1803" s="32"/>
      <c r="V1803" s="32"/>
      <c r="W1803" s="32"/>
      <c r="X1803" s="32"/>
      <c r="Y1803" s="32"/>
      <c r="Z1803" s="32"/>
      <c r="AA1803" s="32"/>
      <c r="AB1803" s="32"/>
      <c r="AC1803" s="32"/>
    </row>
    <row r="1804">
      <c r="A1804" s="32"/>
      <c r="B1804" s="16"/>
      <c r="C1804" s="16"/>
      <c r="D1804" s="16"/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84"/>
      <c r="P1804" s="54"/>
      <c r="Q1804" s="54"/>
      <c r="R1804" s="55"/>
      <c r="S1804" s="55"/>
      <c r="T1804" s="32"/>
      <c r="U1804" s="32"/>
      <c r="V1804" s="32"/>
      <c r="W1804" s="32"/>
      <c r="X1804" s="32"/>
      <c r="Y1804" s="32"/>
      <c r="Z1804" s="32"/>
      <c r="AA1804" s="32"/>
      <c r="AB1804" s="32"/>
      <c r="AC1804" s="32"/>
    </row>
    <row r="1805">
      <c r="A1805" s="32"/>
      <c r="B1805" s="16"/>
      <c r="C1805" s="16"/>
      <c r="D1805" s="16"/>
      <c r="E1805" s="16"/>
      <c r="F1805" s="16"/>
      <c r="G1805" s="16"/>
      <c r="H1805" s="16"/>
      <c r="I1805" s="16"/>
      <c r="J1805" s="16"/>
      <c r="K1805" s="16"/>
      <c r="L1805" s="16"/>
      <c r="M1805" s="16"/>
      <c r="N1805" s="16"/>
      <c r="O1805" s="84"/>
      <c r="P1805" s="54"/>
      <c r="Q1805" s="54"/>
      <c r="R1805" s="55"/>
      <c r="S1805" s="55"/>
      <c r="T1805" s="32"/>
      <c r="U1805" s="32"/>
      <c r="V1805" s="32"/>
      <c r="W1805" s="32"/>
      <c r="X1805" s="32"/>
      <c r="Y1805" s="32"/>
      <c r="Z1805" s="32"/>
      <c r="AA1805" s="32"/>
      <c r="AB1805" s="32"/>
      <c r="AC1805" s="32"/>
    </row>
    <row r="1806">
      <c r="A1806" s="32"/>
      <c r="B1806" s="16"/>
      <c r="C1806" s="16"/>
      <c r="D1806" s="16"/>
      <c r="E1806" s="16"/>
      <c r="F1806" s="16"/>
      <c r="G1806" s="16"/>
      <c r="H1806" s="16"/>
      <c r="I1806" s="16"/>
      <c r="J1806" s="16"/>
      <c r="K1806" s="16"/>
      <c r="L1806" s="16"/>
      <c r="M1806" s="16"/>
      <c r="N1806" s="16"/>
      <c r="O1806" s="84"/>
      <c r="P1806" s="54"/>
      <c r="Q1806" s="54"/>
      <c r="R1806" s="55"/>
      <c r="S1806" s="55"/>
      <c r="T1806" s="32"/>
      <c r="U1806" s="32"/>
      <c r="V1806" s="32"/>
      <c r="W1806" s="32"/>
      <c r="X1806" s="32"/>
      <c r="Y1806" s="32"/>
      <c r="Z1806" s="32"/>
      <c r="AA1806" s="32"/>
      <c r="AB1806" s="32"/>
      <c r="AC1806" s="32"/>
    </row>
    <row r="1807">
      <c r="A1807" s="32"/>
      <c r="B1807" s="16"/>
      <c r="C1807" s="16"/>
      <c r="D1807" s="16"/>
      <c r="E1807" s="16"/>
      <c r="F1807" s="16"/>
      <c r="G1807" s="16"/>
      <c r="H1807" s="16"/>
      <c r="I1807" s="16"/>
      <c r="J1807" s="16"/>
      <c r="K1807" s="16"/>
      <c r="L1807" s="16"/>
      <c r="M1807" s="16"/>
      <c r="N1807" s="16"/>
      <c r="O1807" s="84"/>
      <c r="P1807" s="54"/>
      <c r="Q1807" s="54"/>
      <c r="R1807" s="55"/>
      <c r="S1807" s="55"/>
      <c r="T1807" s="32"/>
      <c r="U1807" s="32"/>
      <c r="V1807" s="32"/>
      <c r="W1807" s="32"/>
      <c r="X1807" s="32"/>
      <c r="Y1807" s="32"/>
      <c r="Z1807" s="32"/>
      <c r="AA1807" s="32"/>
      <c r="AB1807" s="32"/>
      <c r="AC1807" s="32"/>
    </row>
    <row r="1808">
      <c r="A1808" s="32"/>
      <c r="B1808" s="16"/>
      <c r="C1808" s="16"/>
      <c r="D1808" s="16"/>
      <c r="E1808" s="16"/>
      <c r="F1808" s="16"/>
      <c r="G1808" s="16"/>
      <c r="H1808" s="16"/>
      <c r="I1808" s="16"/>
      <c r="J1808" s="16"/>
      <c r="K1808" s="16"/>
      <c r="L1808" s="16"/>
      <c r="M1808" s="16"/>
      <c r="N1808" s="16"/>
      <c r="O1808" s="84"/>
      <c r="P1808" s="54"/>
      <c r="Q1808" s="54"/>
      <c r="R1808" s="55"/>
      <c r="S1808" s="55"/>
      <c r="T1808" s="32"/>
      <c r="U1808" s="32"/>
      <c r="V1808" s="32"/>
      <c r="W1808" s="32"/>
      <c r="X1808" s="32"/>
      <c r="Y1808" s="32"/>
      <c r="Z1808" s="32"/>
      <c r="AA1808" s="32"/>
      <c r="AB1808" s="32"/>
      <c r="AC1808" s="32"/>
    </row>
    <row r="1809">
      <c r="A1809" s="32"/>
      <c r="B1809" s="16"/>
      <c r="C1809" s="16"/>
      <c r="D1809" s="16"/>
      <c r="E1809" s="16"/>
      <c r="F1809" s="16"/>
      <c r="G1809" s="16"/>
      <c r="H1809" s="16"/>
      <c r="I1809" s="16"/>
      <c r="J1809" s="16"/>
      <c r="K1809" s="16"/>
      <c r="L1809" s="16"/>
      <c r="M1809" s="16"/>
      <c r="N1809" s="16"/>
      <c r="O1809" s="84"/>
      <c r="P1809" s="54"/>
      <c r="Q1809" s="54"/>
      <c r="R1809" s="55"/>
      <c r="S1809" s="55"/>
      <c r="T1809" s="32"/>
      <c r="U1809" s="32"/>
      <c r="V1809" s="32"/>
      <c r="W1809" s="32"/>
      <c r="X1809" s="32"/>
      <c r="Y1809" s="32"/>
      <c r="Z1809" s="32"/>
      <c r="AA1809" s="32"/>
      <c r="AB1809" s="32"/>
      <c r="AC1809" s="32"/>
    </row>
    <row r="1810">
      <c r="A1810" s="32"/>
      <c r="B1810" s="16"/>
      <c r="C1810" s="16"/>
      <c r="D1810" s="16"/>
      <c r="E1810" s="16"/>
      <c r="F1810" s="16"/>
      <c r="G1810" s="16"/>
      <c r="H1810" s="16"/>
      <c r="I1810" s="16"/>
      <c r="J1810" s="16"/>
      <c r="K1810" s="16"/>
      <c r="L1810" s="16"/>
      <c r="M1810" s="16"/>
      <c r="N1810" s="16"/>
      <c r="O1810" s="84"/>
      <c r="P1810" s="54"/>
      <c r="Q1810" s="54"/>
      <c r="R1810" s="55"/>
      <c r="S1810" s="55"/>
      <c r="T1810" s="32"/>
      <c r="U1810" s="32"/>
      <c r="V1810" s="32"/>
      <c r="W1810" s="32"/>
      <c r="X1810" s="32"/>
      <c r="Y1810" s="32"/>
      <c r="Z1810" s="32"/>
      <c r="AA1810" s="32"/>
      <c r="AB1810" s="32"/>
      <c r="AC1810" s="32"/>
    </row>
    <row r="1811">
      <c r="A1811" s="32"/>
      <c r="B1811" s="16"/>
      <c r="C1811" s="16"/>
      <c r="D1811" s="16"/>
      <c r="E1811" s="16"/>
      <c r="F1811" s="16"/>
      <c r="G1811" s="16"/>
      <c r="H1811" s="16"/>
      <c r="I1811" s="16"/>
      <c r="J1811" s="16"/>
      <c r="K1811" s="16"/>
      <c r="L1811" s="16"/>
      <c r="M1811" s="16"/>
      <c r="N1811" s="16"/>
      <c r="O1811" s="84"/>
      <c r="P1811" s="54"/>
      <c r="Q1811" s="54"/>
      <c r="R1811" s="55"/>
      <c r="S1811" s="55"/>
      <c r="T1811" s="32"/>
      <c r="U1811" s="32"/>
      <c r="V1811" s="32"/>
      <c r="W1811" s="32"/>
      <c r="X1811" s="32"/>
      <c r="Y1811" s="32"/>
      <c r="Z1811" s="32"/>
      <c r="AA1811" s="32"/>
      <c r="AB1811" s="32"/>
      <c r="AC1811" s="32"/>
    </row>
    <row r="1812">
      <c r="A1812" s="32"/>
      <c r="B1812" s="16"/>
      <c r="C1812" s="16"/>
      <c r="D1812" s="16"/>
      <c r="E1812" s="16"/>
      <c r="F1812" s="16"/>
      <c r="G1812" s="16"/>
      <c r="H1812" s="16"/>
      <c r="I1812" s="16"/>
      <c r="J1812" s="16"/>
      <c r="K1812" s="16"/>
      <c r="L1812" s="16"/>
      <c r="M1812" s="16"/>
      <c r="N1812" s="16"/>
      <c r="O1812" s="84"/>
      <c r="P1812" s="54"/>
      <c r="Q1812" s="54"/>
      <c r="R1812" s="55"/>
      <c r="S1812" s="55"/>
      <c r="T1812" s="32"/>
      <c r="U1812" s="32"/>
      <c r="V1812" s="32"/>
      <c r="W1812" s="32"/>
      <c r="X1812" s="32"/>
      <c r="Y1812" s="32"/>
      <c r="Z1812" s="32"/>
      <c r="AA1812" s="32"/>
      <c r="AB1812" s="32"/>
      <c r="AC1812" s="32"/>
    </row>
    <row r="1813">
      <c r="A1813" s="32"/>
      <c r="B1813" s="16"/>
      <c r="C1813" s="16"/>
      <c r="D1813" s="16"/>
      <c r="E1813" s="16"/>
      <c r="F1813" s="16"/>
      <c r="G1813" s="16"/>
      <c r="H1813" s="16"/>
      <c r="I1813" s="16"/>
      <c r="J1813" s="16"/>
      <c r="K1813" s="16"/>
      <c r="L1813" s="16"/>
      <c r="M1813" s="16"/>
      <c r="N1813" s="16"/>
      <c r="O1813" s="84"/>
      <c r="P1813" s="54"/>
      <c r="Q1813" s="54"/>
      <c r="R1813" s="55"/>
      <c r="S1813" s="55"/>
      <c r="T1813" s="32"/>
      <c r="U1813" s="32"/>
      <c r="V1813" s="32"/>
      <c r="W1813" s="32"/>
      <c r="X1813" s="32"/>
      <c r="Y1813" s="32"/>
      <c r="Z1813" s="32"/>
      <c r="AA1813" s="32"/>
      <c r="AB1813" s="32"/>
      <c r="AC1813" s="32"/>
    </row>
    <row r="1814">
      <c r="A1814" s="32"/>
      <c r="B1814" s="16"/>
      <c r="C1814" s="16"/>
      <c r="D1814" s="16"/>
      <c r="E1814" s="16"/>
      <c r="F1814" s="16"/>
      <c r="G1814" s="16"/>
      <c r="H1814" s="16"/>
      <c r="I1814" s="16"/>
      <c r="J1814" s="16"/>
      <c r="K1814" s="16"/>
      <c r="L1814" s="16"/>
      <c r="M1814" s="16"/>
      <c r="N1814" s="16"/>
      <c r="O1814" s="84"/>
      <c r="P1814" s="54"/>
      <c r="Q1814" s="54"/>
      <c r="R1814" s="55"/>
      <c r="S1814" s="55"/>
      <c r="T1814" s="32"/>
      <c r="U1814" s="32"/>
      <c r="V1814" s="32"/>
      <c r="W1814" s="32"/>
      <c r="X1814" s="32"/>
      <c r="Y1814" s="32"/>
      <c r="Z1814" s="32"/>
      <c r="AA1814" s="32"/>
      <c r="AB1814" s="32"/>
      <c r="AC1814" s="32"/>
    </row>
    <row r="1815">
      <c r="A1815" s="32"/>
      <c r="B1815" s="16"/>
      <c r="C1815" s="16"/>
      <c r="D1815" s="16"/>
      <c r="E1815" s="16"/>
      <c r="F1815" s="16"/>
      <c r="G1815" s="16"/>
      <c r="H1815" s="16"/>
      <c r="I1815" s="16"/>
      <c r="J1815" s="16"/>
      <c r="K1815" s="16"/>
      <c r="L1815" s="16"/>
      <c r="M1815" s="16"/>
      <c r="N1815" s="16"/>
      <c r="O1815" s="84"/>
      <c r="P1815" s="54"/>
      <c r="Q1815" s="54"/>
      <c r="R1815" s="55"/>
      <c r="S1815" s="55"/>
      <c r="T1815" s="32"/>
      <c r="U1815" s="32"/>
      <c r="V1815" s="32"/>
      <c r="W1815" s="32"/>
      <c r="X1815" s="32"/>
      <c r="Y1815" s="32"/>
      <c r="Z1815" s="32"/>
      <c r="AA1815" s="32"/>
      <c r="AB1815" s="32"/>
      <c r="AC1815" s="32"/>
    </row>
    <row r="1816">
      <c r="A1816" s="32"/>
      <c r="B1816" s="16"/>
      <c r="C1816" s="16"/>
      <c r="D1816" s="16"/>
      <c r="E1816" s="16"/>
      <c r="F1816" s="16"/>
      <c r="G1816" s="16"/>
      <c r="H1816" s="16"/>
      <c r="I1816" s="16"/>
      <c r="J1816" s="16"/>
      <c r="K1816" s="16"/>
      <c r="L1816" s="16"/>
      <c r="M1816" s="16"/>
      <c r="N1816" s="16"/>
      <c r="O1816" s="84"/>
      <c r="P1816" s="54"/>
      <c r="Q1816" s="54"/>
      <c r="R1816" s="55"/>
      <c r="S1816" s="55"/>
      <c r="T1816" s="32"/>
      <c r="U1816" s="32"/>
      <c r="V1816" s="32"/>
      <c r="W1816" s="32"/>
      <c r="X1816" s="32"/>
      <c r="Y1816" s="32"/>
      <c r="Z1816" s="32"/>
      <c r="AA1816" s="32"/>
      <c r="AB1816" s="32"/>
      <c r="AC1816" s="32"/>
    </row>
    <row r="1817">
      <c r="A1817" s="32"/>
      <c r="B1817" s="16"/>
      <c r="C1817" s="16"/>
      <c r="D1817" s="16"/>
      <c r="E1817" s="16"/>
      <c r="F1817" s="16"/>
      <c r="G1817" s="16"/>
      <c r="H1817" s="16"/>
      <c r="I1817" s="16"/>
      <c r="J1817" s="16"/>
      <c r="K1817" s="16"/>
      <c r="L1817" s="16"/>
      <c r="M1817" s="16"/>
      <c r="N1817" s="16"/>
      <c r="O1817" s="84"/>
      <c r="P1817" s="54"/>
      <c r="Q1817" s="54"/>
      <c r="R1817" s="55"/>
      <c r="S1817" s="55"/>
      <c r="T1817" s="32"/>
      <c r="U1817" s="32"/>
      <c r="V1817" s="32"/>
      <c r="W1817" s="32"/>
      <c r="X1817" s="32"/>
      <c r="Y1817" s="32"/>
      <c r="Z1817" s="32"/>
      <c r="AA1817" s="32"/>
      <c r="AB1817" s="32"/>
      <c r="AC1817" s="32"/>
    </row>
    <row r="1818">
      <c r="A1818" s="32"/>
      <c r="B1818" s="16"/>
      <c r="C1818" s="16"/>
      <c r="D1818" s="16"/>
      <c r="E1818" s="16"/>
      <c r="F1818" s="16"/>
      <c r="G1818" s="16"/>
      <c r="H1818" s="16"/>
      <c r="I1818" s="16"/>
      <c r="J1818" s="16"/>
      <c r="K1818" s="16"/>
      <c r="L1818" s="16"/>
      <c r="M1818" s="16"/>
      <c r="N1818" s="16"/>
      <c r="O1818" s="84"/>
      <c r="P1818" s="54"/>
      <c r="Q1818" s="54"/>
      <c r="R1818" s="55"/>
      <c r="S1818" s="55"/>
      <c r="T1818" s="32"/>
      <c r="U1818" s="32"/>
      <c r="V1818" s="32"/>
      <c r="W1818" s="32"/>
      <c r="X1818" s="32"/>
      <c r="Y1818" s="32"/>
      <c r="Z1818" s="32"/>
      <c r="AA1818" s="32"/>
      <c r="AB1818" s="32"/>
      <c r="AC1818" s="32"/>
    </row>
    <row r="1819">
      <c r="A1819" s="32"/>
      <c r="B1819" s="16"/>
      <c r="C1819" s="16"/>
      <c r="D1819" s="16"/>
      <c r="E1819" s="16"/>
      <c r="F1819" s="16"/>
      <c r="G1819" s="16"/>
      <c r="H1819" s="16"/>
      <c r="I1819" s="16"/>
      <c r="J1819" s="16"/>
      <c r="K1819" s="16"/>
      <c r="L1819" s="16"/>
      <c r="M1819" s="16"/>
      <c r="N1819" s="16"/>
      <c r="O1819" s="84"/>
      <c r="P1819" s="54"/>
      <c r="Q1819" s="54"/>
      <c r="R1819" s="55"/>
      <c r="S1819" s="55"/>
      <c r="T1819" s="32"/>
      <c r="U1819" s="32"/>
      <c r="V1819" s="32"/>
      <c r="W1819" s="32"/>
      <c r="X1819" s="32"/>
      <c r="Y1819" s="32"/>
      <c r="Z1819" s="32"/>
      <c r="AA1819" s="32"/>
      <c r="AB1819" s="32"/>
      <c r="AC1819" s="32"/>
    </row>
    <row r="1820">
      <c r="A1820" s="32"/>
      <c r="B1820" s="16"/>
      <c r="C1820" s="16"/>
      <c r="D1820" s="16"/>
      <c r="E1820" s="16"/>
      <c r="F1820" s="16"/>
      <c r="G1820" s="16"/>
      <c r="H1820" s="16"/>
      <c r="I1820" s="16"/>
      <c r="J1820" s="16"/>
      <c r="K1820" s="16"/>
      <c r="L1820" s="16"/>
      <c r="M1820" s="16"/>
      <c r="N1820" s="16"/>
      <c r="O1820" s="84"/>
      <c r="P1820" s="54"/>
      <c r="Q1820" s="54"/>
      <c r="R1820" s="55"/>
      <c r="S1820" s="55"/>
      <c r="T1820" s="32"/>
      <c r="U1820" s="32"/>
      <c r="V1820" s="32"/>
      <c r="W1820" s="32"/>
      <c r="X1820" s="32"/>
      <c r="Y1820" s="32"/>
      <c r="Z1820" s="32"/>
      <c r="AA1820" s="32"/>
      <c r="AB1820" s="32"/>
      <c r="AC1820" s="32"/>
    </row>
    <row r="1821">
      <c r="A1821" s="32"/>
      <c r="B1821" s="16"/>
      <c r="C1821" s="16"/>
      <c r="D1821" s="16"/>
      <c r="E1821" s="16"/>
      <c r="F1821" s="16"/>
      <c r="G1821" s="16"/>
      <c r="H1821" s="16"/>
      <c r="I1821" s="16"/>
      <c r="J1821" s="16"/>
      <c r="K1821" s="16"/>
      <c r="L1821" s="16"/>
      <c r="M1821" s="16"/>
      <c r="N1821" s="16"/>
      <c r="O1821" s="84"/>
      <c r="P1821" s="54"/>
      <c r="Q1821" s="54"/>
      <c r="R1821" s="55"/>
      <c r="S1821" s="55"/>
      <c r="T1821" s="32"/>
      <c r="U1821" s="32"/>
      <c r="V1821" s="32"/>
      <c r="W1821" s="32"/>
      <c r="X1821" s="32"/>
      <c r="Y1821" s="32"/>
      <c r="Z1821" s="32"/>
      <c r="AA1821" s="32"/>
      <c r="AB1821" s="32"/>
      <c r="AC1821" s="32"/>
    </row>
    <row r="1822">
      <c r="A1822" s="32"/>
      <c r="B1822" s="16"/>
      <c r="C1822" s="16"/>
      <c r="D1822" s="16"/>
      <c r="E1822" s="16"/>
      <c r="F1822" s="16"/>
      <c r="G1822" s="16"/>
      <c r="H1822" s="16"/>
      <c r="I1822" s="16"/>
      <c r="J1822" s="16"/>
      <c r="K1822" s="16"/>
      <c r="L1822" s="16"/>
      <c r="M1822" s="16"/>
      <c r="N1822" s="16"/>
      <c r="O1822" s="84"/>
      <c r="P1822" s="54"/>
      <c r="Q1822" s="54"/>
      <c r="R1822" s="55"/>
      <c r="S1822" s="55"/>
      <c r="T1822" s="32"/>
      <c r="U1822" s="32"/>
      <c r="V1822" s="32"/>
      <c r="W1822" s="32"/>
      <c r="X1822" s="32"/>
      <c r="Y1822" s="32"/>
      <c r="Z1822" s="32"/>
      <c r="AA1822" s="32"/>
      <c r="AB1822" s="32"/>
      <c r="AC1822" s="32"/>
    </row>
    <row r="1823">
      <c r="A1823" s="32"/>
      <c r="B1823" s="16"/>
      <c r="C1823" s="16"/>
      <c r="D1823" s="16"/>
      <c r="E1823" s="16"/>
      <c r="F1823" s="16"/>
      <c r="G1823" s="16"/>
      <c r="H1823" s="16"/>
      <c r="I1823" s="16"/>
      <c r="J1823" s="16"/>
      <c r="K1823" s="16"/>
      <c r="L1823" s="16"/>
      <c r="M1823" s="16"/>
      <c r="N1823" s="16"/>
      <c r="O1823" s="84"/>
      <c r="P1823" s="54"/>
      <c r="Q1823" s="54"/>
      <c r="R1823" s="55"/>
      <c r="S1823" s="55"/>
      <c r="T1823" s="32"/>
      <c r="U1823" s="32"/>
      <c r="V1823" s="32"/>
      <c r="W1823" s="32"/>
      <c r="X1823" s="32"/>
      <c r="Y1823" s="32"/>
      <c r="Z1823" s="32"/>
      <c r="AA1823" s="32"/>
      <c r="AB1823" s="32"/>
      <c r="AC1823" s="32"/>
    </row>
    <row r="1824">
      <c r="A1824" s="32"/>
      <c r="B1824" s="16"/>
      <c r="C1824" s="16"/>
      <c r="D1824" s="16"/>
      <c r="E1824" s="16"/>
      <c r="F1824" s="16"/>
      <c r="G1824" s="16"/>
      <c r="H1824" s="16"/>
      <c r="I1824" s="16"/>
      <c r="J1824" s="16"/>
      <c r="K1824" s="16"/>
      <c r="L1824" s="16"/>
      <c r="M1824" s="16"/>
      <c r="N1824" s="16"/>
      <c r="O1824" s="84"/>
      <c r="P1824" s="54"/>
      <c r="Q1824" s="54"/>
      <c r="R1824" s="55"/>
      <c r="S1824" s="55"/>
      <c r="T1824" s="32"/>
      <c r="U1824" s="32"/>
      <c r="V1824" s="32"/>
      <c r="W1824" s="32"/>
      <c r="X1824" s="32"/>
      <c r="Y1824" s="32"/>
      <c r="Z1824" s="32"/>
      <c r="AA1824" s="32"/>
      <c r="AB1824" s="32"/>
      <c r="AC1824" s="32"/>
    </row>
    <row r="1825">
      <c r="A1825" s="32"/>
      <c r="B1825" s="16"/>
      <c r="C1825" s="16"/>
      <c r="D1825" s="16"/>
      <c r="E1825" s="16"/>
      <c r="F1825" s="16"/>
      <c r="G1825" s="16"/>
      <c r="H1825" s="16"/>
      <c r="I1825" s="16"/>
      <c r="J1825" s="16"/>
      <c r="K1825" s="16"/>
      <c r="L1825" s="16"/>
      <c r="M1825" s="16"/>
      <c r="N1825" s="16"/>
      <c r="O1825" s="84"/>
      <c r="P1825" s="54"/>
      <c r="Q1825" s="54"/>
      <c r="R1825" s="55"/>
      <c r="S1825" s="55"/>
      <c r="T1825" s="32"/>
      <c r="U1825" s="32"/>
      <c r="V1825" s="32"/>
      <c r="W1825" s="32"/>
      <c r="X1825" s="32"/>
      <c r="Y1825" s="32"/>
      <c r="Z1825" s="32"/>
      <c r="AA1825" s="32"/>
      <c r="AB1825" s="32"/>
      <c r="AC1825" s="32"/>
    </row>
    <row r="1826">
      <c r="A1826" s="32"/>
      <c r="B1826" s="16"/>
      <c r="C1826" s="16"/>
      <c r="D1826" s="16"/>
      <c r="E1826" s="16"/>
      <c r="F1826" s="16"/>
      <c r="G1826" s="16"/>
      <c r="H1826" s="16"/>
      <c r="I1826" s="16"/>
      <c r="J1826" s="16"/>
      <c r="K1826" s="16"/>
      <c r="L1826" s="16"/>
      <c r="M1826" s="16"/>
      <c r="N1826" s="16"/>
      <c r="O1826" s="84"/>
      <c r="P1826" s="54"/>
      <c r="Q1826" s="54"/>
      <c r="R1826" s="55"/>
      <c r="S1826" s="55"/>
      <c r="T1826" s="32"/>
      <c r="U1826" s="32"/>
      <c r="V1826" s="32"/>
      <c r="W1826" s="32"/>
      <c r="X1826" s="32"/>
      <c r="Y1826" s="32"/>
      <c r="Z1826" s="32"/>
      <c r="AA1826" s="32"/>
      <c r="AB1826" s="32"/>
      <c r="AC1826" s="32"/>
    </row>
    <row r="1827">
      <c r="A1827" s="32"/>
      <c r="B1827" s="16"/>
      <c r="C1827" s="16"/>
      <c r="D1827" s="16"/>
      <c r="E1827" s="16"/>
      <c r="F1827" s="16"/>
      <c r="G1827" s="16"/>
      <c r="H1827" s="16"/>
      <c r="I1827" s="16"/>
      <c r="J1827" s="16"/>
      <c r="K1827" s="16"/>
      <c r="L1827" s="16"/>
      <c r="M1827" s="16"/>
      <c r="N1827" s="16"/>
      <c r="O1827" s="84"/>
      <c r="P1827" s="54"/>
      <c r="Q1827" s="54"/>
      <c r="R1827" s="55"/>
      <c r="S1827" s="55"/>
      <c r="T1827" s="32"/>
      <c r="U1827" s="32"/>
      <c r="V1827" s="32"/>
      <c r="W1827" s="32"/>
      <c r="X1827" s="32"/>
      <c r="Y1827" s="32"/>
      <c r="Z1827" s="32"/>
      <c r="AA1827" s="32"/>
      <c r="AB1827" s="32"/>
      <c r="AC1827" s="32"/>
    </row>
    <row r="1828">
      <c r="A1828" s="32"/>
      <c r="B1828" s="16"/>
      <c r="C1828" s="16"/>
      <c r="D1828" s="16"/>
      <c r="E1828" s="16"/>
      <c r="F1828" s="16"/>
      <c r="G1828" s="16"/>
      <c r="H1828" s="16"/>
      <c r="I1828" s="16"/>
      <c r="J1828" s="16"/>
      <c r="K1828" s="16"/>
      <c r="L1828" s="16"/>
      <c r="M1828" s="16"/>
      <c r="N1828" s="16"/>
      <c r="O1828" s="84"/>
      <c r="P1828" s="54"/>
      <c r="Q1828" s="54"/>
      <c r="R1828" s="55"/>
      <c r="S1828" s="55"/>
      <c r="T1828" s="32"/>
      <c r="U1828" s="32"/>
      <c r="V1828" s="32"/>
      <c r="W1828" s="32"/>
      <c r="X1828" s="32"/>
      <c r="Y1828" s="32"/>
      <c r="Z1828" s="32"/>
      <c r="AA1828" s="32"/>
      <c r="AB1828" s="32"/>
      <c r="AC1828" s="32"/>
    </row>
    <row r="1829">
      <c r="A1829" s="32"/>
      <c r="B1829" s="16"/>
      <c r="C1829" s="16"/>
      <c r="D1829" s="16"/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  <c r="O1829" s="84"/>
      <c r="P1829" s="54"/>
      <c r="Q1829" s="54"/>
      <c r="R1829" s="55"/>
      <c r="S1829" s="55"/>
      <c r="T1829" s="32"/>
      <c r="U1829" s="32"/>
      <c r="V1829" s="32"/>
      <c r="W1829" s="32"/>
      <c r="X1829" s="32"/>
      <c r="Y1829" s="32"/>
      <c r="Z1829" s="32"/>
      <c r="AA1829" s="32"/>
      <c r="AB1829" s="32"/>
      <c r="AC1829" s="32"/>
    </row>
    <row r="1830">
      <c r="A1830" s="32"/>
      <c r="B1830" s="16"/>
      <c r="C1830" s="16"/>
      <c r="D1830" s="16"/>
      <c r="E1830" s="16"/>
      <c r="F1830" s="16"/>
      <c r="G1830" s="16"/>
      <c r="H1830" s="16"/>
      <c r="I1830" s="16"/>
      <c r="J1830" s="16"/>
      <c r="K1830" s="16"/>
      <c r="L1830" s="16"/>
      <c r="M1830" s="16"/>
      <c r="N1830" s="16"/>
      <c r="O1830" s="84"/>
      <c r="P1830" s="54"/>
      <c r="Q1830" s="54"/>
      <c r="R1830" s="55"/>
      <c r="S1830" s="55"/>
      <c r="T1830" s="32"/>
      <c r="U1830" s="32"/>
      <c r="V1830" s="32"/>
      <c r="W1830" s="32"/>
      <c r="X1830" s="32"/>
      <c r="Y1830" s="32"/>
      <c r="Z1830" s="32"/>
      <c r="AA1830" s="32"/>
      <c r="AB1830" s="32"/>
      <c r="AC1830" s="32"/>
    </row>
    <row r="1831">
      <c r="A1831" s="32"/>
      <c r="B1831" s="16"/>
      <c r="C1831" s="16"/>
      <c r="D1831" s="16"/>
      <c r="E1831" s="16"/>
      <c r="F1831" s="16"/>
      <c r="G1831" s="16"/>
      <c r="H1831" s="16"/>
      <c r="I1831" s="16"/>
      <c r="J1831" s="16"/>
      <c r="K1831" s="16"/>
      <c r="L1831" s="16"/>
      <c r="M1831" s="16"/>
      <c r="N1831" s="16"/>
      <c r="O1831" s="84"/>
      <c r="P1831" s="54"/>
      <c r="Q1831" s="54"/>
      <c r="R1831" s="55"/>
      <c r="S1831" s="55"/>
      <c r="T1831" s="32"/>
      <c r="U1831" s="32"/>
      <c r="V1831" s="32"/>
      <c r="W1831" s="32"/>
      <c r="X1831" s="32"/>
      <c r="Y1831" s="32"/>
      <c r="Z1831" s="32"/>
      <c r="AA1831" s="32"/>
      <c r="AB1831" s="32"/>
      <c r="AC1831" s="32"/>
    </row>
    <row r="1832">
      <c r="A1832" s="32"/>
      <c r="B1832" s="16"/>
      <c r="C1832" s="16"/>
      <c r="D1832" s="16"/>
      <c r="E1832" s="16"/>
      <c r="F1832" s="16"/>
      <c r="G1832" s="16"/>
      <c r="H1832" s="16"/>
      <c r="I1832" s="16"/>
      <c r="J1832" s="16"/>
      <c r="K1832" s="16"/>
      <c r="L1832" s="16"/>
      <c r="M1832" s="16"/>
      <c r="N1832" s="16"/>
      <c r="O1832" s="84"/>
      <c r="P1832" s="54"/>
      <c r="Q1832" s="54"/>
      <c r="R1832" s="55"/>
      <c r="S1832" s="55"/>
      <c r="T1832" s="32"/>
      <c r="U1832" s="32"/>
      <c r="V1832" s="32"/>
      <c r="W1832" s="32"/>
      <c r="X1832" s="32"/>
      <c r="Y1832" s="32"/>
      <c r="Z1832" s="32"/>
      <c r="AA1832" s="32"/>
      <c r="AB1832" s="32"/>
      <c r="AC1832" s="32"/>
    </row>
    <row r="1833">
      <c r="A1833" s="32"/>
      <c r="B1833" s="16"/>
      <c r="C1833" s="16"/>
      <c r="D1833" s="16"/>
      <c r="E1833" s="16"/>
      <c r="F1833" s="16"/>
      <c r="G1833" s="16"/>
      <c r="H1833" s="16"/>
      <c r="I1833" s="16"/>
      <c r="J1833" s="16"/>
      <c r="K1833" s="16"/>
      <c r="L1833" s="16"/>
      <c r="M1833" s="16"/>
      <c r="N1833" s="16"/>
      <c r="O1833" s="84"/>
      <c r="P1833" s="54"/>
      <c r="Q1833" s="54"/>
      <c r="R1833" s="55"/>
      <c r="S1833" s="55"/>
      <c r="T1833" s="32"/>
      <c r="U1833" s="32"/>
      <c r="V1833" s="32"/>
      <c r="W1833" s="32"/>
      <c r="X1833" s="32"/>
      <c r="Y1833" s="32"/>
      <c r="Z1833" s="32"/>
      <c r="AA1833" s="32"/>
      <c r="AB1833" s="32"/>
      <c r="AC1833" s="32"/>
    </row>
    <row r="1834">
      <c r="A1834" s="32"/>
      <c r="B1834" s="16"/>
      <c r="C1834" s="16"/>
      <c r="D1834" s="16"/>
      <c r="E1834" s="16"/>
      <c r="F1834" s="16"/>
      <c r="G1834" s="16"/>
      <c r="H1834" s="16"/>
      <c r="I1834" s="16"/>
      <c r="J1834" s="16"/>
      <c r="K1834" s="16"/>
      <c r="L1834" s="16"/>
      <c r="M1834" s="16"/>
      <c r="N1834" s="16"/>
      <c r="O1834" s="84"/>
      <c r="P1834" s="54"/>
      <c r="Q1834" s="54"/>
      <c r="R1834" s="55"/>
      <c r="S1834" s="55"/>
      <c r="T1834" s="32"/>
      <c r="U1834" s="32"/>
      <c r="V1834" s="32"/>
      <c r="W1834" s="32"/>
      <c r="X1834" s="32"/>
      <c r="Y1834" s="32"/>
      <c r="Z1834" s="32"/>
      <c r="AA1834" s="32"/>
      <c r="AB1834" s="32"/>
      <c r="AC1834" s="32"/>
    </row>
    <row r="1835">
      <c r="A1835" s="32"/>
      <c r="B1835" s="16"/>
      <c r="C1835" s="16"/>
      <c r="D1835" s="16"/>
      <c r="E1835" s="16"/>
      <c r="F1835" s="16"/>
      <c r="G1835" s="16"/>
      <c r="H1835" s="16"/>
      <c r="I1835" s="16"/>
      <c r="J1835" s="16"/>
      <c r="K1835" s="16"/>
      <c r="L1835" s="16"/>
      <c r="M1835" s="16"/>
      <c r="N1835" s="16"/>
      <c r="O1835" s="84"/>
      <c r="P1835" s="54"/>
      <c r="Q1835" s="54"/>
      <c r="R1835" s="55"/>
      <c r="S1835" s="55"/>
      <c r="T1835" s="32"/>
      <c r="U1835" s="32"/>
      <c r="V1835" s="32"/>
      <c r="W1835" s="32"/>
      <c r="X1835" s="32"/>
      <c r="Y1835" s="32"/>
      <c r="Z1835" s="32"/>
      <c r="AA1835" s="32"/>
      <c r="AB1835" s="32"/>
      <c r="AC1835" s="32"/>
    </row>
    <row r="1836">
      <c r="A1836" s="32"/>
      <c r="B1836" s="16"/>
      <c r="C1836" s="16"/>
      <c r="D1836" s="16"/>
      <c r="E1836" s="16"/>
      <c r="F1836" s="16"/>
      <c r="G1836" s="16"/>
      <c r="H1836" s="16"/>
      <c r="I1836" s="16"/>
      <c r="J1836" s="16"/>
      <c r="K1836" s="16"/>
      <c r="L1836" s="16"/>
      <c r="M1836" s="16"/>
      <c r="N1836" s="16"/>
      <c r="O1836" s="84"/>
      <c r="P1836" s="54"/>
      <c r="Q1836" s="54"/>
      <c r="R1836" s="55"/>
      <c r="S1836" s="55"/>
      <c r="T1836" s="32"/>
      <c r="U1836" s="32"/>
      <c r="V1836" s="32"/>
      <c r="W1836" s="32"/>
      <c r="X1836" s="32"/>
      <c r="Y1836" s="32"/>
      <c r="Z1836" s="32"/>
      <c r="AA1836" s="32"/>
      <c r="AB1836" s="32"/>
      <c r="AC1836" s="32"/>
    </row>
    <row r="1837">
      <c r="A1837" s="32"/>
      <c r="B1837" s="16"/>
      <c r="C1837" s="16"/>
      <c r="D1837" s="16"/>
      <c r="E1837" s="16"/>
      <c r="F1837" s="16"/>
      <c r="G1837" s="16"/>
      <c r="H1837" s="16"/>
      <c r="I1837" s="16"/>
      <c r="J1837" s="16"/>
      <c r="K1837" s="16"/>
      <c r="L1837" s="16"/>
      <c r="M1837" s="16"/>
      <c r="N1837" s="16"/>
      <c r="O1837" s="84"/>
      <c r="P1837" s="54"/>
      <c r="Q1837" s="54"/>
      <c r="R1837" s="55"/>
      <c r="S1837" s="55"/>
      <c r="T1837" s="32"/>
      <c r="U1837" s="32"/>
      <c r="V1837" s="32"/>
      <c r="W1837" s="32"/>
      <c r="X1837" s="32"/>
      <c r="Y1837" s="32"/>
      <c r="Z1837" s="32"/>
      <c r="AA1837" s="32"/>
      <c r="AB1837" s="32"/>
      <c r="AC1837" s="32"/>
    </row>
    <row r="1838">
      <c r="A1838" s="32"/>
      <c r="B1838" s="16"/>
      <c r="C1838" s="16"/>
      <c r="D1838" s="16"/>
      <c r="E1838" s="16"/>
      <c r="F1838" s="16"/>
      <c r="G1838" s="16"/>
      <c r="H1838" s="16"/>
      <c r="I1838" s="16"/>
      <c r="J1838" s="16"/>
      <c r="K1838" s="16"/>
      <c r="L1838" s="16"/>
      <c r="M1838" s="16"/>
      <c r="N1838" s="16"/>
      <c r="O1838" s="84"/>
      <c r="P1838" s="54"/>
      <c r="Q1838" s="54"/>
      <c r="R1838" s="55"/>
      <c r="S1838" s="55"/>
      <c r="T1838" s="32"/>
      <c r="U1838" s="32"/>
      <c r="V1838" s="32"/>
      <c r="W1838" s="32"/>
      <c r="X1838" s="32"/>
      <c r="Y1838" s="32"/>
      <c r="Z1838" s="32"/>
      <c r="AA1838" s="32"/>
      <c r="AB1838" s="32"/>
      <c r="AC1838" s="32"/>
    </row>
    <row r="1839">
      <c r="A1839" s="32"/>
      <c r="B1839" s="16"/>
      <c r="C1839" s="16"/>
      <c r="D1839" s="16"/>
      <c r="E1839" s="16"/>
      <c r="F1839" s="16"/>
      <c r="G1839" s="16"/>
      <c r="H1839" s="16"/>
      <c r="I1839" s="16"/>
      <c r="J1839" s="16"/>
      <c r="K1839" s="16"/>
      <c r="L1839" s="16"/>
      <c r="M1839" s="16"/>
      <c r="N1839" s="16"/>
      <c r="O1839" s="84"/>
      <c r="P1839" s="54"/>
      <c r="Q1839" s="54"/>
      <c r="R1839" s="55"/>
      <c r="S1839" s="55"/>
      <c r="T1839" s="32"/>
      <c r="U1839" s="32"/>
      <c r="V1839" s="32"/>
      <c r="W1839" s="32"/>
      <c r="X1839" s="32"/>
      <c r="Y1839" s="32"/>
      <c r="Z1839" s="32"/>
      <c r="AA1839" s="32"/>
      <c r="AB1839" s="32"/>
      <c r="AC1839" s="32"/>
    </row>
    <row r="1840">
      <c r="A1840" s="32"/>
      <c r="B1840" s="16"/>
      <c r="C1840" s="16"/>
      <c r="D1840" s="16"/>
      <c r="E1840" s="16"/>
      <c r="F1840" s="16"/>
      <c r="G1840" s="16"/>
      <c r="H1840" s="16"/>
      <c r="I1840" s="16"/>
      <c r="J1840" s="16"/>
      <c r="K1840" s="16"/>
      <c r="L1840" s="16"/>
      <c r="M1840" s="16"/>
      <c r="N1840" s="16"/>
      <c r="O1840" s="84"/>
      <c r="P1840" s="54"/>
      <c r="Q1840" s="54"/>
      <c r="R1840" s="55"/>
      <c r="S1840" s="55"/>
      <c r="T1840" s="32"/>
      <c r="U1840" s="32"/>
      <c r="V1840" s="32"/>
      <c r="W1840" s="32"/>
      <c r="X1840" s="32"/>
      <c r="Y1840" s="32"/>
      <c r="Z1840" s="32"/>
      <c r="AA1840" s="32"/>
      <c r="AB1840" s="32"/>
      <c r="AC1840" s="32"/>
    </row>
    <row r="1841">
      <c r="A1841" s="32"/>
      <c r="B1841" s="16"/>
      <c r="C1841" s="16"/>
      <c r="D1841" s="16"/>
      <c r="E1841" s="16"/>
      <c r="F1841" s="16"/>
      <c r="G1841" s="16"/>
      <c r="H1841" s="16"/>
      <c r="I1841" s="16"/>
      <c r="J1841" s="16"/>
      <c r="K1841" s="16"/>
      <c r="L1841" s="16"/>
      <c r="M1841" s="16"/>
      <c r="N1841" s="16"/>
      <c r="O1841" s="84"/>
      <c r="P1841" s="54"/>
      <c r="Q1841" s="54"/>
      <c r="R1841" s="55"/>
      <c r="S1841" s="55"/>
      <c r="T1841" s="32"/>
      <c r="U1841" s="32"/>
      <c r="V1841" s="32"/>
      <c r="W1841" s="32"/>
      <c r="X1841" s="32"/>
      <c r="Y1841" s="32"/>
      <c r="Z1841" s="32"/>
      <c r="AA1841" s="32"/>
      <c r="AB1841" s="32"/>
      <c r="AC1841" s="32"/>
    </row>
    <row r="1842">
      <c r="A1842" s="32"/>
      <c r="B1842" s="16"/>
      <c r="C1842" s="16"/>
      <c r="D1842" s="16"/>
      <c r="E1842" s="16"/>
      <c r="F1842" s="16"/>
      <c r="G1842" s="16"/>
      <c r="H1842" s="16"/>
      <c r="I1842" s="16"/>
      <c r="J1842" s="16"/>
      <c r="K1842" s="16"/>
      <c r="L1842" s="16"/>
      <c r="M1842" s="16"/>
      <c r="N1842" s="16"/>
      <c r="O1842" s="84"/>
      <c r="P1842" s="54"/>
      <c r="Q1842" s="54"/>
      <c r="R1842" s="55"/>
      <c r="S1842" s="55"/>
      <c r="T1842" s="32"/>
      <c r="U1842" s="32"/>
      <c r="V1842" s="32"/>
      <c r="W1842" s="32"/>
      <c r="X1842" s="32"/>
      <c r="Y1842" s="32"/>
      <c r="Z1842" s="32"/>
      <c r="AA1842" s="32"/>
      <c r="AB1842" s="32"/>
      <c r="AC1842" s="32"/>
    </row>
    <row r="1843">
      <c r="A1843" s="32"/>
      <c r="B1843" s="16"/>
      <c r="C1843" s="16"/>
      <c r="D1843" s="16"/>
      <c r="E1843" s="16"/>
      <c r="F1843" s="16"/>
      <c r="G1843" s="16"/>
      <c r="H1843" s="16"/>
      <c r="I1843" s="16"/>
      <c r="J1843" s="16"/>
      <c r="K1843" s="16"/>
      <c r="L1843" s="16"/>
      <c r="M1843" s="16"/>
      <c r="N1843" s="16"/>
      <c r="O1843" s="84"/>
      <c r="P1843" s="54"/>
      <c r="Q1843" s="54"/>
      <c r="R1843" s="55"/>
      <c r="S1843" s="55"/>
      <c r="T1843" s="32"/>
      <c r="U1843" s="32"/>
      <c r="V1843" s="32"/>
      <c r="W1843" s="32"/>
      <c r="X1843" s="32"/>
      <c r="Y1843" s="32"/>
      <c r="Z1843" s="32"/>
      <c r="AA1843" s="32"/>
      <c r="AB1843" s="32"/>
      <c r="AC1843" s="32"/>
    </row>
    <row r="1844">
      <c r="A1844" s="32"/>
      <c r="B1844" s="16"/>
      <c r="C1844" s="16"/>
      <c r="D1844" s="16"/>
      <c r="E1844" s="16"/>
      <c r="F1844" s="16"/>
      <c r="G1844" s="16"/>
      <c r="H1844" s="16"/>
      <c r="I1844" s="16"/>
      <c r="J1844" s="16"/>
      <c r="K1844" s="16"/>
      <c r="L1844" s="16"/>
      <c r="M1844" s="16"/>
      <c r="N1844" s="16"/>
      <c r="O1844" s="84"/>
      <c r="P1844" s="54"/>
      <c r="Q1844" s="54"/>
      <c r="R1844" s="55"/>
      <c r="S1844" s="55"/>
      <c r="T1844" s="32"/>
      <c r="U1844" s="32"/>
      <c r="V1844" s="32"/>
      <c r="W1844" s="32"/>
      <c r="X1844" s="32"/>
      <c r="Y1844" s="32"/>
      <c r="Z1844" s="32"/>
      <c r="AA1844" s="32"/>
      <c r="AB1844" s="32"/>
      <c r="AC1844" s="32"/>
    </row>
    <row r="1845">
      <c r="A1845" s="32"/>
      <c r="B1845" s="16"/>
      <c r="C1845" s="16"/>
      <c r="D1845" s="16"/>
      <c r="E1845" s="16"/>
      <c r="F1845" s="16"/>
      <c r="G1845" s="16"/>
      <c r="H1845" s="16"/>
      <c r="I1845" s="16"/>
      <c r="J1845" s="16"/>
      <c r="K1845" s="16"/>
      <c r="L1845" s="16"/>
      <c r="M1845" s="16"/>
      <c r="N1845" s="16"/>
      <c r="O1845" s="84"/>
      <c r="P1845" s="54"/>
      <c r="Q1845" s="54"/>
      <c r="R1845" s="55"/>
      <c r="S1845" s="55"/>
      <c r="T1845" s="32"/>
      <c r="U1845" s="32"/>
      <c r="V1845" s="32"/>
      <c r="W1845" s="32"/>
      <c r="X1845" s="32"/>
      <c r="Y1845" s="32"/>
      <c r="Z1845" s="32"/>
      <c r="AA1845" s="32"/>
      <c r="AB1845" s="32"/>
      <c r="AC1845" s="32"/>
    </row>
    <row r="1846">
      <c r="A1846" s="32"/>
      <c r="B1846" s="16"/>
      <c r="C1846" s="16"/>
      <c r="D1846" s="16"/>
      <c r="E1846" s="16"/>
      <c r="F1846" s="16"/>
      <c r="G1846" s="16"/>
      <c r="H1846" s="16"/>
      <c r="I1846" s="16"/>
      <c r="J1846" s="16"/>
      <c r="K1846" s="16"/>
      <c r="L1846" s="16"/>
      <c r="M1846" s="16"/>
      <c r="N1846" s="16"/>
      <c r="O1846" s="84"/>
      <c r="P1846" s="54"/>
      <c r="Q1846" s="54"/>
      <c r="R1846" s="55"/>
      <c r="S1846" s="55"/>
      <c r="T1846" s="32"/>
      <c r="U1846" s="32"/>
      <c r="V1846" s="32"/>
      <c r="W1846" s="32"/>
      <c r="X1846" s="32"/>
      <c r="Y1846" s="32"/>
      <c r="Z1846" s="32"/>
      <c r="AA1846" s="32"/>
      <c r="AB1846" s="32"/>
      <c r="AC1846" s="32"/>
    </row>
    <row r="1847">
      <c r="A1847" s="32"/>
      <c r="B1847" s="16"/>
      <c r="C1847" s="16"/>
      <c r="D1847" s="16"/>
      <c r="E1847" s="16"/>
      <c r="F1847" s="16"/>
      <c r="G1847" s="16"/>
      <c r="H1847" s="16"/>
      <c r="I1847" s="16"/>
      <c r="J1847" s="16"/>
      <c r="K1847" s="16"/>
      <c r="L1847" s="16"/>
      <c r="M1847" s="16"/>
      <c r="N1847" s="16"/>
      <c r="O1847" s="84"/>
      <c r="P1847" s="54"/>
      <c r="Q1847" s="54"/>
      <c r="R1847" s="55"/>
      <c r="S1847" s="55"/>
      <c r="T1847" s="32"/>
      <c r="U1847" s="32"/>
      <c r="V1847" s="32"/>
      <c r="W1847" s="32"/>
      <c r="X1847" s="32"/>
      <c r="Y1847" s="32"/>
      <c r="Z1847" s="32"/>
      <c r="AA1847" s="32"/>
      <c r="AB1847" s="32"/>
      <c r="AC1847" s="32"/>
    </row>
    <row r="1848">
      <c r="A1848" s="32"/>
      <c r="B1848" s="16"/>
      <c r="C1848" s="16"/>
      <c r="D1848" s="16"/>
      <c r="E1848" s="16"/>
      <c r="F1848" s="16"/>
      <c r="G1848" s="16"/>
      <c r="H1848" s="16"/>
      <c r="I1848" s="16"/>
      <c r="J1848" s="16"/>
      <c r="K1848" s="16"/>
      <c r="L1848" s="16"/>
      <c r="M1848" s="16"/>
      <c r="N1848" s="16"/>
      <c r="O1848" s="84"/>
      <c r="P1848" s="54"/>
      <c r="Q1848" s="54"/>
      <c r="R1848" s="55"/>
      <c r="S1848" s="55"/>
      <c r="T1848" s="32"/>
      <c r="U1848" s="32"/>
      <c r="V1848" s="32"/>
      <c r="W1848" s="32"/>
      <c r="X1848" s="32"/>
      <c r="Y1848" s="32"/>
      <c r="Z1848" s="32"/>
      <c r="AA1848" s="32"/>
      <c r="AB1848" s="32"/>
      <c r="AC1848" s="32"/>
    </row>
    <row r="1849">
      <c r="A1849" s="32"/>
      <c r="B1849" s="16"/>
      <c r="C1849" s="16"/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84"/>
      <c r="P1849" s="54"/>
      <c r="Q1849" s="54"/>
      <c r="R1849" s="55"/>
      <c r="S1849" s="55"/>
      <c r="T1849" s="32"/>
      <c r="U1849" s="32"/>
      <c r="V1849" s="32"/>
      <c r="W1849" s="32"/>
      <c r="X1849" s="32"/>
      <c r="Y1849" s="32"/>
      <c r="Z1849" s="32"/>
      <c r="AA1849" s="32"/>
      <c r="AB1849" s="32"/>
      <c r="AC1849" s="32"/>
    </row>
    <row r="1850">
      <c r="A1850" s="32"/>
      <c r="B1850" s="16"/>
      <c r="C1850" s="16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  <c r="O1850" s="84"/>
      <c r="P1850" s="54"/>
      <c r="Q1850" s="54"/>
      <c r="R1850" s="55"/>
      <c r="S1850" s="55"/>
      <c r="T1850" s="32"/>
      <c r="U1850" s="32"/>
      <c r="V1850" s="32"/>
      <c r="W1850" s="32"/>
      <c r="X1850" s="32"/>
      <c r="Y1850" s="32"/>
      <c r="Z1850" s="32"/>
      <c r="AA1850" s="32"/>
      <c r="AB1850" s="32"/>
      <c r="AC1850" s="32"/>
    </row>
    <row r="1851">
      <c r="A1851" s="32"/>
      <c r="B1851" s="16"/>
      <c r="C1851" s="16"/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84"/>
      <c r="P1851" s="54"/>
      <c r="Q1851" s="54"/>
      <c r="R1851" s="55"/>
      <c r="S1851" s="55"/>
      <c r="T1851" s="32"/>
      <c r="U1851" s="32"/>
      <c r="V1851" s="32"/>
      <c r="W1851" s="32"/>
      <c r="X1851" s="32"/>
      <c r="Y1851" s="32"/>
      <c r="Z1851" s="32"/>
      <c r="AA1851" s="32"/>
      <c r="AB1851" s="32"/>
      <c r="AC1851" s="32"/>
    </row>
    <row r="1852">
      <c r="A1852" s="32"/>
      <c r="B1852" s="16"/>
      <c r="C1852" s="16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84"/>
      <c r="P1852" s="54"/>
      <c r="Q1852" s="54"/>
      <c r="R1852" s="55"/>
      <c r="S1852" s="55"/>
      <c r="T1852" s="32"/>
      <c r="U1852" s="32"/>
      <c r="V1852" s="32"/>
      <c r="W1852" s="32"/>
      <c r="X1852" s="32"/>
      <c r="Y1852" s="32"/>
      <c r="Z1852" s="32"/>
      <c r="AA1852" s="32"/>
      <c r="AB1852" s="32"/>
      <c r="AC1852" s="32"/>
    </row>
    <row r="1853">
      <c r="A1853" s="32"/>
      <c r="B1853" s="16"/>
      <c r="C1853" s="16"/>
      <c r="D1853" s="16"/>
      <c r="E1853" s="16"/>
      <c r="F1853" s="16"/>
      <c r="G1853" s="16"/>
      <c r="H1853" s="16"/>
      <c r="I1853" s="16"/>
      <c r="J1853" s="16"/>
      <c r="K1853" s="16"/>
      <c r="L1853" s="16"/>
      <c r="M1853" s="16"/>
      <c r="N1853" s="16"/>
      <c r="O1853" s="84"/>
      <c r="P1853" s="54"/>
      <c r="Q1853" s="54"/>
      <c r="R1853" s="55"/>
      <c r="S1853" s="55"/>
      <c r="T1853" s="32"/>
      <c r="U1853" s="32"/>
      <c r="V1853" s="32"/>
      <c r="W1853" s="32"/>
      <c r="X1853" s="32"/>
      <c r="Y1853" s="32"/>
      <c r="Z1853" s="32"/>
      <c r="AA1853" s="32"/>
      <c r="AB1853" s="32"/>
      <c r="AC1853" s="32"/>
    </row>
    <row r="1854">
      <c r="A1854" s="32"/>
      <c r="B1854" s="16"/>
      <c r="C1854" s="16"/>
      <c r="D1854" s="16"/>
      <c r="E1854" s="16"/>
      <c r="F1854" s="16"/>
      <c r="G1854" s="16"/>
      <c r="H1854" s="16"/>
      <c r="I1854" s="16"/>
      <c r="J1854" s="16"/>
      <c r="K1854" s="16"/>
      <c r="L1854" s="16"/>
      <c r="M1854" s="16"/>
      <c r="N1854" s="16"/>
      <c r="O1854" s="84"/>
      <c r="P1854" s="54"/>
      <c r="Q1854" s="54"/>
      <c r="R1854" s="55"/>
      <c r="S1854" s="55"/>
      <c r="T1854" s="32"/>
      <c r="U1854" s="32"/>
      <c r="V1854" s="32"/>
      <c r="W1854" s="32"/>
      <c r="X1854" s="32"/>
      <c r="Y1854" s="32"/>
      <c r="Z1854" s="32"/>
      <c r="AA1854" s="32"/>
      <c r="AB1854" s="32"/>
      <c r="AC1854" s="32"/>
    </row>
    <row r="1855">
      <c r="A1855" s="32"/>
      <c r="B1855" s="16"/>
      <c r="C1855" s="16"/>
      <c r="D1855" s="16"/>
      <c r="E1855" s="16"/>
      <c r="F1855" s="16"/>
      <c r="G1855" s="16"/>
      <c r="H1855" s="16"/>
      <c r="I1855" s="16"/>
      <c r="J1855" s="16"/>
      <c r="K1855" s="16"/>
      <c r="L1855" s="16"/>
      <c r="M1855" s="16"/>
      <c r="N1855" s="16"/>
      <c r="O1855" s="84"/>
      <c r="P1855" s="54"/>
      <c r="Q1855" s="54"/>
      <c r="R1855" s="55"/>
      <c r="S1855" s="55"/>
      <c r="T1855" s="32"/>
      <c r="U1855" s="32"/>
      <c r="V1855" s="32"/>
      <c r="W1855" s="32"/>
      <c r="X1855" s="32"/>
      <c r="Y1855" s="32"/>
      <c r="Z1855" s="32"/>
      <c r="AA1855" s="32"/>
      <c r="AB1855" s="32"/>
      <c r="AC1855" s="32"/>
    </row>
    <row r="1856">
      <c r="A1856" s="32"/>
      <c r="B1856" s="16"/>
      <c r="C1856" s="16"/>
      <c r="D1856" s="16"/>
      <c r="E1856" s="16"/>
      <c r="F1856" s="16"/>
      <c r="G1856" s="16"/>
      <c r="H1856" s="16"/>
      <c r="I1856" s="16"/>
      <c r="J1856" s="16"/>
      <c r="K1856" s="16"/>
      <c r="L1856" s="16"/>
      <c r="M1856" s="16"/>
      <c r="N1856" s="16"/>
      <c r="O1856" s="84"/>
      <c r="P1856" s="54"/>
      <c r="Q1856" s="54"/>
      <c r="R1856" s="55"/>
      <c r="S1856" s="55"/>
      <c r="T1856" s="32"/>
      <c r="U1856" s="32"/>
      <c r="V1856" s="32"/>
      <c r="W1856" s="32"/>
      <c r="X1856" s="32"/>
      <c r="Y1856" s="32"/>
      <c r="Z1856" s="32"/>
      <c r="AA1856" s="32"/>
      <c r="AB1856" s="32"/>
      <c r="AC1856" s="32"/>
    </row>
    <row r="1857">
      <c r="A1857" s="32"/>
      <c r="B1857" s="16"/>
      <c r="C1857" s="16"/>
      <c r="D1857" s="16"/>
      <c r="E1857" s="16"/>
      <c r="F1857" s="16"/>
      <c r="G1857" s="16"/>
      <c r="H1857" s="16"/>
      <c r="I1857" s="16"/>
      <c r="J1857" s="16"/>
      <c r="K1857" s="16"/>
      <c r="L1857" s="16"/>
      <c r="M1857" s="16"/>
      <c r="N1857" s="16"/>
      <c r="O1857" s="84"/>
      <c r="P1857" s="54"/>
      <c r="Q1857" s="54"/>
      <c r="R1857" s="55"/>
      <c r="S1857" s="55"/>
      <c r="T1857" s="32"/>
      <c r="U1857" s="32"/>
      <c r="V1857" s="32"/>
      <c r="W1857" s="32"/>
      <c r="X1857" s="32"/>
      <c r="Y1857" s="32"/>
      <c r="Z1857" s="32"/>
      <c r="AA1857" s="32"/>
      <c r="AB1857" s="32"/>
      <c r="AC1857" s="32"/>
    </row>
    <row r="1858">
      <c r="A1858" s="32"/>
      <c r="B1858" s="16"/>
      <c r="C1858" s="16"/>
      <c r="D1858" s="16"/>
      <c r="E1858" s="16"/>
      <c r="F1858" s="16"/>
      <c r="G1858" s="16"/>
      <c r="H1858" s="16"/>
      <c r="I1858" s="16"/>
      <c r="J1858" s="16"/>
      <c r="K1858" s="16"/>
      <c r="L1858" s="16"/>
      <c r="M1858" s="16"/>
      <c r="N1858" s="16"/>
      <c r="O1858" s="84"/>
      <c r="P1858" s="54"/>
      <c r="Q1858" s="54"/>
      <c r="R1858" s="55"/>
      <c r="S1858" s="55"/>
      <c r="T1858" s="32"/>
      <c r="U1858" s="32"/>
      <c r="V1858" s="32"/>
      <c r="W1858" s="32"/>
      <c r="X1858" s="32"/>
      <c r="Y1858" s="32"/>
      <c r="Z1858" s="32"/>
      <c r="AA1858" s="32"/>
      <c r="AB1858" s="32"/>
      <c r="AC1858" s="32"/>
    </row>
    <row r="1859">
      <c r="A1859" s="32"/>
      <c r="B1859" s="16"/>
      <c r="C1859" s="16"/>
      <c r="D1859" s="16"/>
      <c r="E1859" s="16"/>
      <c r="F1859" s="16"/>
      <c r="G1859" s="16"/>
      <c r="H1859" s="16"/>
      <c r="I1859" s="16"/>
      <c r="J1859" s="16"/>
      <c r="K1859" s="16"/>
      <c r="L1859" s="16"/>
      <c r="M1859" s="16"/>
      <c r="N1859" s="16"/>
      <c r="O1859" s="84"/>
      <c r="P1859" s="54"/>
      <c r="Q1859" s="54"/>
      <c r="R1859" s="55"/>
      <c r="S1859" s="55"/>
      <c r="T1859" s="32"/>
      <c r="U1859" s="32"/>
      <c r="V1859" s="32"/>
      <c r="W1859" s="32"/>
      <c r="X1859" s="32"/>
      <c r="Y1859" s="32"/>
      <c r="Z1859" s="32"/>
      <c r="AA1859" s="32"/>
      <c r="AB1859" s="32"/>
      <c r="AC1859" s="32"/>
    </row>
    <row r="1860">
      <c r="A1860" s="32"/>
      <c r="B1860" s="16"/>
      <c r="C1860" s="16"/>
      <c r="D1860" s="16"/>
      <c r="E1860" s="16"/>
      <c r="F1860" s="16"/>
      <c r="G1860" s="16"/>
      <c r="H1860" s="16"/>
      <c r="I1860" s="16"/>
      <c r="J1860" s="16"/>
      <c r="K1860" s="16"/>
      <c r="L1860" s="16"/>
      <c r="M1860" s="16"/>
      <c r="N1860" s="16"/>
      <c r="O1860" s="84"/>
      <c r="P1860" s="54"/>
      <c r="Q1860" s="54"/>
      <c r="R1860" s="55"/>
      <c r="S1860" s="55"/>
      <c r="T1860" s="32"/>
      <c r="U1860" s="32"/>
      <c r="V1860" s="32"/>
      <c r="W1860" s="32"/>
      <c r="X1860" s="32"/>
      <c r="Y1860" s="32"/>
      <c r="Z1860" s="32"/>
      <c r="AA1860" s="32"/>
      <c r="AB1860" s="32"/>
      <c r="AC1860" s="32"/>
    </row>
    <row r="1861">
      <c r="A1861" s="32"/>
      <c r="B1861" s="16"/>
      <c r="C1861" s="16"/>
      <c r="D1861" s="16"/>
      <c r="E1861" s="16"/>
      <c r="F1861" s="16"/>
      <c r="G1861" s="16"/>
      <c r="H1861" s="16"/>
      <c r="I1861" s="16"/>
      <c r="J1861" s="16"/>
      <c r="K1861" s="16"/>
      <c r="L1861" s="16"/>
      <c r="M1861" s="16"/>
      <c r="N1861" s="16"/>
      <c r="O1861" s="84"/>
      <c r="P1861" s="54"/>
      <c r="Q1861" s="54"/>
      <c r="R1861" s="55"/>
      <c r="S1861" s="55"/>
      <c r="T1861" s="32"/>
      <c r="U1861" s="32"/>
      <c r="V1861" s="32"/>
      <c r="W1861" s="32"/>
      <c r="X1861" s="32"/>
      <c r="Y1861" s="32"/>
      <c r="Z1861" s="32"/>
      <c r="AA1861" s="32"/>
      <c r="AB1861" s="32"/>
      <c r="AC1861" s="32"/>
    </row>
    <row r="1862">
      <c r="A1862" s="32"/>
      <c r="B1862" s="16"/>
      <c r="C1862" s="16"/>
      <c r="D1862" s="16"/>
      <c r="E1862" s="16"/>
      <c r="F1862" s="16"/>
      <c r="G1862" s="16"/>
      <c r="H1862" s="16"/>
      <c r="I1862" s="16"/>
      <c r="J1862" s="16"/>
      <c r="K1862" s="16"/>
      <c r="L1862" s="16"/>
      <c r="M1862" s="16"/>
      <c r="N1862" s="16"/>
      <c r="O1862" s="84"/>
      <c r="P1862" s="54"/>
      <c r="Q1862" s="54"/>
      <c r="R1862" s="55"/>
      <c r="S1862" s="55"/>
      <c r="T1862" s="32"/>
      <c r="U1862" s="32"/>
      <c r="V1862" s="32"/>
      <c r="W1862" s="32"/>
      <c r="X1862" s="32"/>
      <c r="Y1862" s="32"/>
      <c r="Z1862" s="32"/>
      <c r="AA1862" s="32"/>
      <c r="AB1862" s="32"/>
      <c r="AC1862" s="32"/>
    </row>
    <row r="1863">
      <c r="A1863" s="32"/>
      <c r="B1863" s="16"/>
      <c r="C1863" s="16"/>
      <c r="D1863" s="16"/>
      <c r="E1863" s="16"/>
      <c r="F1863" s="16"/>
      <c r="G1863" s="16"/>
      <c r="H1863" s="16"/>
      <c r="I1863" s="16"/>
      <c r="J1863" s="16"/>
      <c r="K1863" s="16"/>
      <c r="L1863" s="16"/>
      <c r="M1863" s="16"/>
      <c r="N1863" s="16"/>
      <c r="O1863" s="84"/>
      <c r="P1863" s="54"/>
      <c r="Q1863" s="54"/>
      <c r="R1863" s="55"/>
      <c r="S1863" s="55"/>
      <c r="T1863" s="32"/>
      <c r="U1863" s="32"/>
      <c r="V1863" s="32"/>
      <c r="W1863" s="32"/>
      <c r="X1863" s="32"/>
      <c r="Y1863" s="32"/>
      <c r="Z1863" s="32"/>
      <c r="AA1863" s="32"/>
      <c r="AB1863" s="32"/>
      <c r="AC1863" s="32"/>
    </row>
    <row r="1864">
      <c r="A1864" s="32"/>
      <c r="B1864" s="16"/>
      <c r="C1864" s="16"/>
      <c r="D1864" s="16"/>
      <c r="E1864" s="16"/>
      <c r="F1864" s="16"/>
      <c r="G1864" s="16"/>
      <c r="H1864" s="16"/>
      <c r="I1864" s="16"/>
      <c r="J1864" s="16"/>
      <c r="K1864" s="16"/>
      <c r="L1864" s="16"/>
      <c r="M1864" s="16"/>
      <c r="N1864" s="16"/>
      <c r="O1864" s="84"/>
      <c r="P1864" s="54"/>
      <c r="Q1864" s="54"/>
      <c r="R1864" s="55"/>
      <c r="S1864" s="55"/>
      <c r="T1864" s="32"/>
      <c r="U1864" s="32"/>
      <c r="V1864" s="32"/>
      <c r="W1864" s="32"/>
      <c r="X1864" s="32"/>
      <c r="Y1864" s="32"/>
      <c r="Z1864" s="32"/>
      <c r="AA1864" s="32"/>
      <c r="AB1864" s="32"/>
      <c r="AC1864" s="32"/>
    </row>
    <row r="1865">
      <c r="A1865" s="32"/>
      <c r="B1865" s="16"/>
      <c r="C1865" s="16"/>
      <c r="D1865" s="16"/>
      <c r="E1865" s="16"/>
      <c r="F1865" s="16"/>
      <c r="G1865" s="16"/>
      <c r="H1865" s="16"/>
      <c r="I1865" s="16"/>
      <c r="J1865" s="16"/>
      <c r="K1865" s="16"/>
      <c r="L1865" s="16"/>
      <c r="M1865" s="16"/>
      <c r="N1865" s="16"/>
      <c r="O1865" s="84"/>
      <c r="P1865" s="54"/>
      <c r="Q1865" s="54"/>
      <c r="R1865" s="55"/>
      <c r="S1865" s="55"/>
      <c r="T1865" s="32"/>
      <c r="U1865" s="32"/>
      <c r="V1865" s="32"/>
      <c r="W1865" s="32"/>
      <c r="X1865" s="32"/>
      <c r="Y1865" s="32"/>
      <c r="Z1865" s="32"/>
      <c r="AA1865" s="32"/>
      <c r="AB1865" s="32"/>
      <c r="AC1865" s="32"/>
    </row>
    <row r="1866">
      <c r="A1866" s="32"/>
      <c r="B1866" s="16"/>
      <c r="C1866" s="16"/>
      <c r="D1866" s="16"/>
      <c r="E1866" s="16"/>
      <c r="F1866" s="16"/>
      <c r="G1866" s="16"/>
      <c r="H1866" s="16"/>
      <c r="I1866" s="16"/>
      <c r="J1866" s="16"/>
      <c r="K1866" s="16"/>
      <c r="L1866" s="16"/>
      <c r="M1866" s="16"/>
      <c r="N1866" s="16"/>
      <c r="O1866" s="84"/>
      <c r="P1866" s="54"/>
      <c r="Q1866" s="54"/>
      <c r="R1866" s="55"/>
      <c r="S1866" s="55"/>
      <c r="T1866" s="32"/>
      <c r="U1866" s="32"/>
      <c r="V1866" s="32"/>
      <c r="W1866" s="32"/>
      <c r="X1866" s="32"/>
      <c r="Y1866" s="32"/>
      <c r="Z1866" s="32"/>
      <c r="AA1866" s="32"/>
      <c r="AB1866" s="32"/>
      <c r="AC1866" s="32"/>
    </row>
    <row r="1867">
      <c r="A1867" s="32"/>
      <c r="B1867" s="16"/>
      <c r="C1867" s="16"/>
      <c r="D1867" s="16"/>
      <c r="E1867" s="16"/>
      <c r="F1867" s="16"/>
      <c r="G1867" s="16"/>
      <c r="H1867" s="16"/>
      <c r="I1867" s="16"/>
      <c r="J1867" s="16"/>
      <c r="K1867" s="16"/>
      <c r="L1867" s="16"/>
      <c r="M1867" s="16"/>
      <c r="N1867" s="16"/>
      <c r="O1867" s="84"/>
      <c r="P1867" s="54"/>
      <c r="Q1867" s="54"/>
      <c r="R1867" s="55"/>
      <c r="S1867" s="55"/>
      <c r="T1867" s="32"/>
      <c r="U1867" s="32"/>
      <c r="V1867" s="32"/>
      <c r="W1867" s="32"/>
      <c r="X1867" s="32"/>
      <c r="Y1867" s="32"/>
      <c r="Z1867" s="32"/>
      <c r="AA1867" s="32"/>
      <c r="AB1867" s="32"/>
      <c r="AC1867" s="32"/>
    </row>
    <row r="1868">
      <c r="A1868" s="32"/>
      <c r="B1868" s="16"/>
      <c r="C1868" s="16"/>
      <c r="D1868" s="16"/>
      <c r="E1868" s="16"/>
      <c r="F1868" s="16"/>
      <c r="G1868" s="16"/>
      <c r="H1868" s="16"/>
      <c r="I1868" s="16"/>
      <c r="J1868" s="16"/>
      <c r="K1868" s="16"/>
      <c r="L1868" s="16"/>
      <c r="M1868" s="16"/>
      <c r="N1868" s="16"/>
      <c r="O1868" s="84"/>
      <c r="P1868" s="54"/>
      <c r="Q1868" s="54"/>
      <c r="R1868" s="55"/>
      <c r="S1868" s="55"/>
      <c r="T1868" s="32"/>
      <c r="U1868" s="32"/>
      <c r="V1868" s="32"/>
      <c r="W1868" s="32"/>
      <c r="X1868" s="32"/>
      <c r="Y1868" s="32"/>
      <c r="Z1868" s="32"/>
      <c r="AA1868" s="32"/>
      <c r="AB1868" s="32"/>
      <c r="AC1868" s="32"/>
    </row>
    <row r="1869">
      <c r="A1869" s="32"/>
      <c r="B1869" s="16"/>
      <c r="C1869" s="16"/>
      <c r="D1869" s="16"/>
      <c r="E1869" s="16"/>
      <c r="F1869" s="16"/>
      <c r="G1869" s="16"/>
      <c r="H1869" s="16"/>
      <c r="I1869" s="16"/>
      <c r="J1869" s="16"/>
      <c r="K1869" s="16"/>
      <c r="L1869" s="16"/>
      <c r="M1869" s="16"/>
      <c r="N1869" s="16"/>
      <c r="O1869" s="84"/>
      <c r="P1869" s="54"/>
      <c r="Q1869" s="54"/>
      <c r="R1869" s="55"/>
      <c r="S1869" s="55"/>
      <c r="T1869" s="32"/>
      <c r="U1869" s="32"/>
      <c r="V1869" s="32"/>
      <c r="W1869" s="32"/>
      <c r="X1869" s="32"/>
      <c r="Y1869" s="32"/>
      <c r="Z1869" s="32"/>
      <c r="AA1869" s="32"/>
      <c r="AB1869" s="32"/>
      <c r="AC1869" s="32"/>
    </row>
    <row r="1870">
      <c r="A1870" s="32"/>
      <c r="B1870" s="16"/>
      <c r="C1870" s="16"/>
      <c r="D1870" s="16"/>
      <c r="E1870" s="16"/>
      <c r="F1870" s="16"/>
      <c r="G1870" s="16"/>
      <c r="H1870" s="16"/>
      <c r="I1870" s="16"/>
      <c r="J1870" s="16"/>
      <c r="K1870" s="16"/>
      <c r="L1870" s="16"/>
      <c r="M1870" s="16"/>
      <c r="N1870" s="16"/>
      <c r="O1870" s="84"/>
      <c r="P1870" s="54"/>
      <c r="Q1870" s="54"/>
      <c r="R1870" s="55"/>
      <c r="S1870" s="55"/>
      <c r="T1870" s="32"/>
      <c r="U1870" s="32"/>
      <c r="V1870" s="32"/>
      <c r="W1870" s="32"/>
      <c r="X1870" s="32"/>
      <c r="Y1870" s="32"/>
      <c r="Z1870" s="32"/>
      <c r="AA1870" s="32"/>
      <c r="AB1870" s="32"/>
      <c r="AC1870" s="32"/>
    </row>
    <row r="1871">
      <c r="A1871" s="32"/>
      <c r="B1871" s="16"/>
      <c r="C1871" s="16"/>
      <c r="D1871" s="16"/>
      <c r="E1871" s="16"/>
      <c r="F1871" s="16"/>
      <c r="G1871" s="16"/>
      <c r="H1871" s="16"/>
      <c r="I1871" s="16"/>
      <c r="J1871" s="16"/>
      <c r="K1871" s="16"/>
      <c r="L1871" s="16"/>
      <c r="M1871" s="16"/>
      <c r="N1871" s="16"/>
      <c r="O1871" s="84"/>
      <c r="P1871" s="54"/>
      <c r="Q1871" s="54"/>
      <c r="R1871" s="55"/>
      <c r="S1871" s="55"/>
      <c r="T1871" s="32"/>
      <c r="U1871" s="32"/>
      <c r="V1871" s="32"/>
      <c r="W1871" s="32"/>
      <c r="X1871" s="32"/>
      <c r="Y1871" s="32"/>
      <c r="Z1871" s="32"/>
      <c r="AA1871" s="32"/>
      <c r="AB1871" s="32"/>
      <c r="AC1871" s="32"/>
    </row>
    <row r="1872">
      <c r="A1872" s="32"/>
      <c r="B1872" s="16"/>
      <c r="C1872" s="16"/>
      <c r="D1872" s="16"/>
      <c r="E1872" s="16"/>
      <c r="F1872" s="16"/>
      <c r="G1872" s="16"/>
      <c r="H1872" s="16"/>
      <c r="I1872" s="16"/>
      <c r="J1872" s="16"/>
      <c r="K1872" s="16"/>
      <c r="L1872" s="16"/>
      <c r="M1872" s="16"/>
      <c r="N1872" s="16"/>
      <c r="O1872" s="84"/>
      <c r="P1872" s="54"/>
      <c r="Q1872" s="54"/>
      <c r="R1872" s="55"/>
      <c r="S1872" s="55"/>
      <c r="T1872" s="32"/>
      <c r="U1872" s="32"/>
      <c r="V1872" s="32"/>
      <c r="W1872" s="32"/>
      <c r="X1872" s="32"/>
      <c r="Y1872" s="32"/>
      <c r="Z1872" s="32"/>
      <c r="AA1872" s="32"/>
      <c r="AB1872" s="32"/>
      <c r="AC1872" s="32"/>
    </row>
    <row r="1873">
      <c r="A1873" s="32"/>
      <c r="B1873" s="16"/>
      <c r="C1873" s="16"/>
      <c r="D1873" s="16"/>
      <c r="E1873" s="16"/>
      <c r="F1873" s="16"/>
      <c r="G1873" s="16"/>
      <c r="H1873" s="16"/>
      <c r="I1873" s="16"/>
      <c r="J1873" s="16"/>
      <c r="K1873" s="16"/>
      <c r="L1873" s="16"/>
      <c r="M1873" s="16"/>
      <c r="N1873" s="16"/>
      <c r="O1873" s="84"/>
      <c r="P1873" s="54"/>
      <c r="Q1873" s="54"/>
      <c r="R1873" s="55"/>
      <c r="S1873" s="55"/>
      <c r="T1873" s="32"/>
      <c r="U1873" s="32"/>
      <c r="V1873" s="32"/>
      <c r="W1873" s="32"/>
      <c r="X1873" s="32"/>
      <c r="Y1873" s="32"/>
      <c r="Z1873" s="32"/>
      <c r="AA1873" s="32"/>
      <c r="AB1873" s="32"/>
      <c r="AC1873" s="32"/>
    </row>
    <row r="1874">
      <c r="A1874" s="32"/>
      <c r="B1874" s="16"/>
      <c r="C1874" s="16"/>
      <c r="D1874" s="16"/>
      <c r="E1874" s="16"/>
      <c r="F1874" s="16"/>
      <c r="G1874" s="16"/>
      <c r="H1874" s="16"/>
      <c r="I1874" s="16"/>
      <c r="J1874" s="16"/>
      <c r="K1874" s="16"/>
      <c r="L1874" s="16"/>
      <c r="M1874" s="16"/>
      <c r="N1874" s="16"/>
      <c r="O1874" s="84"/>
      <c r="P1874" s="54"/>
      <c r="Q1874" s="54"/>
      <c r="R1874" s="55"/>
      <c r="S1874" s="55"/>
      <c r="T1874" s="32"/>
      <c r="U1874" s="32"/>
      <c r="V1874" s="32"/>
      <c r="W1874" s="32"/>
      <c r="X1874" s="32"/>
      <c r="Y1874" s="32"/>
      <c r="Z1874" s="32"/>
      <c r="AA1874" s="32"/>
      <c r="AB1874" s="32"/>
      <c r="AC1874" s="32"/>
    </row>
    <row r="1875">
      <c r="A1875" s="32"/>
      <c r="B1875" s="16"/>
      <c r="C1875" s="16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84"/>
      <c r="P1875" s="54"/>
      <c r="Q1875" s="54"/>
      <c r="R1875" s="55"/>
      <c r="S1875" s="55"/>
      <c r="T1875" s="32"/>
      <c r="U1875" s="32"/>
      <c r="V1875" s="32"/>
      <c r="W1875" s="32"/>
      <c r="X1875" s="32"/>
      <c r="Y1875" s="32"/>
      <c r="Z1875" s="32"/>
      <c r="AA1875" s="32"/>
      <c r="AB1875" s="32"/>
      <c r="AC1875" s="32"/>
    </row>
    <row r="1876">
      <c r="A1876" s="32"/>
      <c r="B1876" s="16"/>
      <c r="C1876" s="16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84"/>
      <c r="P1876" s="54"/>
      <c r="Q1876" s="54"/>
      <c r="R1876" s="55"/>
      <c r="S1876" s="55"/>
      <c r="T1876" s="32"/>
      <c r="U1876" s="32"/>
      <c r="V1876" s="32"/>
      <c r="W1876" s="32"/>
      <c r="X1876" s="32"/>
      <c r="Y1876" s="32"/>
      <c r="Z1876" s="32"/>
      <c r="AA1876" s="32"/>
      <c r="AB1876" s="32"/>
      <c r="AC1876" s="32"/>
    </row>
    <row r="1877">
      <c r="A1877" s="32"/>
      <c r="B1877" s="16"/>
      <c r="C1877" s="16"/>
      <c r="D1877" s="16"/>
      <c r="E1877" s="16"/>
      <c r="F1877" s="16"/>
      <c r="G1877" s="16"/>
      <c r="H1877" s="16"/>
      <c r="I1877" s="16"/>
      <c r="J1877" s="16"/>
      <c r="K1877" s="16"/>
      <c r="L1877" s="16"/>
      <c r="M1877" s="16"/>
      <c r="N1877" s="16"/>
      <c r="O1877" s="84"/>
      <c r="P1877" s="54"/>
      <c r="Q1877" s="54"/>
      <c r="R1877" s="55"/>
      <c r="S1877" s="55"/>
      <c r="T1877" s="32"/>
      <c r="U1877" s="32"/>
      <c r="V1877" s="32"/>
      <c r="W1877" s="32"/>
      <c r="X1877" s="32"/>
      <c r="Y1877" s="32"/>
      <c r="Z1877" s="32"/>
      <c r="AA1877" s="32"/>
      <c r="AB1877" s="32"/>
      <c r="AC1877" s="32"/>
    </row>
    <row r="1878">
      <c r="A1878" s="32"/>
      <c r="B1878" s="16"/>
      <c r="C1878" s="16"/>
      <c r="D1878" s="16"/>
      <c r="E1878" s="16"/>
      <c r="F1878" s="16"/>
      <c r="G1878" s="16"/>
      <c r="H1878" s="16"/>
      <c r="I1878" s="16"/>
      <c r="J1878" s="16"/>
      <c r="K1878" s="16"/>
      <c r="L1878" s="16"/>
      <c r="M1878" s="16"/>
      <c r="N1878" s="16"/>
      <c r="O1878" s="84"/>
      <c r="P1878" s="54"/>
      <c r="Q1878" s="54"/>
      <c r="R1878" s="55"/>
      <c r="S1878" s="55"/>
      <c r="T1878" s="32"/>
      <c r="U1878" s="32"/>
      <c r="V1878" s="32"/>
      <c r="W1878" s="32"/>
      <c r="X1878" s="32"/>
      <c r="Y1878" s="32"/>
      <c r="Z1878" s="32"/>
      <c r="AA1878" s="32"/>
      <c r="AB1878" s="32"/>
      <c r="AC1878" s="32"/>
    </row>
    <row r="1879">
      <c r="A1879" s="32"/>
      <c r="B1879" s="16"/>
      <c r="C1879" s="16"/>
      <c r="D1879" s="16"/>
      <c r="E1879" s="16"/>
      <c r="F1879" s="16"/>
      <c r="G1879" s="16"/>
      <c r="H1879" s="16"/>
      <c r="I1879" s="16"/>
      <c r="J1879" s="16"/>
      <c r="K1879" s="16"/>
      <c r="L1879" s="16"/>
      <c r="M1879" s="16"/>
      <c r="N1879" s="16"/>
      <c r="O1879" s="84"/>
      <c r="P1879" s="54"/>
      <c r="Q1879" s="54"/>
      <c r="R1879" s="55"/>
      <c r="S1879" s="55"/>
      <c r="T1879" s="32"/>
      <c r="U1879" s="32"/>
      <c r="V1879" s="32"/>
      <c r="W1879" s="32"/>
      <c r="X1879" s="32"/>
      <c r="Y1879" s="32"/>
      <c r="Z1879" s="32"/>
      <c r="AA1879" s="32"/>
      <c r="AB1879" s="32"/>
      <c r="AC1879" s="32"/>
    </row>
    <row r="1880">
      <c r="A1880" s="32"/>
      <c r="B1880" s="16"/>
      <c r="C1880" s="16"/>
      <c r="D1880" s="16"/>
      <c r="E1880" s="16"/>
      <c r="F1880" s="16"/>
      <c r="G1880" s="16"/>
      <c r="H1880" s="16"/>
      <c r="I1880" s="16"/>
      <c r="J1880" s="16"/>
      <c r="K1880" s="16"/>
      <c r="L1880" s="16"/>
      <c r="M1880" s="16"/>
      <c r="N1880" s="16"/>
      <c r="O1880" s="84"/>
      <c r="P1880" s="54"/>
      <c r="Q1880" s="54"/>
      <c r="R1880" s="55"/>
      <c r="S1880" s="55"/>
      <c r="T1880" s="32"/>
      <c r="U1880" s="32"/>
      <c r="V1880" s="32"/>
      <c r="W1880" s="32"/>
      <c r="X1880" s="32"/>
      <c r="Y1880" s="32"/>
      <c r="Z1880" s="32"/>
      <c r="AA1880" s="32"/>
      <c r="AB1880" s="32"/>
      <c r="AC1880" s="32"/>
    </row>
    <row r="1881">
      <c r="A1881" s="32"/>
      <c r="B1881" s="16"/>
      <c r="C1881" s="16"/>
      <c r="D1881" s="16"/>
      <c r="E1881" s="16"/>
      <c r="F1881" s="16"/>
      <c r="G1881" s="16"/>
      <c r="H1881" s="16"/>
      <c r="I1881" s="16"/>
      <c r="J1881" s="16"/>
      <c r="K1881" s="16"/>
      <c r="L1881" s="16"/>
      <c r="M1881" s="16"/>
      <c r="N1881" s="16"/>
      <c r="O1881" s="84"/>
      <c r="P1881" s="54"/>
      <c r="Q1881" s="54"/>
      <c r="R1881" s="55"/>
      <c r="S1881" s="55"/>
      <c r="T1881" s="32"/>
      <c r="U1881" s="32"/>
      <c r="V1881" s="32"/>
      <c r="W1881" s="32"/>
      <c r="X1881" s="32"/>
      <c r="Y1881" s="32"/>
      <c r="Z1881" s="32"/>
      <c r="AA1881" s="32"/>
      <c r="AB1881" s="32"/>
      <c r="AC1881" s="32"/>
    </row>
    <row r="1882">
      <c r="A1882" s="32"/>
      <c r="B1882" s="16"/>
      <c r="C1882" s="16"/>
      <c r="D1882" s="16"/>
      <c r="E1882" s="16"/>
      <c r="F1882" s="16"/>
      <c r="G1882" s="16"/>
      <c r="H1882" s="16"/>
      <c r="I1882" s="16"/>
      <c r="J1882" s="16"/>
      <c r="K1882" s="16"/>
      <c r="L1882" s="16"/>
      <c r="M1882" s="16"/>
      <c r="N1882" s="16"/>
      <c r="O1882" s="84"/>
      <c r="P1882" s="54"/>
      <c r="Q1882" s="54"/>
      <c r="R1882" s="55"/>
      <c r="S1882" s="55"/>
      <c r="T1882" s="32"/>
      <c r="U1882" s="32"/>
      <c r="V1882" s="32"/>
      <c r="W1882" s="32"/>
      <c r="X1882" s="32"/>
      <c r="Y1882" s="32"/>
      <c r="Z1882" s="32"/>
      <c r="AA1882" s="32"/>
      <c r="AB1882" s="32"/>
      <c r="AC1882" s="32"/>
    </row>
    <row r="1883">
      <c r="A1883" s="32"/>
      <c r="B1883" s="16"/>
      <c r="C1883" s="16"/>
      <c r="D1883" s="16"/>
      <c r="E1883" s="16"/>
      <c r="F1883" s="16"/>
      <c r="G1883" s="16"/>
      <c r="H1883" s="16"/>
      <c r="I1883" s="16"/>
      <c r="J1883" s="16"/>
      <c r="K1883" s="16"/>
      <c r="L1883" s="16"/>
      <c r="M1883" s="16"/>
      <c r="N1883" s="16"/>
      <c r="O1883" s="84"/>
      <c r="P1883" s="54"/>
      <c r="Q1883" s="54"/>
      <c r="R1883" s="55"/>
      <c r="S1883" s="55"/>
      <c r="T1883" s="32"/>
      <c r="U1883" s="32"/>
      <c r="V1883" s="32"/>
      <c r="W1883" s="32"/>
      <c r="X1883" s="32"/>
      <c r="Y1883" s="32"/>
      <c r="Z1883" s="32"/>
      <c r="AA1883" s="32"/>
      <c r="AB1883" s="32"/>
      <c r="AC1883" s="32"/>
    </row>
    <row r="1884">
      <c r="A1884" s="32"/>
      <c r="B1884" s="16"/>
      <c r="C1884" s="16"/>
      <c r="D1884" s="16"/>
      <c r="E1884" s="16"/>
      <c r="F1884" s="16"/>
      <c r="G1884" s="16"/>
      <c r="H1884" s="16"/>
      <c r="I1884" s="16"/>
      <c r="J1884" s="16"/>
      <c r="K1884" s="16"/>
      <c r="L1884" s="16"/>
      <c r="M1884" s="16"/>
      <c r="N1884" s="16"/>
      <c r="O1884" s="84"/>
      <c r="P1884" s="54"/>
      <c r="Q1884" s="54"/>
      <c r="R1884" s="55"/>
      <c r="S1884" s="55"/>
      <c r="T1884" s="32"/>
      <c r="U1884" s="32"/>
      <c r="V1884" s="32"/>
      <c r="W1884" s="32"/>
      <c r="X1884" s="32"/>
      <c r="Y1884" s="32"/>
      <c r="Z1884" s="32"/>
      <c r="AA1884" s="32"/>
      <c r="AB1884" s="32"/>
      <c r="AC1884" s="32"/>
    </row>
    <row r="1885">
      <c r="A1885" s="32"/>
      <c r="B1885" s="16"/>
      <c r="C1885" s="16"/>
      <c r="D1885" s="16"/>
      <c r="E1885" s="16"/>
      <c r="F1885" s="16"/>
      <c r="G1885" s="16"/>
      <c r="H1885" s="16"/>
      <c r="I1885" s="16"/>
      <c r="J1885" s="16"/>
      <c r="K1885" s="16"/>
      <c r="L1885" s="16"/>
      <c r="M1885" s="16"/>
      <c r="N1885" s="16"/>
      <c r="O1885" s="84"/>
      <c r="P1885" s="54"/>
      <c r="Q1885" s="54"/>
      <c r="R1885" s="55"/>
      <c r="S1885" s="55"/>
      <c r="T1885" s="32"/>
      <c r="U1885" s="32"/>
      <c r="V1885" s="32"/>
      <c r="W1885" s="32"/>
      <c r="X1885" s="32"/>
      <c r="Y1885" s="32"/>
      <c r="Z1885" s="32"/>
      <c r="AA1885" s="32"/>
      <c r="AB1885" s="32"/>
      <c r="AC1885" s="32"/>
    </row>
    <row r="1886">
      <c r="A1886" s="32"/>
      <c r="B1886" s="16"/>
      <c r="C1886" s="16"/>
      <c r="D1886" s="16"/>
      <c r="E1886" s="16"/>
      <c r="F1886" s="16"/>
      <c r="G1886" s="16"/>
      <c r="H1886" s="16"/>
      <c r="I1886" s="16"/>
      <c r="J1886" s="16"/>
      <c r="K1886" s="16"/>
      <c r="L1886" s="16"/>
      <c r="M1886" s="16"/>
      <c r="N1886" s="16"/>
      <c r="O1886" s="84"/>
      <c r="P1886" s="54"/>
      <c r="Q1886" s="54"/>
      <c r="R1886" s="55"/>
      <c r="S1886" s="55"/>
      <c r="T1886" s="32"/>
      <c r="U1886" s="32"/>
      <c r="V1886" s="32"/>
      <c r="W1886" s="32"/>
      <c r="X1886" s="32"/>
      <c r="Y1886" s="32"/>
      <c r="Z1886" s="32"/>
      <c r="AA1886" s="32"/>
      <c r="AB1886" s="32"/>
      <c r="AC1886" s="32"/>
    </row>
    <row r="1887">
      <c r="A1887" s="32"/>
      <c r="B1887" s="16"/>
      <c r="C1887" s="16"/>
      <c r="D1887" s="16"/>
      <c r="E1887" s="16"/>
      <c r="F1887" s="16"/>
      <c r="G1887" s="16"/>
      <c r="H1887" s="16"/>
      <c r="I1887" s="16"/>
      <c r="J1887" s="16"/>
      <c r="K1887" s="16"/>
      <c r="L1887" s="16"/>
      <c r="M1887" s="16"/>
      <c r="N1887" s="16"/>
      <c r="O1887" s="84"/>
      <c r="P1887" s="54"/>
      <c r="Q1887" s="54"/>
      <c r="R1887" s="55"/>
      <c r="S1887" s="55"/>
      <c r="T1887" s="32"/>
      <c r="U1887" s="32"/>
      <c r="V1887" s="32"/>
      <c r="W1887" s="32"/>
      <c r="X1887" s="32"/>
      <c r="Y1887" s="32"/>
      <c r="Z1887" s="32"/>
      <c r="AA1887" s="32"/>
      <c r="AB1887" s="32"/>
      <c r="AC1887" s="32"/>
    </row>
    <row r="1888">
      <c r="A1888" s="32"/>
      <c r="B1888" s="16"/>
      <c r="C1888" s="16"/>
      <c r="D1888" s="16"/>
      <c r="E1888" s="16"/>
      <c r="F1888" s="16"/>
      <c r="G1888" s="16"/>
      <c r="H1888" s="16"/>
      <c r="I1888" s="16"/>
      <c r="J1888" s="16"/>
      <c r="K1888" s="16"/>
      <c r="L1888" s="16"/>
      <c r="M1888" s="16"/>
      <c r="N1888" s="16"/>
      <c r="O1888" s="84"/>
      <c r="P1888" s="54"/>
      <c r="Q1888" s="54"/>
      <c r="R1888" s="55"/>
      <c r="S1888" s="55"/>
      <c r="T1888" s="32"/>
      <c r="U1888" s="32"/>
      <c r="V1888" s="32"/>
      <c r="W1888" s="32"/>
      <c r="X1888" s="32"/>
      <c r="Y1888" s="32"/>
      <c r="Z1888" s="32"/>
      <c r="AA1888" s="32"/>
      <c r="AB1888" s="32"/>
      <c r="AC1888" s="32"/>
    </row>
    <row r="1889">
      <c r="A1889" s="32"/>
      <c r="B1889" s="16"/>
      <c r="C1889" s="16"/>
      <c r="D1889" s="16"/>
      <c r="E1889" s="16"/>
      <c r="F1889" s="16"/>
      <c r="G1889" s="16"/>
      <c r="H1889" s="16"/>
      <c r="I1889" s="16"/>
      <c r="J1889" s="16"/>
      <c r="K1889" s="16"/>
      <c r="L1889" s="16"/>
      <c r="M1889" s="16"/>
      <c r="N1889" s="16"/>
      <c r="O1889" s="84"/>
      <c r="P1889" s="54"/>
      <c r="Q1889" s="54"/>
      <c r="R1889" s="55"/>
      <c r="S1889" s="55"/>
      <c r="T1889" s="32"/>
      <c r="U1889" s="32"/>
      <c r="V1889" s="32"/>
      <c r="W1889" s="32"/>
      <c r="X1889" s="32"/>
      <c r="Y1889" s="32"/>
      <c r="Z1889" s="32"/>
      <c r="AA1889" s="32"/>
      <c r="AB1889" s="32"/>
      <c r="AC1889" s="32"/>
    </row>
    <row r="1890">
      <c r="A1890" s="32"/>
      <c r="B1890" s="16"/>
      <c r="C1890" s="16"/>
      <c r="D1890" s="16"/>
      <c r="E1890" s="16"/>
      <c r="F1890" s="16"/>
      <c r="G1890" s="16"/>
      <c r="H1890" s="16"/>
      <c r="I1890" s="16"/>
      <c r="J1890" s="16"/>
      <c r="K1890" s="16"/>
      <c r="L1890" s="16"/>
      <c r="M1890" s="16"/>
      <c r="N1890" s="16"/>
      <c r="O1890" s="84"/>
      <c r="P1890" s="54"/>
      <c r="Q1890" s="54"/>
      <c r="R1890" s="55"/>
      <c r="S1890" s="55"/>
      <c r="T1890" s="32"/>
      <c r="U1890" s="32"/>
      <c r="V1890" s="32"/>
      <c r="W1890" s="32"/>
      <c r="X1890" s="32"/>
      <c r="Y1890" s="32"/>
      <c r="Z1890" s="32"/>
      <c r="AA1890" s="32"/>
      <c r="AB1890" s="32"/>
      <c r="AC1890" s="32"/>
    </row>
    <row r="1891">
      <c r="A1891" s="32"/>
      <c r="B1891" s="16"/>
      <c r="C1891" s="16"/>
      <c r="D1891" s="16"/>
      <c r="E1891" s="16"/>
      <c r="F1891" s="16"/>
      <c r="G1891" s="16"/>
      <c r="H1891" s="16"/>
      <c r="I1891" s="16"/>
      <c r="J1891" s="16"/>
      <c r="K1891" s="16"/>
      <c r="L1891" s="16"/>
      <c r="M1891" s="16"/>
      <c r="N1891" s="16"/>
      <c r="O1891" s="84"/>
      <c r="P1891" s="54"/>
      <c r="Q1891" s="54"/>
      <c r="R1891" s="55"/>
      <c r="S1891" s="55"/>
      <c r="T1891" s="32"/>
      <c r="U1891" s="32"/>
      <c r="V1891" s="32"/>
      <c r="W1891" s="32"/>
      <c r="X1891" s="32"/>
      <c r="Y1891" s="32"/>
      <c r="Z1891" s="32"/>
      <c r="AA1891" s="32"/>
      <c r="AB1891" s="32"/>
      <c r="AC1891" s="32"/>
    </row>
    <row r="1892">
      <c r="A1892" s="32"/>
      <c r="B1892" s="16"/>
      <c r="C1892" s="16"/>
      <c r="D1892" s="16"/>
      <c r="E1892" s="16"/>
      <c r="F1892" s="16"/>
      <c r="G1892" s="16"/>
      <c r="H1892" s="16"/>
      <c r="I1892" s="16"/>
      <c r="J1892" s="16"/>
      <c r="K1892" s="16"/>
      <c r="L1892" s="16"/>
      <c r="M1892" s="16"/>
      <c r="N1892" s="16"/>
      <c r="O1892" s="84"/>
      <c r="P1892" s="54"/>
      <c r="Q1892" s="54"/>
      <c r="R1892" s="55"/>
      <c r="S1892" s="55"/>
      <c r="T1892" s="32"/>
      <c r="U1892" s="32"/>
      <c r="V1892" s="32"/>
      <c r="W1892" s="32"/>
      <c r="X1892" s="32"/>
      <c r="Y1892" s="32"/>
      <c r="Z1892" s="32"/>
      <c r="AA1892" s="32"/>
      <c r="AB1892" s="32"/>
      <c r="AC1892" s="32"/>
    </row>
    <row r="1893">
      <c r="A1893" s="32"/>
      <c r="B1893" s="16"/>
      <c r="C1893" s="16"/>
      <c r="D1893" s="16"/>
      <c r="E1893" s="16"/>
      <c r="F1893" s="16"/>
      <c r="G1893" s="16"/>
      <c r="H1893" s="16"/>
      <c r="I1893" s="16"/>
      <c r="J1893" s="16"/>
      <c r="K1893" s="16"/>
      <c r="L1893" s="16"/>
      <c r="M1893" s="16"/>
      <c r="N1893" s="16"/>
      <c r="O1893" s="84"/>
      <c r="P1893" s="54"/>
      <c r="Q1893" s="54"/>
      <c r="R1893" s="55"/>
      <c r="S1893" s="55"/>
      <c r="T1893" s="32"/>
      <c r="U1893" s="32"/>
      <c r="V1893" s="32"/>
      <c r="W1893" s="32"/>
      <c r="X1893" s="32"/>
      <c r="Y1893" s="32"/>
      <c r="Z1893" s="32"/>
      <c r="AA1893" s="32"/>
      <c r="AB1893" s="32"/>
      <c r="AC1893" s="32"/>
    </row>
    <row r="1894">
      <c r="A1894" s="32"/>
      <c r="B1894" s="16"/>
      <c r="C1894" s="16"/>
      <c r="D1894" s="16"/>
      <c r="E1894" s="16"/>
      <c r="F1894" s="16"/>
      <c r="G1894" s="16"/>
      <c r="H1894" s="16"/>
      <c r="I1894" s="16"/>
      <c r="J1894" s="16"/>
      <c r="K1894" s="16"/>
      <c r="L1894" s="16"/>
      <c r="M1894" s="16"/>
      <c r="N1894" s="16"/>
      <c r="O1894" s="84"/>
      <c r="P1894" s="54"/>
      <c r="Q1894" s="54"/>
      <c r="R1894" s="55"/>
      <c r="S1894" s="55"/>
      <c r="T1894" s="32"/>
      <c r="U1894" s="32"/>
      <c r="V1894" s="32"/>
      <c r="W1894" s="32"/>
      <c r="X1894" s="32"/>
      <c r="Y1894" s="32"/>
      <c r="Z1894" s="32"/>
      <c r="AA1894" s="32"/>
      <c r="AB1894" s="32"/>
      <c r="AC1894" s="32"/>
    </row>
    <row r="1895">
      <c r="A1895" s="32"/>
      <c r="B1895" s="16"/>
      <c r="C1895" s="16"/>
      <c r="D1895" s="16"/>
      <c r="E1895" s="16"/>
      <c r="F1895" s="16"/>
      <c r="G1895" s="16"/>
      <c r="H1895" s="16"/>
      <c r="I1895" s="16"/>
      <c r="J1895" s="16"/>
      <c r="K1895" s="16"/>
      <c r="L1895" s="16"/>
      <c r="M1895" s="16"/>
      <c r="N1895" s="16"/>
      <c r="O1895" s="84"/>
      <c r="P1895" s="54"/>
      <c r="Q1895" s="54"/>
      <c r="R1895" s="55"/>
      <c r="S1895" s="55"/>
      <c r="T1895" s="32"/>
      <c r="U1895" s="32"/>
      <c r="V1895" s="32"/>
      <c r="W1895" s="32"/>
      <c r="X1895" s="32"/>
      <c r="Y1895" s="32"/>
      <c r="Z1895" s="32"/>
      <c r="AA1895" s="32"/>
      <c r="AB1895" s="32"/>
      <c r="AC1895" s="32"/>
    </row>
    <row r="1896">
      <c r="A1896" s="32"/>
      <c r="B1896" s="16"/>
      <c r="C1896" s="16"/>
      <c r="D1896" s="16"/>
      <c r="E1896" s="16"/>
      <c r="F1896" s="16"/>
      <c r="G1896" s="16"/>
      <c r="H1896" s="16"/>
      <c r="I1896" s="16"/>
      <c r="J1896" s="16"/>
      <c r="K1896" s="16"/>
      <c r="L1896" s="16"/>
      <c r="M1896" s="16"/>
      <c r="N1896" s="16"/>
      <c r="O1896" s="84"/>
      <c r="P1896" s="54"/>
      <c r="Q1896" s="54"/>
      <c r="R1896" s="55"/>
      <c r="S1896" s="55"/>
      <c r="T1896" s="32"/>
      <c r="U1896" s="32"/>
      <c r="V1896" s="32"/>
      <c r="W1896" s="32"/>
      <c r="X1896" s="32"/>
      <c r="Y1896" s="32"/>
      <c r="Z1896" s="32"/>
      <c r="AA1896" s="32"/>
      <c r="AB1896" s="32"/>
      <c r="AC1896" s="32"/>
    </row>
    <row r="1897">
      <c r="A1897" s="32"/>
      <c r="B1897" s="16"/>
      <c r="C1897" s="16"/>
      <c r="D1897" s="16"/>
      <c r="E1897" s="16"/>
      <c r="F1897" s="16"/>
      <c r="G1897" s="16"/>
      <c r="H1897" s="16"/>
      <c r="I1897" s="16"/>
      <c r="J1897" s="16"/>
      <c r="K1897" s="16"/>
      <c r="L1897" s="16"/>
      <c r="M1897" s="16"/>
      <c r="N1897" s="16"/>
      <c r="O1897" s="84"/>
      <c r="P1897" s="54"/>
      <c r="Q1897" s="54"/>
      <c r="R1897" s="55"/>
      <c r="S1897" s="55"/>
      <c r="T1897" s="32"/>
      <c r="U1897" s="32"/>
      <c r="V1897" s="32"/>
      <c r="W1897" s="32"/>
      <c r="X1897" s="32"/>
      <c r="Y1897" s="32"/>
      <c r="Z1897" s="32"/>
      <c r="AA1897" s="32"/>
      <c r="AB1897" s="32"/>
      <c r="AC1897" s="32"/>
    </row>
    <row r="1898">
      <c r="A1898" s="32"/>
      <c r="B1898" s="16"/>
      <c r="C1898" s="16"/>
      <c r="D1898" s="16"/>
      <c r="E1898" s="16"/>
      <c r="F1898" s="16"/>
      <c r="G1898" s="16"/>
      <c r="H1898" s="16"/>
      <c r="I1898" s="16"/>
      <c r="J1898" s="16"/>
      <c r="K1898" s="16"/>
      <c r="L1898" s="16"/>
      <c r="M1898" s="16"/>
      <c r="N1898" s="16"/>
      <c r="O1898" s="84"/>
      <c r="P1898" s="54"/>
      <c r="Q1898" s="54"/>
      <c r="R1898" s="55"/>
      <c r="S1898" s="55"/>
      <c r="T1898" s="32"/>
      <c r="U1898" s="32"/>
      <c r="V1898" s="32"/>
      <c r="W1898" s="32"/>
      <c r="X1898" s="32"/>
      <c r="Y1898" s="32"/>
      <c r="Z1898" s="32"/>
      <c r="AA1898" s="32"/>
      <c r="AB1898" s="32"/>
      <c r="AC1898" s="32"/>
    </row>
    <row r="1899">
      <c r="A1899" s="32"/>
      <c r="B1899" s="16"/>
      <c r="C1899" s="16"/>
      <c r="D1899" s="16"/>
      <c r="E1899" s="16"/>
      <c r="F1899" s="16"/>
      <c r="G1899" s="16"/>
      <c r="H1899" s="16"/>
      <c r="I1899" s="16"/>
      <c r="J1899" s="16"/>
      <c r="K1899" s="16"/>
      <c r="L1899" s="16"/>
      <c r="M1899" s="16"/>
      <c r="N1899" s="16"/>
      <c r="O1899" s="84"/>
      <c r="P1899" s="54"/>
      <c r="Q1899" s="54"/>
      <c r="R1899" s="55"/>
      <c r="S1899" s="55"/>
      <c r="T1899" s="32"/>
      <c r="U1899" s="32"/>
      <c r="V1899" s="32"/>
      <c r="W1899" s="32"/>
      <c r="X1899" s="32"/>
      <c r="Y1899" s="32"/>
      <c r="Z1899" s="32"/>
      <c r="AA1899" s="32"/>
      <c r="AB1899" s="32"/>
      <c r="AC1899" s="32"/>
    </row>
    <row r="1900">
      <c r="A1900" s="32"/>
      <c r="B1900" s="16"/>
      <c r="C1900" s="16"/>
      <c r="D1900" s="16"/>
      <c r="E1900" s="16"/>
      <c r="F1900" s="16"/>
      <c r="G1900" s="16"/>
      <c r="H1900" s="16"/>
      <c r="I1900" s="16"/>
      <c r="J1900" s="16"/>
      <c r="K1900" s="16"/>
      <c r="L1900" s="16"/>
      <c r="M1900" s="16"/>
      <c r="N1900" s="16"/>
      <c r="O1900" s="84"/>
      <c r="P1900" s="54"/>
      <c r="Q1900" s="54"/>
      <c r="R1900" s="55"/>
      <c r="S1900" s="55"/>
      <c r="T1900" s="32"/>
      <c r="U1900" s="32"/>
      <c r="V1900" s="32"/>
      <c r="W1900" s="32"/>
      <c r="X1900" s="32"/>
      <c r="Y1900" s="32"/>
      <c r="Z1900" s="32"/>
      <c r="AA1900" s="32"/>
      <c r="AB1900" s="32"/>
      <c r="AC1900" s="32"/>
    </row>
    <row r="1901">
      <c r="A1901" s="32"/>
      <c r="B1901" s="16"/>
      <c r="C1901" s="16"/>
      <c r="D1901" s="16"/>
      <c r="E1901" s="16"/>
      <c r="F1901" s="16"/>
      <c r="G1901" s="16"/>
      <c r="H1901" s="16"/>
      <c r="I1901" s="16"/>
      <c r="J1901" s="16"/>
      <c r="K1901" s="16"/>
      <c r="L1901" s="16"/>
      <c r="M1901" s="16"/>
      <c r="N1901" s="16"/>
      <c r="O1901" s="84"/>
      <c r="P1901" s="54"/>
      <c r="Q1901" s="54"/>
      <c r="R1901" s="55"/>
      <c r="S1901" s="55"/>
      <c r="T1901" s="32"/>
      <c r="U1901" s="32"/>
      <c r="V1901" s="32"/>
      <c r="W1901" s="32"/>
      <c r="X1901" s="32"/>
      <c r="Y1901" s="32"/>
      <c r="Z1901" s="32"/>
      <c r="AA1901" s="32"/>
      <c r="AB1901" s="32"/>
      <c r="AC1901" s="32"/>
    </row>
    <row r="1902">
      <c r="A1902" s="32"/>
      <c r="B1902" s="16"/>
      <c r="C1902" s="16"/>
      <c r="D1902" s="16"/>
      <c r="E1902" s="16"/>
      <c r="F1902" s="16"/>
      <c r="G1902" s="16"/>
      <c r="H1902" s="16"/>
      <c r="I1902" s="16"/>
      <c r="J1902" s="16"/>
      <c r="K1902" s="16"/>
      <c r="L1902" s="16"/>
      <c r="M1902" s="16"/>
      <c r="N1902" s="16"/>
      <c r="O1902" s="84"/>
      <c r="P1902" s="54"/>
      <c r="Q1902" s="54"/>
      <c r="R1902" s="55"/>
      <c r="S1902" s="55"/>
      <c r="T1902" s="32"/>
      <c r="U1902" s="32"/>
      <c r="V1902" s="32"/>
      <c r="W1902" s="32"/>
      <c r="X1902" s="32"/>
      <c r="Y1902" s="32"/>
      <c r="Z1902" s="32"/>
      <c r="AA1902" s="32"/>
      <c r="AB1902" s="32"/>
      <c r="AC1902" s="32"/>
    </row>
    <row r="1903">
      <c r="A1903" s="32"/>
      <c r="B1903" s="16"/>
      <c r="C1903" s="16"/>
      <c r="D1903" s="16"/>
      <c r="E1903" s="16"/>
      <c r="F1903" s="16"/>
      <c r="G1903" s="16"/>
      <c r="H1903" s="16"/>
      <c r="I1903" s="16"/>
      <c r="J1903" s="16"/>
      <c r="K1903" s="16"/>
      <c r="L1903" s="16"/>
      <c r="M1903" s="16"/>
      <c r="N1903" s="16"/>
      <c r="O1903" s="84"/>
      <c r="P1903" s="54"/>
      <c r="Q1903" s="54"/>
      <c r="R1903" s="55"/>
      <c r="S1903" s="55"/>
      <c r="T1903" s="32"/>
      <c r="U1903" s="32"/>
      <c r="V1903" s="32"/>
      <c r="W1903" s="32"/>
      <c r="X1903" s="32"/>
      <c r="Y1903" s="32"/>
      <c r="Z1903" s="32"/>
      <c r="AA1903" s="32"/>
      <c r="AB1903" s="32"/>
      <c r="AC1903" s="32"/>
    </row>
    <row r="1904">
      <c r="A1904" s="32"/>
      <c r="B1904" s="16"/>
      <c r="C1904" s="16"/>
      <c r="D1904" s="16"/>
      <c r="E1904" s="16"/>
      <c r="F1904" s="16"/>
      <c r="G1904" s="16"/>
      <c r="H1904" s="16"/>
      <c r="I1904" s="16"/>
      <c r="J1904" s="16"/>
      <c r="K1904" s="16"/>
      <c r="L1904" s="16"/>
      <c r="M1904" s="16"/>
      <c r="N1904" s="16"/>
      <c r="O1904" s="84"/>
      <c r="P1904" s="54"/>
      <c r="Q1904" s="54"/>
      <c r="R1904" s="55"/>
      <c r="S1904" s="55"/>
      <c r="T1904" s="32"/>
      <c r="U1904" s="32"/>
      <c r="V1904" s="32"/>
      <c r="W1904" s="32"/>
      <c r="X1904" s="32"/>
      <c r="Y1904" s="32"/>
      <c r="Z1904" s="32"/>
      <c r="AA1904" s="32"/>
      <c r="AB1904" s="32"/>
      <c r="AC1904" s="32"/>
    </row>
    <row r="1905">
      <c r="A1905" s="32"/>
      <c r="B1905" s="16"/>
      <c r="C1905" s="16"/>
      <c r="D1905" s="16"/>
      <c r="E1905" s="16"/>
      <c r="F1905" s="16"/>
      <c r="G1905" s="16"/>
      <c r="H1905" s="16"/>
      <c r="I1905" s="16"/>
      <c r="J1905" s="16"/>
      <c r="K1905" s="16"/>
      <c r="L1905" s="16"/>
      <c r="M1905" s="16"/>
      <c r="N1905" s="16"/>
      <c r="O1905" s="84"/>
      <c r="P1905" s="54"/>
      <c r="Q1905" s="54"/>
      <c r="R1905" s="55"/>
      <c r="S1905" s="55"/>
      <c r="T1905" s="32"/>
      <c r="U1905" s="32"/>
      <c r="V1905" s="32"/>
      <c r="W1905" s="32"/>
      <c r="X1905" s="32"/>
      <c r="Y1905" s="32"/>
      <c r="Z1905" s="32"/>
      <c r="AA1905" s="32"/>
      <c r="AB1905" s="32"/>
      <c r="AC1905" s="32"/>
    </row>
    <row r="1906">
      <c r="A1906" s="32"/>
      <c r="B1906" s="16"/>
      <c r="C1906" s="16"/>
      <c r="D1906" s="16"/>
      <c r="E1906" s="16"/>
      <c r="F1906" s="16"/>
      <c r="G1906" s="16"/>
      <c r="H1906" s="16"/>
      <c r="I1906" s="16"/>
      <c r="J1906" s="16"/>
      <c r="K1906" s="16"/>
      <c r="L1906" s="16"/>
      <c r="M1906" s="16"/>
      <c r="N1906" s="16"/>
      <c r="O1906" s="84"/>
      <c r="P1906" s="54"/>
      <c r="Q1906" s="54"/>
      <c r="R1906" s="55"/>
      <c r="S1906" s="55"/>
      <c r="T1906" s="32"/>
      <c r="U1906" s="32"/>
      <c r="V1906" s="32"/>
      <c r="W1906" s="32"/>
      <c r="X1906" s="32"/>
      <c r="Y1906" s="32"/>
      <c r="Z1906" s="32"/>
      <c r="AA1906" s="32"/>
      <c r="AB1906" s="32"/>
      <c r="AC1906" s="32"/>
    </row>
    <row r="1907">
      <c r="A1907" s="32"/>
      <c r="B1907" s="16"/>
      <c r="C1907" s="16"/>
      <c r="D1907" s="16"/>
      <c r="E1907" s="16"/>
      <c r="F1907" s="16"/>
      <c r="G1907" s="16"/>
      <c r="H1907" s="16"/>
      <c r="I1907" s="16"/>
      <c r="J1907" s="16"/>
      <c r="K1907" s="16"/>
      <c r="L1907" s="16"/>
      <c r="M1907" s="16"/>
      <c r="N1907" s="16"/>
      <c r="O1907" s="84"/>
      <c r="P1907" s="54"/>
      <c r="Q1907" s="54"/>
      <c r="R1907" s="55"/>
      <c r="S1907" s="55"/>
      <c r="T1907" s="32"/>
      <c r="U1907" s="32"/>
      <c r="V1907" s="32"/>
      <c r="W1907" s="32"/>
      <c r="X1907" s="32"/>
      <c r="Y1907" s="32"/>
      <c r="Z1907" s="32"/>
      <c r="AA1907" s="32"/>
      <c r="AB1907" s="32"/>
      <c r="AC1907" s="32"/>
    </row>
    <row r="1908">
      <c r="A1908" s="32"/>
      <c r="B1908" s="16"/>
      <c r="C1908" s="16"/>
      <c r="D1908" s="16"/>
      <c r="E1908" s="16"/>
      <c r="F1908" s="16"/>
      <c r="G1908" s="16"/>
      <c r="H1908" s="16"/>
      <c r="I1908" s="16"/>
      <c r="J1908" s="16"/>
      <c r="K1908" s="16"/>
      <c r="L1908" s="16"/>
      <c r="M1908" s="16"/>
      <c r="N1908" s="16"/>
      <c r="O1908" s="84"/>
      <c r="P1908" s="54"/>
      <c r="Q1908" s="54"/>
      <c r="R1908" s="55"/>
      <c r="S1908" s="55"/>
      <c r="T1908" s="32"/>
      <c r="U1908" s="32"/>
      <c r="V1908" s="32"/>
      <c r="W1908" s="32"/>
      <c r="X1908" s="32"/>
      <c r="Y1908" s="32"/>
      <c r="Z1908" s="32"/>
      <c r="AA1908" s="32"/>
      <c r="AB1908" s="32"/>
      <c r="AC1908" s="32"/>
    </row>
    <row r="1909">
      <c r="A1909" s="32"/>
      <c r="B1909" s="16"/>
      <c r="C1909" s="16"/>
      <c r="D1909" s="16"/>
      <c r="E1909" s="16"/>
      <c r="F1909" s="16"/>
      <c r="G1909" s="16"/>
      <c r="H1909" s="16"/>
      <c r="I1909" s="16"/>
      <c r="J1909" s="16"/>
      <c r="K1909" s="16"/>
      <c r="L1909" s="16"/>
      <c r="M1909" s="16"/>
      <c r="N1909" s="16"/>
      <c r="O1909" s="84"/>
      <c r="P1909" s="54"/>
      <c r="Q1909" s="54"/>
      <c r="R1909" s="55"/>
      <c r="S1909" s="55"/>
      <c r="T1909" s="32"/>
      <c r="U1909" s="32"/>
      <c r="V1909" s="32"/>
      <c r="W1909" s="32"/>
      <c r="X1909" s="32"/>
      <c r="Y1909" s="32"/>
      <c r="Z1909" s="32"/>
      <c r="AA1909" s="32"/>
      <c r="AB1909" s="32"/>
      <c r="AC1909" s="32"/>
    </row>
    <row r="1910">
      <c r="A1910" s="32"/>
      <c r="B1910" s="16"/>
      <c r="C1910" s="16"/>
      <c r="D1910" s="16"/>
      <c r="E1910" s="16"/>
      <c r="F1910" s="16"/>
      <c r="G1910" s="16"/>
      <c r="H1910" s="16"/>
      <c r="I1910" s="16"/>
      <c r="J1910" s="16"/>
      <c r="K1910" s="16"/>
      <c r="L1910" s="16"/>
      <c r="M1910" s="16"/>
      <c r="N1910" s="16"/>
      <c r="O1910" s="84"/>
      <c r="P1910" s="54"/>
      <c r="Q1910" s="54"/>
      <c r="R1910" s="55"/>
      <c r="S1910" s="55"/>
      <c r="T1910" s="32"/>
      <c r="U1910" s="32"/>
      <c r="V1910" s="32"/>
      <c r="W1910" s="32"/>
      <c r="X1910" s="32"/>
      <c r="Y1910" s="32"/>
      <c r="Z1910" s="32"/>
      <c r="AA1910" s="32"/>
      <c r="AB1910" s="32"/>
      <c r="AC1910" s="32"/>
    </row>
    <row r="1911">
      <c r="A1911" s="32"/>
      <c r="B1911" s="16"/>
      <c r="C1911" s="16"/>
      <c r="D1911" s="16"/>
      <c r="E1911" s="16"/>
      <c r="F1911" s="16"/>
      <c r="G1911" s="16"/>
      <c r="H1911" s="16"/>
      <c r="I1911" s="16"/>
      <c r="J1911" s="16"/>
      <c r="K1911" s="16"/>
      <c r="L1911" s="16"/>
      <c r="M1911" s="16"/>
      <c r="N1911" s="16"/>
      <c r="O1911" s="84"/>
      <c r="P1911" s="54"/>
      <c r="Q1911" s="54"/>
      <c r="R1911" s="55"/>
      <c r="S1911" s="55"/>
      <c r="T1911" s="32"/>
      <c r="U1911" s="32"/>
      <c r="V1911" s="32"/>
      <c r="W1911" s="32"/>
      <c r="X1911" s="32"/>
      <c r="Y1911" s="32"/>
      <c r="Z1911" s="32"/>
      <c r="AA1911" s="32"/>
      <c r="AB1911" s="32"/>
      <c r="AC1911" s="32"/>
    </row>
    <row r="1912">
      <c r="A1912" s="32"/>
      <c r="B1912" s="16"/>
      <c r="C1912" s="16"/>
      <c r="D1912" s="16"/>
      <c r="E1912" s="16"/>
      <c r="F1912" s="16"/>
      <c r="G1912" s="16"/>
      <c r="H1912" s="16"/>
      <c r="I1912" s="16"/>
      <c r="J1912" s="16"/>
      <c r="K1912" s="16"/>
      <c r="L1912" s="16"/>
      <c r="M1912" s="16"/>
      <c r="N1912" s="16"/>
      <c r="O1912" s="84"/>
      <c r="P1912" s="54"/>
      <c r="Q1912" s="54"/>
      <c r="R1912" s="55"/>
      <c r="S1912" s="55"/>
      <c r="T1912" s="32"/>
      <c r="U1912" s="32"/>
      <c r="V1912" s="32"/>
      <c r="W1912" s="32"/>
      <c r="X1912" s="32"/>
      <c r="Y1912" s="32"/>
      <c r="Z1912" s="32"/>
      <c r="AA1912" s="32"/>
      <c r="AB1912" s="32"/>
      <c r="AC1912" s="32"/>
    </row>
    <row r="1913">
      <c r="A1913" s="32"/>
      <c r="B1913" s="16"/>
      <c r="C1913" s="16"/>
      <c r="D1913" s="16"/>
      <c r="E1913" s="16"/>
      <c r="F1913" s="16"/>
      <c r="G1913" s="16"/>
      <c r="H1913" s="16"/>
      <c r="I1913" s="16"/>
      <c r="J1913" s="16"/>
      <c r="K1913" s="16"/>
      <c r="L1913" s="16"/>
      <c r="M1913" s="16"/>
      <c r="N1913" s="16"/>
      <c r="O1913" s="84"/>
      <c r="P1913" s="54"/>
      <c r="Q1913" s="54"/>
      <c r="R1913" s="55"/>
      <c r="S1913" s="55"/>
      <c r="T1913" s="32"/>
      <c r="U1913" s="32"/>
      <c r="V1913" s="32"/>
      <c r="W1913" s="32"/>
      <c r="X1913" s="32"/>
      <c r="Y1913" s="32"/>
      <c r="Z1913" s="32"/>
      <c r="AA1913" s="32"/>
      <c r="AB1913" s="32"/>
      <c r="AC1913" s="32"/>
    </row>
    <row r="1914">
      <c r="A1914" s="32"/>
      <c r="B1914" s="16"/>
      <c r="C1914" s="16"/>
      <c r="D1914" s="16"/>
      <c r="E1914" s="16"/>
      <c r="F1914" s="16"/>
      <c r="G1914" s="16"/>
      <c r="H1914" s="16"/>
      <c r="I1914" s="16"/>
      <c r="J1914" s="16"/>
      <c r="K1914" s="16"/>
      <c r="L1914" s="16"/>
      <c r="M1914" s="16"/>
      <c r="N1914" s="16"/>
      <c r="O1914" s="84"/>
      <c r="P1914" s="54"/>
      <c r="Q1914" s="54"/>
      <c r="R1914" s="55"/>
      <c r="S1914" s="55"/>
      <c r="T1914" s="32"/>
      <c r="U1914" s="32"/>
      <c r="V1914" s="32"/>
      <c r="W1914" s="32"/>
      <c r="X1914" s="32"/>
      <c r="Y1914" s="32"/>
      <c r="Z1914" s="32"/>
      <c r="AA1914" s="32"/>
      <c r="AB1914" s="32"/>
      <c r="AC1914" s="32"/>
    </row>
    <row r="1915">
      <c r="A1915" s="32"/>
      <c r="B1915" s="16"/>
      <c r="C1915" s="16"/>
      <c r="D1915" s="16"/>
      <c r="E1915" s="16"/>
      <c r="F1915" s="16"/>
      <c r="G1915" s="16"/>
      <c r="H1915" s="16"/>
      <c r="I1915" s="16"/>
      <c r="J1915" s="16"/>
      <c r="K1915" s="16"/>
      <c r="L1915" s="16"/>
      <c r="M1915" s="16"/>
      <c r="N1915" s="16"/>
      <c r="O1915" s="84"/>
      <c r="P1915" s="54"/>
      <c r="Q1915" s="54"/>
      <c r="R1915" s="55"/>
      <c r="S1915" s="55"/>
      <c r="T1915" s="32"/>
      <c r="U1915" s="32"/>
      <c r="V1915" s="32"/>
      <c r="W1915" s="32"/>
      <c r="X1915" s="32"/>
      <c r="Y1915" s="32"/>
      <c r="Z1915" s="32"/>
      <c r="AA1915" s="32"/>
      <c r="AB1915" s="32"/>
      <c r="AC1915" s="32"/>
    </row>
    <row r="1916">
      <c r="A1916" s="32"/>
      <c r="B1916" s="16"/>
      <c r="C1916" s="16"/>
      <c r="D1916" s="16"/>
      <c r="E1916" s="16"/>
      <c r="F1916" s="16"/>
      <c r="G1916" s="16"/>
      <c r="H1916" s="16"/>
      <c r="I1916" s="16"/>
      <c r="J1916" s="16"/>
      <c r="K1916" s="16"/>
      <c r="L1916" s="16"/>
      <c r="M1916" s="16"/>
      <c r="N1916" s="16"/>
      <c r="O1916" s="84"/>
      <c r="P1916" s="54"/>
      <c r="Q1916" s="54"/>
      <c r="R1916" s="55"/>
      <c r="S1916" s="55"/>
      <c r="T1916" s="32"/>
      <c r="U1916" s="32"/>
      <c r="V1916" s="32"/>
      <c r="W1916" s="32"/>
      <c r="X1916" s="32"/>
      <c r="Y1916" s="32"/>
      <c r="Z1916" s="32"/>
      <c r="AA1916" s="32"/>
      <c r="AB1916" s="32"/>
      <c r="AC1916" s="32"/>
    </row>
    <row r="1917">
      <c r="A1917" s="32"/>
      <c r="B1917" s="16"/>
      <c r="C1917" s="16"/>
      <c r="D1917" s="16"/>
      <c r="E1917" s="16"/>
      <c r="F1917" s="16"/>
      <c r="G1917" s="16"/>
      <c r="H1917" s="16"/>
      <c r="I1917" s="16"/>
      <c r="J1917" s="16"/>
      <c r="K1917" s="16"/>
      <c r="L1917" s="16"/>
      <c r="M1917" s="16"/>
      <c r="N1917" s="16"/>
      <c r="O1917" s="84"/>
      <c r="P1917" s="54"/>
      <c r="Q1917" s="54"/>
      <c r="R1917" s="55"/>
      <c r="S1917" s="55"/>
      <c r="T1917" s="32"/>
      <c r="U1917" s="32"/>
      <c r="V1917" s="32"/>
      <c r="W1917" s="32"/>
      <c r="X1917" s="32"/>
      <c r="Y1917" s="32"/>
      <c r="Z1917" s="32"/>
      <c r="AA1917" s="32"/>
      <c r="AB1917" s="32"/>
      <c r="AC1917" s="32"/>
    </row>
    <row r="1918">
      <c r="A1918" s="32"/>
      <c r="B1918" s="16"/>
      <c r="C1918" s="16"/>
      <c r="D1918" s="16"/>
      <c r="E1918" s="16"/>
      <c r="F1918" s="16"/>
      <c r="G1918" s="16"/>
      <c r="H1918" s="16"/>
      <c r="I1918" s="16"/>
      <c r="J1918" s="16"/>
      <c r="K1918" s="16"/>
      <c r="L1918" s="16"/>
      <c r="M1918" s="16"/>
      <c r="N1918" s="16"/>
      <c r="O1918" s="84"/>
      <c r="P1918" s="54"/>
      <c r="Q1918" s="54"/>
      <c r="R1918" s="55"/>
      <c r="S1918" s="55"/>
      <c r="T1918" s="32"/>
      <c r="U1918" s="32"/>
      <c r="V1918" s="32"/>
      <c r="W1918" s="32"/>
      <c r="X1918" s="32"/>
      <c r="Y1918" s="32"/>
      <c r="Z1918" s="32"/>
      <c r="AA1918" s="32"/>
      <c r="AB1918" s="32"/>
      <c r="AC1918" s="32"/>
    </row>
    <row r="1919">
      <c r="A1919" s="32"/>
      <c r="B1919" s="16"/>
      <c r="C1919" s="16"/>
      <c r="D1919" s="16"/>
      <c r="E1919" s="16"/>
      <c r="F1919" s="16"/>
      <c r="G1919" s="16"/>
      <c r="H1919" s="16"/>
      <c r="I1919" s="16"/>
      <c r="J1919" s="16"/>
      <c r="K1919" s="16"/>
      <c r="L1919" s="16"/>
      <c r="M1919" s="16"/>
      <c r="N1919" s="16"/>
      <c r="O1919" s="84"/>
      <c r="P1919" s="54"/>
      <c r="Q1919" s="54"/>
      <c r="R1919" s="55"/>
      <c r="S1919" s="55"/>
      <c r="T1919" s="32"/>
      <c r="U1919" s="32"/>
      <c r="V1919" s="32"/>
      <c r="W1919" s="32"/>
      <c r="X1919" s="32"/>
      <c r="Y1919" s="32"/>
      <c r="Z1919" s="32"/>
      <c r="AA1919" s="32"/>
      <c r="AB1919" s="32"/>
      <c r="AC1919" s="32"/>
    </row>
    <row r="1920">
      <c r="A1920" s="32"/>
      <c r="B1920" s="16"/>
      <c r="C1920" s="16"/>
      <c r="D1920" s="16"/>
      <c r="E1920" s="16"/>
      <c r="F1920" s="16"/>
      <c r="G1920" s="16"/>
      <c r="H1920" s="16"/>
      <c r="I1920" s="16"/>
      <c r="J1920" s="16"/>
      <c r="K1920" s="16"/>
      <c r="L1920" s="16"/>
      <c r="M1920" s="16"/>
      <c r="N1920" s="16"/>
      <c r="O1920" s="84"/>
      <c r="P1920" s="54"/>
      <c r="Q1920" s="54"/>
      <c r="R1920" s="55"/>
      <c r="S1920" s="55"/>
      <c r="T1920" s="32"/>
      <c r="U1920" s="32"/>
      <c r="V1920" s="32"/>
      <c r="W1920" s="32"/>
      <c r="X1920" s="32"/>
      <c r="Y1920" s="32"/>
      <c r="Z1920" s="32"/>
      <c r="AA1920" s="32"/>
      <c r="AB1920" s="32"/>
      <c r="AC1920" s="32"/>
    </row>
    <row r="1921">
      <c r="A1921" s="32"/>
      <c r="B1921" s="16"/>
      <c r="C1921" s="16"/>
      <c r="D1921" s="16"/>
      <c r="E1921" s="16"/>
      <c r="F1921" s="16"/>
      <c r="G1921" s="16"/>
      <c r="H1921" s="16"/>
      <c r="I1921" s="16"/>
      <c r="J1921" s="16"/>
      <c r="K1921" s="16"/>
      <c r="L1921" s="16"/>
      <c r="M1921" s="16"/>
      <c r="N1921" s="16"/>
      <c r="O1921" s="84"/>
      <c r="P1921" s="54"/>
      <c r="Q1921" s="54"/>
      <c r="R1921" s="55"/>
      <c r="S1921" s="55"/>
      <c r="T1921" s="32"/>
      <c r="U1921" s="32"/>
      <c r="V1921" s="32"/>
      <c r="W1921" s="32"/>
      <c r="X1921" s="32"/>
      <c r="Y1921" s="32"/>
      <c r="Z1921" s="32"/>
      <c r="AA1921" s="32"/>
      <c r="AB1921" s="32"/>
      <c r="AC1921" s="32"/>
    </row>
    <row r="1922">
      <c r="A1922" s="32"/>
      <c r="B1922" s="16"/>
      <c r="C1922" s="16"/>
      <c r="D1922" s="16"/>
      <c r="E1922" s="16"/>
      <c r="F1922" s="16"/>
      <c r="G1922" s="16"/>
      <c r="H1922" s="16"/>
      <c r="I1922" s="16"/>
      <c r="J1922" s="16"/>
      <c r="K1922" s="16"/>
      <c r="L1922" s="16"/>
      <c r="M1922" s="16"/>
      <c r="N1922" s="16"/>
      <c r="O1922" s="84"/>
      <c r="P1922" s="54"/>
      <c r="Q1922" s="54"/>
      <c r="R1922" s="55"/>
      <c r="S1922" s="55"/>
      <c r="T1922" s="32"/>
      <c r="U1922" s="32"/>
      <c r="V1922" s="32"/>
      <c r="W1922" s="32"/>
      <c r="X1922" s="32"/>
      <c r="Y1922" s="32"/>
      <c r="Z1922" s="32"/>
      <c r="AA1922" s="32"/>
      <c r="AB1922" s="32"/>
      <c r="AC1922" s="32"/>
    </row>
    <row r="1923">
      <c r="A1923" s="32"/>
      <c r="B1923" s="16"/>
      <c r="C1923" s="16"/>
      <c r="D1923" s="16"/>
      <c r="E1923" s="16"/>
      <c r="F1923" s="16"/>
      <c r="G1923" s="16"/>
      <c r="H1923" s="16"/>
      <c r="I1923" s="16"/>
      <c r="J1923" s="16"/>
      <c r="K1923" s="16"/>
      <c r="L1923" s="16"/>
      <c r="M1923" s="16"/>
      <c r="N1923" s="16"/>
      <c r="O1923" s="84"/>
      <c r="P1923" s="54"/>
      <c r="Q1923" s="54"/>
      <c r="R1923" s="55"/>
      <c r="S1923" s="55"/>
      <c r="T1923" s="32"/>
      <c r="U1923" s="32"/>
      <c r="V1923" s="32"/>
      <c r="W1923" s="32"/>
      <c r="X1923" s="32"/>
      <c r="Y1923" s="32"/>
      <c r="Z1923" s="32"/>
      <c r="AA1923" s="32"/>
      <c r="AB1923" s="32"/>
      <c r="AC1923" s="32"/>
    </row>
    <row r="1924">
      <c r="A1924" s="32"/>
      <c r="B1924" s="16"/>
      <c r="C1924" s="16"/>
      <c r="D1924" s="16"/>
      <c r="E1924" s="16"/>
      <c r="F1924" s="16"/>
      <c r="G1924" s="16"/>
      <c r="H1924" s="16"/>
      <c r="I1924" s="16"/>
      <c r="J1924" s="16"/>
      <c r="K1924" s="16"/>
      <c r="L1924" s="16"/>
      <c r="M1924" s="16"/>
      <c r="N1924" s="16"/>
      <c r="O1924" s="84"/>
      <c r="P1924" s="54"/>
      <c r="Q1924" s="54"/>
      <c r="R1924" s="55"/>
      <c r="S1924" s="55"/>
      <c r="T1924" s="32"/>
      <c r="U1924" s="32"/>
      <c r="V1924" s="32"/>
      <c r="W1924" s="32"/>
      <c r="X1924" s="32"/>
      <c r="Y1924" s="32"/>
      <c r="Z1924" s="32"/>
      <c r="AA1924" s="32"/>
      <c r="AB1924" s="32"/>
      <c r="AC1924" s="32"/>
    </row>
    <row r="1925">
      <c r="A1925" s="32"/>
      <c r="B1925" s="16"/>
      <c r="C1925" s="16"/>
      <c r="D1925" s="16"/>
      <c r="E1925" s="16"/>
      <c r="F1925" s="16"/>
      <c r="G1925" s="16"/>
      <c r="H1925" s="16"/>
      <c r="I1925" s="16"/>
      <c r="J1925" s="16"/>
      <c r="K1925" s="16"/>
      <c r="L1925" s="16"/>
      <c r="M1925" s="16"/>
      <c r="N1925" s="16"/>
      <c r="O1925" s="84"/>
      <c r="P1925" s="54"/>
      <c r="Q1925" s="54"/>
      <c r="R1925" s="55"/>
      <c r="S1925" s="55"/>
      <c r="T1925" s="32"/>
      <c r="U1925" s="32"/>
      <c r="V1925" s="32"/>
      <c r="W1925" s="32"/>
      <c r="X1925" s="32"/>
      <c r="Y1925" s="32"/>
      <c r="Z1925" s="32"/>
      <c r="AA1925" s="32"/>
      <c r="AB1925" s="32"/>
      <c r="AC1925" s="32"/>
    </row>
    <row r="1926">
      <c r="A1926" s="32"/>
      <c r="B1926" s="16"/>
      <c r="C1926" s="16"/>
      <c r="D1926" s="16"/>
      <c r="E1926" s="16"/>
      <c r="F1926" s="16"/>
      <c r="G1926" s="16"/>
      <c r="H1926" s="16"/>
      <c r="I1926" s="16"/>
      <c r="J1926" s="16"/>
      <c r="K1926" s="16"/>
      <c r="L1926" s="16"/>
      <c r="M1926" s="16"/>
      <c r="N1926" s="16"/>
      <c r="O1926" s="84"/>
      <c r="P1926" s="54"/>
      <c r="Q1926" s="54"/>
      <c r="R1926" s="55"/>
      <c r="S1926" s="55"/>
      <c r="T1926" s="32"/>
      <c r="U1926" s="32"/>
      <c r="V1926" s="32"/>
      <c r="W1926" s="32"/>
      <c r="X1926" s="32"/>
      <c r="Y1926" s="32"/>
      <c r="Z1926" s="32"/>
      <c r="AA1926" s="32"/>
      <c r="AB1926" s="32"/>
      <c r="AC1926" s="32"/>
    </row>
    <row r="1927">
      <c r="A1927" s="32"/>
      <c r="B1927" s="16"/>
      <c r="C1927" s="16"/>
      <c r="D1927" s="16"/>
      <c r="E1927" s="16"/>
      <c r="F1927" s="16"/>
      <c r="G1927" s="16"/>
      <c r="H1927" s="16"/>
      <c r="I1927" s="16"/>
      <c r="J1927" s="16"/>
      <c r="K1927" s="16"/>
      <c r="L1927" s="16"/>
      <c r="M1927" s="16"/>
      <c r="N1927" s="16"/>
      <c r="O1927" s="84"/>
      <c r="P1927" s="54"/>
      <c r="Q1927" s="54"/>
      <c r="R1927" s="55"/>
      <c r="S1927" s="55"/>
      <c r="T1927" s="32"/>
      <c r="U1927" s="32"/>
      <c r="V1927" s="32"/>
      <c r="W1927" s="32"/>
      <c r="X1927" s="32"/>
      <c r="Y1927" s="32"/>
      <c r="Z1927" s="32"/>
      <c r="AA1927" s="32"/>
      <c r="AB1927" s="32"/>
      <c r="AC1927" s="32"/>
    </row>
    <row r="1928">
      <c r="A1928" s="32"/>
      <c r="B1928" s="16"/>
      <c r="C1928" s="16"/>
      <c r="D1928" s="16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84"/>
      <c r="P1928" s="54"/>
      <c r="Q1928" s="54"/>
      <c r="R1928" s="55"/>
      <c r="S1928" s="55"/>
      <c r="T1928" s="32"/>
      <c r="U1928" s="32"/>
      <c r="V1928" s="32"/>
      <c r="W1928" s="32"/>
      <c r="X1928" s="32"/>
      <c r="Y1928" s="32"/>
      <c r="Z1928" s="32"/>
      <c r="AA1928" s="32"/>
      <c r="AB1928" s="32"/>
      <c r="AC1928" s="32"/>
    </row>
    <row r="1929">
      <c r="A1929" s="32"/>
      <c r="B1929" s="16"/>
      <c r="C1929" s="16"/>
      <c r="D1929" s="16"/>
      <c r="E1929" s="16"/>
      <c r="F1929" s="16"/>
      <c r="G1929" s="16"/>
      <c r="H1929" s="16"/>
      <c r="I1929" s="16"/>
      <c r="J1929" s="16"/>
      <c r="K1929" s="16"/>
      <c r="L1929" s="16"/>
      <c r="M1929" s="16"/>
      <c r="N1929" s="16"/>
      <c r="O1929" s="84"/>
      <c r="P1929" s="54"/>
      <c r="Q1929" s="54"/>
      <c r="R1929" s="55"/>
      <c r="S1929" s="55"/>
      <c r="T1929" s="32"/>
      <c r="U1929" s="32"/>
      <c r="V1929" s="32"/>
      <c r="W1929" s="32"/>
      <c r="X1929" s="32"/>
      <c r="Y1929" s="32"/>
      <c r="Z1929" s="32"/>
      <c r="AA1929" s="32"/>
      <c r="AB1929" s="32"/>
      <c r="AC1929" s="32"/>
    </row>
    <row r="1930">
      <c r="A1930" s="32"/>
      <c r="B1930" s="16"/>
      <c r="C1930" s="16"/>
      <c r="D1930" s="16"/>
      <c r="E1930" s="16"/>
      <c r="F1930" s="16"/>
      <c r="G1930" s="16"/>
      <c r="H1930" s="16"/>
      <c r="I1930" s="16"/>
      <c r="J1930" s="16"/>
      <c r="K1930" s="16"/>
      <c r="L1930" s="16"/>
      <c r="M1930" s="16"/>
      <c r="N1930" s="16"/>
      <c r="O1930" s="84"/>
      <c r="P1930" s="54"/>
      <c r="Q1930" s="54"/>
      <c r="R1930" s="55"/>
      <c r="S1930" s="55"/>
      <c r="T1930" s="32"/>
      <c r="U1930" s="32"/>
      <c r="V1930" s="32"/>
      <c r="W1930" s="32"/>
      <c r="X1930" s="32"/>
      <c r="Y1930" s="32"/>
      <c r="Z1930" s="32"/>
      <c r="AA1930" s="32"/>
      <c r="AB1930" s="32"/>
      <c r="AC1930" s="32"/>
    </row>
    <row r="1931">
      <c r="A1931" s="32"/>
      <c r="B1931" s="16"/>
      <c r="C1931" s="16"/>
      <c r="D1931" s="16"/>
      <c r="E1931" s="16"/>
      <c r="F1931" s="16"/>
      <c r="G1931" s="16"/>
      <c r="H1931" s="16"/>
      <c r="I1931" s="16"/>
      <c r="J1931" s="16"/>
      <c r="K1931" s="16"/>
      <c r="L1931" s="16"/>
      <c r="M1931" s="16"/>
      <c r="N1931" s="16"/>
      <c r="O1931" s="84"/>
      <c r="P1931" s="54"/>
      <c r="Q1931" s="54"/>
      <c r="R1931" s="55"/>
      <c r="S1931" s="55"/>
      <c r="T1931" s="32"/>
      <c r="U1931" s="32"/>
      <c r="V1931" s="32"/>
      <c r="W1931" s="32"/>
      <c r="X1931" s="32"/>
      <c r="Y1931" s="32"/>
      <c r="Z1931" s="32"/>
      <c r="AA1931" s="32"/>
      <c r="AB1931" s="32"/>
      <c r="AC1931" s="32"/>
    </row>
    <row r="1932">
      <c r="A1932" s="32"/>
      <c r="B1932" s="16"/>
      <c r="C1932" s="16"/>
      <c r="D1932" s="16"/>
      <c r="E1932" s="16"/>
      <c r="F1932" s="16"/>
      <c r="G1932" s="16"/>
      <c r="H1932" s="16"/>
      <c r="I1932" s="16"/>
      <c r="J1932" s="16"/>
      <c r="K1932" s="16"/>
      <c r="L1932" s="16"/>
      <c r="M1932" s="16"/>
      <c r="N1932" s="16"/>
      <c r="O1932" s="84"/>
      <c r="P1932" s="54"/>
      <c r="Q1932" s="54"/>
      <c r="R1932" s="55"/>
      <c r="S1932" s="55"/>
      <c r="T1932" s="32"/>
      <c r="U1932" s="32"/>
      <c r="V1932" s="32"/>
      <c r="W1932" s="32"/>
      <c r="X1932" s="32"/>
      <c r="Y1932" s="32"/>
      <c r="Z1932" s="32"/>
      <c r="AA1932" s="32"/>
      <c r="AB1932" s="32"/>
      <c r="AC1932" s="32"/>
    </row>
    <row r="1933">
      <c r="A1933" s="32"/>
      <c r="B1933" s="16"/>
      <c r="C1933" s="16"/>
      <c r="D1933" s="16"/>
      <c r="E1933" s="16"/>
      <c r="F1933" s="16"/>
      <c r="G1933" s="16"/>
      <c r="H1933" s="16"/>
      <c r="I1933" s="16"/>
      <c r="J1933" s="16"/>
      <c r="K1933" s="16"/>
      <c r="L1933" s="16"/>
      <c r="M1933" s="16"/>
      <c r="N1933" s="16"/>
      <c r="O1933" s="84"/>
      <c r="P1933" s="54"/>
      <c r="Q1933" s="54"/>
      <c r="R1933" s="55"/>
      <c r="S1933" s="55"/>
      <c r="T1933" s="32"/>
      <c r="U1933" s="32"/>
      <c r="V1933" s="32"/>
      <c r="W1933" s="32"/>
      <c r="X1933" s="32"/>
      <c r="Y1933" s="32"/>
      <c r="Z1933" s="32"/>
      <c r="AA1933" s="32"/>
      <c r="AB1933" s="32"/>
      <c r="AC1933" s="32"/>
    </row>
    <row r="1934">
      <c r="A1934" s="32"/>
      <c r="B1934" s="16"/>
      <c r="C1934" s="16"/>
      <c r="D1934" s="16"/>
      <c r="E1934" s="16"/>
      <c r="F1934" s="16"/>
      <c r="G1934" s="16"/>
      <c r="H1934" s="16"/>
      <c r="I1934" s="16"/>
      <c r="J1934" s="16"/>
      <c r="K1934" s="16"/>
      <c r="L1934" s="16"/>
      <c r="M1934" s="16"/>
      <c r="N1934" s="16"/>
      <c r="O1934" s="84"/>
      <c r="P1934" s="54"/>
      <c r="Q1934" s="54"/>
      <c r="R1934" s="55"/>
      <c r="S1934" s="55"/>
      <c r="T1934" s="32"/>
      <c r="U1934" s="32"/>
      <c r="V1934" s="32"/>
      <c r="W1934" s="32"/>
      <c r="X1934" s="32"/>
      <c r="Y1934" s="32"/>
      <c r="Z1934" s="32"/>
      <c r="AA1934" s="32"/>
      <c r="AB1934" s="32"/>
      <c r="AC1934" s="32"/>
    </row>
    <row r="1935">
      <c r="A1935" s="32"/>
      <c r="B1935" s="16"/>
      <c r="C1935" s="16"/>
      <c r="D1935" s="16"/>
      <c r="E1935" s="16"/>
      <c r="F1935" s="16"/>
      <c r="G1935" s="16"/>
      <c r="H1935" s="16"/>
      <c r="I1935" s="16"/>
      <c r="J1935" s="16"/>
      <c r="K1935" s="16"/>
      <c r="L1935" s="16"/>
      <c r="M1935" s="16"/>
      <c r="N1935" s="16"/>
      <c r="O1935" s="84"/>
      <c r="P1935" s="54"/>
      <c r="Q1935" s="54"/>
      <c r="R1935" s="55"/>
      <c r="S1935" s="55"/>
      <c r="T1935" s="32"/>
      <c r="U1935" s="32"/>
      <c r="V1935" s="32"/>
      <c r="W1935" s="32"/>
      <c r="X1935" s="32"/>
      <c r="Y1935" s="32"/>
      <c r="Z1935" s="32"/>
      <c r="AA1935" s="32"/>
      <c r="AB1935" s="32"/>
      <c r="AC1935" s="32"/>
    </row>
    <row r="1936">
      <c r="A1936" s="32"/>
      <c r="B1936" s="16"/>
      <c r="C1936" s="16"/>
      <c r="D1936" s="16"/>
      <c r="E1936" s="16"/>
      <c r="F1936" s="16"/>
      <c r="G1936" s="16"/>
      <c r="H1936" s="16"/>
      <c r="I1936" s="16"/>
      <c r="J1936" s="16"/>
      <c r="K1936" s="16"/>
      <c r="L1936" s="16"/>
      <c r="M1936" s="16"/>
      <c r="N1936" s="16"/>
      <c r="O1936" s="84"/>
      <c r="P1936" s="54"/>
      <c r="Q1936" s="54"/>
      <c r="R1936" s="55"/>
      <c r="S1936" s="55"/>
      <c r="T1936" s="32"/>
      <c r="U1936" s="32"/>
      <c r="V1936" s="32"/>
      <c r="W1936" s="32"/>
      <c r="X1936" s="32"/>
      <c r="Y1936" s="32"/>
      <c r="Z1936" s="32"/>
      <c r="AA1936" s="32"/>
      <c r="AB1936" s="32"/>
      <c r="AC1936" s="32"/>
    </row>
    <row r="1937">
      <c r="A1937" s="32"/>
      <c r="B1937" s="16"/>
      <c r="C1937" s="16"/>
      <c r="D1937" s="16"/>
      <c r="E1937" s="16"/>
      <c r="F1937" s="16"/>
      <c r="G1937" s="16"/>
      <c r="H1937" s="16"/>
      <c r="I1937" s="16"/>
      <c r="J1937" s="16"/>
      <c r="K1937" s="16"/>
      <c r="L1937" s="16"/>
      <c r="M1937" s="16"/>
      <c r="N1937" s="16"/>
      <c r="O1937" s="84"/>
      <c r="P1937" s="54"/>
      <c r="Q1937" s="54"/>
      <c r="R1937" s="55"/>
      <c r="S1937" s="55"/>
      <c r="T1937" s="32"/>
      <c r="U1937" s="32"/>
      <c r="V1937" s="32"/>
      <c r="W1937" s="32"/>
      <c r="X1937" s="32"/>
      <c r="Y1937" s="32"/>
      <c r="Z1937" s="32"/>
      <c r="AA1937" s="32"/>
      <c r="AB1937" s="32"/>
      <c r="AC1937" s="32"/>
    </row>
    <row r="1938">
      <c r="A1938" s="32"/>
      <c r="B1938" s="16"/>
      <c r="C1938" s="16"/>
      <c r="D1938" s="16"/>
      <c r="E1938" s="16"/>
      <c r="F1938" s="16"/>
      <c r="G1938" s="16"/>
      <c r="H1938" s="16"/>
      <c r="I1938" s="16"/>
      <c r="J1938" s="16"/>
      <c r="K1938" s="16"/>
      <c r="L1938" s="16"/>
      <c r="M1938" s="16"/>
      <c r="N1938" s="16"/>
      <c r="O1938" s="84"/>
      <c r="P1938" s="54"/>
      <c r="Q1938" s="54"/>
      <c r="R1938" s="55"/>
      <c r="S1938" s="55"/>
      <c r="T1938" s="32"/>
      <c r="U1938" s="32"/>
      <c r="V1938" s="32"/>
      <c r="W1938" s="32"/>
      <c r="X1938" s="32"/>
      <c r="Y1938" s="32"/>
      <c r="Z1938" s="32"/>
      <c r="AA1938" s="32"/>
      <c r="AB1938" s="32"/>
      <c r="AC1938" s="32"/>
    </row>
    <row r="1939">
      <c r="A1939" s="32"/>
      <c r="B1939" s="16"/>
      <c r="C1939" s="16"/>
      <c r="D1939" s="16"/>
      <c r="E1939" s="16"/>
      <c r="F1939" s="16"/>
      <c r="G1939" s="16"/>
      <c r="H1939" s="16"/>
      <c r="I1939" s="16"/>
      <c r="J1939" s="16"/>
      <c r="K1939" s="16"/>
      <c r="L1939" s="16"/>
      <c r="M1939" s="16"/>
      <c r="N1939" s="16"/>
      <c r="O1939" s="84"/>
      <c r="P1939" s="54"/>
      <c r="Q1939" s="54"/>
      <c r="R1939" s="55"/>
      <c r="S1939" s="55"/>
      <c r="T1939" s="32"/>
      <c r="U1939" s="32"/>
      <c r="V1939" s="32"/>
      <c r="W1939" s="32"/>
      <c r="X1939" s="32"/>
      <c r="Y1939" s="32"/>
      <c r="Z1939" s="32"/>
      <c r="AA1939" s="32"/>
      <c r="AB1939" s="32"/>
      <c r="AC1939" s="32"/>
    </row>
    <row r="1940">
      <c r="A1940" s="32"/>
      <c r="B1940" s="16"/>
      <c r="C1940" s="16"/>
      <c r="D1940" s="16"/>
      <c r="E1940" s="16"/>
      <c r="F1940" s="16"/>
      <c r="G1940" s="16"/>
      <c r="H1940" s="16"/>
      <c r="I1940" s="16"/>
      <c r="J1940" s="16"/>
      <c r="K1940" s="16"/>
      <c r="L1940" s="16"/>
      <c r="M1940" s="16"/>
      <c r="N1940" s="16"/>
      <c r="O1940" s="84"/>
      <c r="P1940" s="54"/>
      <c r="Q1940" s="54"/>
      <c r="R1940" s="55"/>
      <c r="S1940" s="55"/>
      <c r="T1940" s="32"/>
      <c r="U1940" s="32"/>
      <c r="V1940" s="32"/>
      <c r="W1940" s="32"/>
      <c r="X1940" s="32"/>
      <c r="Y1940" s="32"/>
      <c r="Z1940" s="32"/>
      <c r="AA1940" s="32"/>
      <c r="AB1940" s="32"/>
      <c r="AC1940" s="32"/>
    </row>
    <row r="1941">
      <c r="A1941" s="32"/>
      <c r="B1941" s="16"/>
      <c r="C1941" s="16"/>
      <c r="D1941" s="16"/>
      <c r="E1941" s="16"/>
      <c r="F1941" s="16"/>
      <c r="G1941" s="16"/>
      <c r="H1941" s="16"/>
      <c r="I1941" s="16"/>
      <c r="J1941" s="16"/>
      <c r="K1941" s="16"/>
      <c r="L1941" s="16"/>
      <c r="M1941" s="16"/>
      <c r="N1941" s="16"/>
      <c r="O1941" s="84"/>
      <c r="P1941" s="54"/>
      <c r="Q1941" s="54"/>
      <c r="R1941" s="55"/>
      <c r="S1941" s="55"/>
      <c r="T1941" s="32"/>
      <c r="U1941" s="32"/>
      <c r="V1941" s="32"/>
      <c r="W1941" s="32"/>
      <c r="X1941" s="32"/>
      <c r="Y1941" s="32"/>
      <c r="Z1941" s="32"/>
      <c r="AA1941" s="32"/>
      <c r="AB1941" s="32"/>
      <c r="AC1941" s="32"/>
    </row>
    <row r="1942">
      <c r="A1942" s="32"/>
      <c r="B1942" s="16"/>
      <c r="C1942" s="16"/>
      <c r="D1942" s="16"/>
      <c r="E1942" s="16"/>
      <c r="F1942" s="16"/>
      <c r="G1942" s="16"/>
      <c r="H1942" s="16"/>
      <c r="I1942" s="16"/>
      <c r="J1942" s="16"/>
      <c r="K1942" s="16"/>
      <c r="L1942" s="16"/>
      <c r="M1942" s="16"/>
      <c r="N1942" s="16"/>
      <c r="O1942" s="84"/>
      <c r="P1942" s="54"/>
      <c r="Q1942" s="54"/>
      <c r="R1942" s="55"/>
      <c r="S1942" s="55"/>
      <c r="T1942" s="32"/>
      <c r="U1942" s="32"/>
      <c r="V1942" s="32"/>
      <c r="W1942" s="32"/>
      <c r="X1942" s="32"/>
      <c r="Y1942" s="32"/>
      <c r="Z1942" s="32"/>
      <c r="AA1942" s="32"/>
      <c r="AB1942" s="32"/>
      <c r="AC1942" s="32"/>
    </row>
    <row r="1943">
      <c r="A1943" s="32"/>
      <c r="B1943" s="16"/>
      <c r="C1943" s="16"/>
      <c r="D1943" s="16"/>
      <c r="E1943" s="16"/>
      <c r="F1943" s="16"/>
      <c r="G1943" s="16"/>
      <c r="H1943" s="16"/>
      <c r="I1943" s="16"/>
      <c r="J1943" s="16"/>
      <c r="K1943" s="16"/>
      <c r="L1943" s="16"/>
      <c r="M1943" s="16"/>
      <c r="N1943" s="16"/>
      <c r="O1943" s="84"/>
      <c r="P1943" s="54"/>
      <c r="Q1943" s="54"/>
      <c r="R1943" s="55"/>
      <c r="S1943" s="55"/>
      <c r="T1943" s="32"/>
      <c r="U1943" s="32"/>
      <c r="V1943" s="32"/>
      <c r="W1943" s="32"/>
      <c r="X1943" s="32"/>
      <c r="Y1943" s="32"/>
      <c r="Z1943" s="32"/>
      <c r="AA1943" s="32"/>
      <c r="AB1943" s="32"/>
      <c r="AC1943" s="32"/>
    </row>
    <row r="1944">
      <c r="A1944" s="32"/>
      <c r="B1944" s="16"/>
      <c r="C1944" s="16"/>
      <c r="D1944" s="16"/>
      <c r="E1944" s="16"/>
      <c r="F1944" s="16"/>
      <c r="G1944" s="16"/>
      <c r="H1944" s="16"/>
      <c r="I1944" s="16"/>
      <c r="J1944" s="16"/>
      <c r="K1944" s="16"/>
      <c r="L1944" s="16"/>
      <c r="M1944" s="16"/>
      <c r="N1944" s="16"/>
      <c r="O1944" s="84"/>
      <c r="P1944" s="54"/>
      <c r="Q1944" s="54"/>
      <c r="R1944" s="55"/>
      <c r="S1944" s="55"/>
      <c r="T1944" s="32"/>
      <c r="U1944" s="32"/>
      <c r="V1944" s="32"/>
      <c r="W1944" s="32"/>
      <c r="X1944" s="32"/>
      <c r="Y1944" s="32"/>
      <c r="Z1944" s="32"/>
      <c r="AA1944" s="32"/>
      <c r="AB1944" s="32"/>
      <c r="AC1944" s="32"/>
    </row>
    <row r="1945">
      <c r="A1945" s="32"/>
      <c r="B1945" s="16"/>
      <c r="C1945" s="16"/>
      <c r="D1945" s="16"/>
      <c r="E1945" s="16"/>
      <c r="F1945" s="16"/>
      <c r="G1945" s="16"/>
      <c r="H1945" s="16"/>
      <c r="I1945" s="16"/>
      <c r="J1945" s="16"/>
      <c r="K1945" s="16"/>
      <c r="L1945" s="16"/>
      <c r="M1945" s="16"/>
      <c r="N1945" s="16"/>
      <c r="O1945" s="84"/>
      <c r="P1945" s="54"/>
      <c r="Q1945" s="54"/>
      <c r="R1945" s="55"/>
      <c r="S1945" s="55"/>
      <c r="T1945" s="32"/>
      <c r="U1945" s="32"/>
      <c r="V1945" s="32"/>
      <c r="W1945" s="32"/>
      <c r="X1945" s="32"/>
      <c r="Y1945" s="32"/>
      <c r="Z1945" s="32"/>
      <c r="AA1945" s="32"/>
      <c r="AB1945" s="32"/>
      <c r="AC1945" s="32"/>
    </row>
    <row r="1946">
      <c r="A1946" s="32"/>
      <c r="B1946" s="16"/>
      <c r="C1946" s="16"/>
      <c r="D1946" s="16"/>
      <c r="E1946" s="16"/>
      <c r="F1946" s="16"/>
      <c r="G1946" s="16"/>
      <c r="H1946" s="16"/>
      <c r="I1946" s="16"/>
      <c r="J1946" s="16"/>
      <c r="K1946" s="16"/>
      <c r="L1946" s="16"/>
      <c r="M1946" s="16"/>
      <c r="N1946" s="16"/>
      <c r="O1946" s="84"/>
      <c r="P1946" s="54"/>
      <c r="Q1946" s="54"/>
      <c r="R1946" s="55"/>
      <c r="S1946" s="55"/>
      <c r="T1946" s="32"/>
      <c r="U1946" s="32"/>
      <c r="V1946" s="32"/>
      <c r="W1946" s="32"/>
      <c r="X1946" s="32"/>
      <c r="Y1946" s="32"/>
      <c r="Z1946" s="32"/>
      <c r="AA1946" s="32"/>
      <c r="AB1946" s="32"/>
      <c r="AC1946" s="32"/>
    </row>
    <row r="1947">
      <c r="A1947" s="32"/>
      <c r="B1947" s="16"/>
      <c r="C1947" s="16"/>
      <c r="D1947" s="16"/>
      <c r="E1947" s="16"/>
      <c r="F1947" s="16"/>
      <c r="G1947" s="16"/>
      <c r="H1947" s="16"/>
      <c r="I1947" s="16"/>
      <c r="J1947" s="16"/>
      <c r="K1947" s="16"/>
      <c r="L1947" s="16"/>
      <c r="M1947" s="16"/>
      <c r="N1947" s="16"/>
      <c r="O1947" s="84"/>
      <c r="P1947" s="54"/>
      <c r="Q1947" s="54"/>
      <c r="R1947" s="55"/>
      <c r="S1947" s="55"/>
      <c r="T1947" s="32"/>
      <c r="U1947" s="32"/>
      <c r="V1947" s="32"/>
      <c r="W1947" s="32"/>
      <c r="X1947" s="32"/>
      <c r="Y1947" s="32"/>
      <c r="Z1947" s="32"/>
      <c r="AA1947" s="32"/>
      <c r="AB1947" s="32"/>
      <c r="AC1947" s="32"/>
    </row>
    <row r="1948">
      <c r="A1948" s="32"/>
      <c r="B1948" s="16"/>
      <c r="C1948" s="16"/>
      <c r="D1948" s="16"/>
      <c r="E1948" s="16"/>
      <c r="F1948" s="16"/>
      <c r="G1948" s="16"/>
      <c r="H1948" s="16"/>
      <c r="I1948" s="16"/>
      <c r="J1948" s="16"/>
      <c r="K1948" s="16"/>
      <c r="L1948" s="16"/>
      <c r="M1948" s="16"/>
      <c r="N1948" s="16"/>
      <c r="O1948" s="84"/>
      <c r="P1948" s="54"/>
      <c r="Q1948" s="54"/>
      <c r="R1948" s="55"/>
      <c r="S1948" s="55"/>
      <c r="T1948" s="32"/>
      <c r="U1948" s="32"/>
      <c r="V1948" s="32"/>
      <c r="W1948" s="32"/>
      <c r="X1948" s="32"/>
      <c r="Y1948" s="32"/>
      <c r="Z1948" s="32"/>
      <c r="AA1948" s="32"/>
      <c r="AB1948" s="32"/>
      <c r="AC1948" s="32"/>
    </row>
    <row r="1949">
      <c r="A1949" s="32"/>
      <c r="B1949" s="16"/>
      <c r="C1949" s="16"/>
      <c r="D1949" s="16"/>
      <c r="E1949" s="16"/>
      <c r="F1949" s="16"/>
      <c r="G1949" s="16"/>
      <c r="H1949" s="16"/>
      <c r="I1949" s="16"/>
      <c r="J1949" s="16"/>
      <c r="K1949" s="16"/>
      <c r="L1949" s="16"/>
      <c r="M1949" s="16"/>
      <c r="N1949" s="16"/>
      <c r="O1949" s="84"/>
      <c r="P1949" s="54"/>
      <c r="Q1949" s="54"/>
      <c r="R1949" s="55"/>
      <c r="S1949" s="55"/>
      <c r="T1949" s="32"/>
      <c r="U1949" s="32"/>
      <c r="V1949" s="32"/>
      <c r="W1949" s="32"/>
      <c r="X1949" s="32"/>
      <c r="Y1949" s="32"/>
      <c r="Z1949" s="32"/>
      <c r="AA1949" s="32"/>
      <c r="AB1949" s="32"/>
      <c r="AC1949" s="32"/>
    </row>
    <row r="1950">
      <c r="A1950" s="32"/>
      <c r="B1950" s="16"/>
      <c r="C1950" s="16"/>
      <c r="D1950" s="16"/>
      <c r="E1950" s="16"/>
      <c r="F1950" s="16"/>
      <c r="G1950" s="16"/>
      <c r="H1950" s="16"/>
      <c r="I1950" s="16"/>
      <c r="J1950" s="16"/>
      <c r="K1950" s="16"/>
      <c r="L1950" s="16"/>
      <c r="M1950" s="16"/>
      <c r="N1950" s="16"/>
      <c r="O1950" s="84"/>
      <c r="P1950" s="54"/>
      <c r="Q1950" s="54"/>
      <c r="R1950" s="55"/>
      <c r="S1950" s="55"/>
      <c r="T1950" s="32"/>
      <c r="U1950" s="32"/>
      <c r="V1950" s="32"/>
      <c r="W1950" s="32"/>
      <c r="X1950" s="32"/>
      <c r="Y1950" s="32"/>
      <c r="Z1950" s="32"/>
      <c r="AA1950" s="32"/>
      <c r="AB1950" s="32"/>
      <c r="AC1950" s="32"/>
    </row>
    <row r="1951">
      <c r="A1951" s="32"/>
      <c r="B1951" s="16"/>
      <c r="C1951" s="16"/>
      <c r="D1951" s="16"/>
      <c r="E1951" s="16"/>
      <c r="F1951" s="16"/>
      <c r="G1951" s="16"/>
      <c r="H1951" s="16"/>
      <c r="I1951" s="16"/>
      <c r="J1951" s="16"/>
      <c r="K1951" s="16"/>
      <c r="L1951" s="16"/>
      <c r="M1951" s="16"/>
      <c r="N1951" s="16"/>
      <c r="O1951" s="84"/>
      <c r="P1951" s="54"/>
      <c r="Q1951" s="54"/>
      <c r="R1951" s="55"/>
      <c r="S1951" s="55"/>
      <c r="T1951" s="32"/>
      <c r="U1951" s="32"/>
      <c r="V1951" s="32"/>
      <c r="W1951" s="32"/>
      <c r="X1951" s="32"/>
      <c r="Y1951" s="32"/>
      <c r="Z1951" s="32"/>
      <c r="AA1951" s="32"/>
      <c r="AB1951" s="32"/>
      <c r="AC1951" s="32"/>
    </row>
    <row r="1952">
      <c r="A1952" s="32"/>
      <c r="B1952" s="16"/>
      <c r="C1952" s="16"/>
      <c r="D1952" s="16"/>
      <c r="E1952" s="16"/>
      <c r="F1952" s="16"/>
      <c r="G1952" s="16"/>
      <c r="H1952" s="16"/>
      <c r="I1952" s="16"/>
      <c r="J1952" s="16"/>
      <c r="K1952" s="16"/>
      <c r="L1952" s="16"/>
      <c r="M1952" s="16"/>
      <c r="N1952" s="16"/>
      <c r="O1952" s="84"/>
      <c r="P1952" s="54"/>
      <c r="Q1952" s="54"/>
      <c r="R1952" s="55"/>
      <c r="S1952" s="55"/>
      <c r="T1952" s="32"/>
      <c r="U1952" s="32"/>
      <c r="V1952" s="32"/>
      <c r="W1952" s="32"/>
      <c r="X1952" s="32"/>
      <c r="Y1952" s="32"/>
      <c r="Z1952" s="32"/>
      <c r="AA1952" s="32"/>
      <c r="AB1952" s="32"/>
      <c r="AC1952" s="32"/>
    </row>
    <row r="1953">
      <c r="A1953" s="32"/>
      <c r="B1953" s="16"/>
      <c r="C1953" s="16"/>
      <c r="D1953" s="16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  <c r="O1953" s="84"/>
      <c r="P1953" s="54"/>
      <c r="Q1953" s="54"/>
      <c r="R1953" s="55"/>
      <c r="S1953" s="55"/>
      <c r="T1953" s="32"/>
      <c r="U1953" s="32"/>
      <c r="V1953" s="32"/>
      <c r="W1953" s="32"/>
      <c r="X1953" s="32"/>
      <c r="Y1953" s="32"/>
      <c r="Z1953" s="32"/>
      <c r="AA1953" s="32"/>
      <c r="AB1953" s="32"/>
      <c r="AC1953" s="32"/>
    </row>
    <row r="1954">
      <c r="A1954" s="32"/>
      <c r="B1954" s="16"/>
      <c r="C1954" s="16"/>
      <c r="D1954" s="16"/>
      <c r="E1954" s="16"/>
      <c r="F1954" s="16"/>
      <c r="G1954" s="16"/>
      <c r="H1954" s="16"/>
      <c r="I1954" s="16"/>
      <c r="J1954" s="16"/>
      <c r="K1954" s="16"/>
      <c r="L1954" s="16"/>
      <c r="M1954" s="16"/>
      <c r="N1954" s="16"/>
      <c r="O1954" s="84"/>
      <c r="P1954" s="54"/>
      <c r="Q1954" s="54"/>
      <c r="R1954" s="55"/>
      <c r="S1954" s="55"/>
      <c r="T1954" s="32"/>
      <c r="U1954" s="32"/>
      <c r="V1954" s="32"/>
      <c r="W1954" s="32"/>
      <c r="X1954" s="32"/>
      <c r="Y1954" s="32"/>
      <c r="Z1954" s="32"/>
      <c r="AA1954" s="32"/>
      <c r="AB1954" s="32"/>
      <c r="AC1954" s="32"/>
    </row>
    <row r="1955">
      <c r="A1955" s="32"/>
      <c r="B1955" s="16"/>
      <c r="C1955" s="16"/>
      <c r="D1955" s="16"/>
      <c r="E1955" s="16"/>
      <c r="F1955" s="16"/>
      <c r="G1955" s="16"/>
      <c r="H1955" s="16"/>
      <c r="I1955" s="16"/>
      <c r="J1955" s="16"/>
      <c r="K1955" s="16"/>
      <c r="L1955" s="16"/>
      <c r="M1955" s="16"/>
      <c r="N1955" s="16"/>
      <c r="O1955" s="84"/>
      <c r="P1955" s="54"/>
      <c r="Q1955" s="54"/>
      <c r="R1955" s="55"/>
      <c r="S1955" s="55"/>
      <c r="T1955" s="32"/>
      <c r="U1955" s="32"/>
      <c r="V1955" s="32"/>
      <c r="W1955" s="32"/>
      <c r="X1955" s="32"/>
      <c r="Y1955" s="32"/>
      <c r="Z1955" s="32"/>
      <c r="AA1955" s="32"/>
      <c r="AB1955" s="32"/>
      <c r="AC1955" s="32"/>
    </row>
    <row r="1956">
      <c r="A1956" s="32"/>
      <c r="B1956" s="16"/>
      <c r="C1956" s="16"/>
      <c r="D1956" s="16"/>
      <c r="E1956" s="16"/>
      <c r="F1956" s="16"/>
      <c r="G1956" s="16"/>
      <c r="H1956" s="16"/>
      <c r="I1956" s="16"/>
      <c r="J1956" s="16"/>
      <c r="K1956" s="16"/>
      <c r="L1956" s="16"/>
      <c r="M1956" s="16"/>
      <c r="N1956" s="16"/>
      <c r="O1956" s="84"/>
      <c r="P1956" s="54"/>
      <c r="Q1956" s="54"/>
      <c r="R1956" s="55"/>
      <c r="S1956" s="55"/>
      <c r="T1956" s="32"/>
      <c r="U1956" s="32"/>
      <c r="V1956" s="32"/>
      <c r="W1956" s="32"/>
      <c r="X1956" s="32"/>
      <c r="Y1956" s="32"/>
      <c r="Z1956" s="32"/>
      <c r="AA1956" s="32"/>
      <c r="AB1956" s="32"/>
      <c r="AC1956" s="32"/>
    </row>
    <row r="1957">
      <c r="A1957" s="32"/>
      <c r="B1957" s="16"/>
      <c r="C1957" s="16"/>
      <c r="D1957" s="16"/>
      <c r="E1957" s="16"/>
      <c r="F1957" s="16"/>
      <c r="G1957" s="16"/>
      <c r="H1957" s="16"/>
      <c r="I1957" s="16"/>
      <c r="J1957" s="16"/>
      <c r="K1957" s="16"/>
      <c r="L1957" s="16"/>
      <c r="M1957" s="16"/>
      <c r="N1957" s="16"/>
      <c r="O1957" s="84"/>
      <c r="P1957" s="54"/>
      <c r="Q1957" s="54"/>
      <c r="R1957" s="55"/>
      <c r="S1957" s="55"/>
      <c r="T1957" s="32"/>
      <c r="U1957" s="32"/>
      <c r="V1957" s="32"/>
      <c r="W1957" s="32"/>
      <c r="X1957" s="32"/>
      <c r="Y1957" s="32"/>
      <c r="Z1957" s="32"/>
      <c r="AA1957" s="32"/>
      <c r="AB1957" s="32"/>
      <c r="AC1957" s="32"/>
    </row>
    <row r="1958">
      <c r="A1958" s="32"/>
      <c r="B1958" s="16"/>
      <c r="C1958" s="16"/>
      <c r="D1958" s="16"/>
      <c r="E1958" s="16"/>
      <c r="F1958" s="16"/>
      <c r="G1958" s="16"/>
      <c r="H1958" s="16"/>
      <c r="I1958" s="16"/>
      <c r="J1958" s="16"/>
      <c r="K1958" s="16"/>
      <c r="L1958" s="16"/>
      <c r="M1958" s="16"/>
      <c r="N1958" s="16"/>
      <c r="O1958" s="84"/>
      <c r="P1958" s="54"/>
      <c r="Q1958" s="54"/>
      <c r="R1958" s="55"/>
      <c r="S1958" s="55"/>
      <c r="T1958" s="32"/>
      <c r="U1958" s="32"/>
      <c r="V1958" s="32"/>
      <c r="W1958" s="32"/>
      <c r="X1958" s="32"/>
      <c r="Y1958" s="32"/>
      <c r="Z1958" s="32"/>
      <c r="AA1958" s="32"/>
      <c r="AB1958" s="32"/>
      <c r="AC1958" s="32"/>
    </row>
    <row r="1959">
      <c r="A1959" s="32"/>
      <c r="B1959" s="16"/>
      <c r="C1959" s="16"/>
      <c r="D1959" s="16"/>
      <c r="E1959" s="16"/>
      <c r="F1959" s="16"/>
      <c r="G1959" s="16"/>
      <c r="H1959" s="16"/>
      <c r="I1959" s="16"/>
      <c r="J1959" s="16"/>
      <c r="K1959" s="16"/>
      <c r="L1959" s="16"/>
      <c r="M1959" s="16"/>
      <c r="N1959" s="16"/>
      <c r="O1959" s="84"/>
      <c r="P1959" s="54"/>
      <c r="Q1959" s="54"/>
      <c r="R1959" s="55"/>
      <c r="S1959" s="55"/>
      <c r="T1959" s="32"/>
      <c r="U1959" s="32"/>
      <c r="V1959" s="32"/>
      <c r="W1959" s="32"/>
      <c r="X1959" s="32"/>
      <c r="Y1959" s="32"/>
      <c r="Z1959" s="32"/>
      <c r="AA1959" s="32"/>
      <c r="AB1959" s="32"/>
      <c r="AC1959" s="32"/>
    </row>
    <row r="1960">
      <c r="A1960" s="32"/>
      <c r="B1960" s="16"/>
      <c r="C1960" s="16"/>
      <c r="D1960" s="16"/>
      <c r="E1960" s="16"/>
      <c r="F1960" s="16"/>
      <c r="G1960" s="16"/>
      <c r="H1960" s="16"/>
      <c r="I1960" s="16"/>
      <c r="J1960" s="16"/>
      <c r="K1960" s="16"/>
      <c r="L1960" s="16"/>
      <c r="M1960" s="16"/>
      <c r="N1960" s="16"/>
      <c r="O1960" s="84"/>
      <c r="P1960" s="54"/>
      <c r="Q1960" s="54"/>
      <c r="R1960" s="55"/>
      <c r="S1960" s="55"/>
      <c r="T1960" s="32"/>
      <c r="U1960" s="32"/>
      <c r="V1960" s="32"/>
      <c r="W1960" s="32"/>
      <c r="X1960" s="32"/>
      <c r="Y1960" s="32"/>
      <c r="Z1960" s="32"/>
      <c r="AA1960" s="32"/>
      <c r="AB1960" s="32"/>
      <c r="AC1960" s="32"/>
    </row>
    <row r="1961">
      <c r="A1961" s="32"/>
      <c r="B1961" s="16"/>
      <c r="C1961" s="16"/>
      <c r="D1961" s="16"/>
      <c r="E1961" s="16"/>
      <c r="F1961" s="16"/>
      <c r="G1961" s="16"/>
      <c r="H1961" s="16"/>
      <c r="I1961" s="16"/>
      <c r="J1961" s="16"/>
      <c r="K1961" s="16"/>
      <c r="L1961" s="16"/>
      <c r="M1961" s="16"/>
      <c r="N1961" s="16"/>
      <c r="O1961" s="84"/>
      <c r="P1961" s="54"/>
      <c r="Q1961" s="54"/>
      <c r="R1961" s="55"/>
      <c r="S1961" s="55"/>
      <c r="T1961" s="32"/>
      <c r="U1961" s="32"/>
      <c r="V1961" s="32"/>
      <c r="W1961" s="32"/>
      <c r="X1961" s="32"/>
      <c r="Y1961" s="32"/>
      <c r="Z1961" s="32"/>
      <c r="AA1961" s="32"/>
      <c r="AB1961" s="32"/>
      <c r="AC1961" s="32"/>
    </row>
    <row r="1962">
      <c r="A1962" s="32"/>
      <c r="B1962" s="16"/>
      <c r="C1962" s="16"/>
      <c r="D1962" s="16"/>
      <c r="E1962" s="16"/>
      <c r="F1962" s="16"/>
      <c r="G1962" s="16"/>
      <c r="H1962" s="16"/>
      <c r="I1962" s="16"/>
      <c r="J1962" s="16"/>
      <c r="K1962" s="16"/>
      <c r="L1962" s="16"/>
      <c r="M1962" s="16"/>
      <c r="N1962" s="16"/>
      <c r="O1962" s="84"/>
      <c r="P1962" s="54"/>
      <c r="Q1962" s="54"/>
      <c r="R1962" s="55"/>
      <c r="S1962" s="55"/>
      <c r="T1962" s="32"/>
      <c r="U1962" s="32"/>
      <c r="V1962" s="32"/>
      <c r="W1962" s="32"/>
      <c r="X1962" s="32"/>
      <c r="Y1962" s="32"/>
      <c r="Z1962" s="32"/>
      <c r="AA1962" s="32"/>
      <c r="AB1962" s="32"/>
      <c r="AC1962" s="32"/>
    </row>
    <row r="1963">
      <c r="A1963" s="32"/>
      <c r="B1963" s="16"/>
      <c r="C1963" s="16"/>
      <c r="D1963" s="16"/>
      <c r="E1963" s="16"/>
      <c r="F1963" s="16"/>
      <c r="G1963" s="16"/>
      <c r="H1963" s="16"/>
      <c r="I1963" s="16"/>
      <c r="J1963" s="16"/>
      <c r="K1963" s="16"/>
      <c r="L1963" s="16"/>
      <c r="M1963" s="16"/>
      <c r="N1963" s="16"/>
      <c r="O1963" s="84"/>
      <c r="P1963" s="54"/>
      <c r="Q1963" s="54"/>
      <c r="R1963" s="55"/>
      <c r="S1963" s="55"/>
      <c r="T1963" s="32"/>
      <c r="U1963" s="32"/>
      <c r="V1963" s="32"/>
      <c r="W1963" s="32"/>
      <c r="X1963" s="32"/>
      <c r="Y1963" s="32"/>
      <c r="Z1963" s="32"/>
      <c r="AA1963" s="32"/>
      <c r="AB1963" s="32"/>
      <c r="AC1963" s="32"/>
    </row>
    <row r="1964">
      <c r="A1964" s="32"/>
      <c r="B1964" s="16"/>
      <c r="C1964" s="16"/>
      <c r="D1964" s="16"/>
      <c r="E1964" s="16"/>
      <c r="F1964" s="16"/>
      <c r="G1964" s="16"/>
      <c r="H1964" s="16"/>
      <c r="I1964" s="16"/>
      <c r="J1964" s="16"/>
      <c r="K1964" s="16"/>
      <c r="L1964" s="16"/>
      <c r="M1964" s="16"/>
      <c r="N1964" s="16"/>
      <c r="O1964" s="84"/>
      <c r="P1964" s="54"/>
      <c r="Q1964" s="54"/>
      <c r="R1964" s="55"/>
      <c r="S1964" s="55"/>
      <c r="T1964" s="32"/>
      <c r="U1964" s="32"/>
      <c r="V1964" s="32"/>
      <c r="W1964" s="32"/>
      <c r="X1964" s="32"/>
      <c r="Y1964" s="32"/>
      <c r="Z1964" s="32"/>
      <c r="AA1964" s="32"/>
      <c r="AB1964" s="32"/>
      <c r="AC1964" s="32"/>
    </row>
    <row r="1965">
      <c r="A1965" s="32"/>
      <c r="B1965" s="16"/>
      <c r="C1965" s="16"/>
      <c r="D1965" s="16"/>
      <c r="E1965" s="16"/>
      <c r="F1965" s="16"/>
      <c r="G1965" s="16"/>
      <c r="H1965" s="16"/>
      <c r="I1965" s="16"/>
      <c r="J1965" s="16"/>
      <c r="K1965" s="16"/>
      <c r="L1965" s="16"/>
      <c r="M1965" s="16"/>
      <c r="N1965" s="16"/>
      <c r="O1965" s="84"/>
      <c r="P1965" s="54"/>
      <c r="Q1965" s="54"/>
      <c r="R1965" s="55"/>
      <c r="S1965" s="55"/>
      <c r="T1965" s="32"/>
      <c r="U1965" s="32"/>
      <c r="V1965" s="32"/>
      <c r="W1965" s="32"/>
      <c r="X1965" s="32"/>
      <c r="Y1965" s="32"/>
      <c r="Z1965" s="32"/>
      <c r="AA1965" s="32"/>
      <c r="AB1965" s="32"/>
      <c r="AC1965" s="32"/>
    </row>
    <row r="1966">
      <c r="A1966" s="32"/>
      <c r="B1966" s="16"/>
      <c r="C1966" s="16"/>
      <c r="D1966" s="16"/>
      <c r="E1966" s="16"/>
      <c r="F1966" s="16"/>
      <c r="G1966" s="16"/>
      <c r="H1966" s="16"/>
      <c r="I1966" s="16"/>
      <c r="J1966" s="16"/>
      <c r="K1966" s="16"/>
      <c r="L1966" s="16"/>
      <c r="M1966" s="16"/>
      <c r="N1966" s="16"/>
      <c r="O1966" s="84"/>
      <c r="P1966" s="54"/>
      <c r="Q1966" s="54"/>
      <c r="R1966" s="55"/>
      <c r="S1966" s="55"/>
      <c r="T1966" s="32"/>
      <c r="U1966" s="32"/>
      <c r="V1966" s="32"/>
      <c r="W1966" s="32"/>
      <c r="X1966" s="32"/>
      <c r="Y1966" s="32"/>
      <c r="Z1966" s="32"/>
      <c r="AA1966" s="32"/>
      <c r="AB1966" s="32"/>
      <c r="AC1966" s="32"/>
    </row>
    <row r="1967">
      <c r="A1967" s="32"/>
      <c r="B1967" s="16"/>
      <c r="C1967" s="16"/>
      <c r="D1967" s="16"/>
      <c r="E1967" s="16"/>
      <c r="F1967" s="16"/>
      <c r="G1967" s="16"/>
      <c r="H1967" s="16"/>
      <c r="I1967" s="16"/>
      <c r="J1967" s="16"/>
      <c r="K1967" s="16"/>
      <c r="L1967" s="16"/>
      <c r="M1967" s="16"/>
      <c r="N1967" s="16"/>
      <c r="O1967" s="84"/>
      <c r="P1967" s="54"/>
      <c r="Q1967" s="54"/>
      <c r="R1967" s="55"/>
      <c r="S1967" s="55"/>
      <c r="T1967" s="32"/>
      <c r="U1967" s="32"/>
      <c r="V1967" s="32"/>
      <c r="W1967" s="32"/>
      <c r="X1967" s="32"/>
      <c r="Y1967" s="32"/>
      <c r="Z1967" s="32"/>
      <c r="AA1967" s="32"/>
      <c r="AB1967" s="32"/>
      <c r="AC1967" s="32"/>
    </row>
    <row r="1968">
      <c r="A1968" s="32"/>
      <c r="B1968" s="16"/>
      <c r="C1968" s="16"/>
      <c r="D1968" s="16"/>
      <c r="E1968" s="16"/>
      <c r="F1968" s="16"/>
      <c r="G1968" s="16"/>
      <c r="H1968" s="16"/>
      <c r="I1968" s="16"/>
      <c r="J1968" s="16"/>
      <c r="K1968" s="16"/>
      <c r="L1968" s="16"/>
      <c r="M1968" s="16"/>
      <c r="N1968" s="16"/>
      <c r="O1968" s="84"/>
      <c r="P1968" s="54"/>
      <c r="Q1968" s="54"/>
      <c r="R1968" s="55"/>
      <c r="S1968" s="55"/>
      <c r="T1968" s="32"/>
      <c r="U1968" s="32"/>
      <c r="V1968" s="32"/>
      <c r="W1968" s="32"/>
      <c r="X1968" s="32"/>
      <c r="Y1968" s="32"/>
      <c r="Z1968" s="32"/>
      <c r="AA1968" s="32"/>
      <c r="AB1968" s="32"/>
      <c r="AC1968" s="32"/>
    </row>
    <row r="1969">
      <c r="A1969" s="32"/>
      <c r="B1969" s="16"/>
      <c r="C1969" s="16"/>
      <c r="D1969" s="16"/>
      <c r="E1969" s="16"/>
      <c r="F1969" s="16"/>
      <c r="G1969" s="16"/>
      <c r="H1969" s="16"/>
      <c r="I1969" s="16"/>
      <c r="J1969" s="16"/>
      <c r="K1969" s="16"/>
      <c r="L1969" s="16"/>
      <c r="M1969" s="16"/>
      <c r="N1969" s="16"/>
      <c r="O1969" s="84"/>
      <c r="P1969" s="54"/>
      <c r="Q1969" s="54"/>
      <c r="R1969" s="55"/>
      <c r="S1969" s="55"/>
      <c r="T1969" s="32"/>
      <c r="U1969" s="32"/>
      <c r="V1969" s="32"/>
      <c r="W1969" s="32"/>
      <c r="X1969" s="32"/>
      <c r="Y1969" s="32"/>
      <c r="Z1969" s="32"/>
      <c r="AA1969" s="32"/>
      <c r="AB1969" s="32"/>
      <c r="AC1969" s="32"/>
    </row>
    <row r="1970">
      <c r="A1970" s="32"/>
      <c r="B1970" s="16"/>
      <c r="C1970" s="16"/>
      <c r="D1970" s="16"/>
      <c r="E1970" s="16"/>
      <c r="F1970" s="16"/>
      <c r="G1970" s="16"/>
      <c r="H1970" s="16"/>
      <c r="I1970" s="16"/>
      <c r="J1970" s="16"/>
      <c r="K1970" s="16"/>
      <c r="L1970" s="16"/>
      <c r="M1970" s="16"/>
      <c r="N1970" s="16"/>
      <c r="O1970" s="84"/>
      <c r="P1970" s="54"/>
      <c r="Q1970" s="54"/>
      <c r="R1970" s="55"/>
      <c r="S1970" s="55"/>
      <c r="T1970" s="32"/>
      <c r="U1970" s="32"/>
      <c r="V1970" s="32"/>
      <c r="W1970" s="32"/>
      <c r="X1970" s="32"/>
      <c r="Y1970" s="32"/>
      <c r="Z1970" s="32"/>
      <c r="AA1970" s="32"/>
      <c r="AB1970" s="32"/>
      <c r="AC1970" s="32"/>
    </row>
    <row r="1971">
      <c r="A1971" s="32"/>
      <c r="B1971" s="16"/>
      <c r="C1971" s="16"/>
      <c r="D1971" s="16"/>
      <c r="E1971" s="16"/>
      <c r="F1971" s="16"/>
      <c r="G1971" s="16"/>
      <c r="H1971" s="16"/>
      <c r="I1971" s="16"/>
      <c r="J1971" s="16"/>
      <c r="K1971" s="16"/>
      <c r="L1971" s="16"/>
      <c r="M1971" s="16"/>
      <c r="N1971" s="16"/>
      <c r="O1971" s="84"/>
      <c r="P1971" s="54"/>
      <c r="Q1971" s="54"/>
      <c r="R1971" s="55"/>
      <c r="S1971" s="55"/>
      <c r="T1971" s="32"/>
      <c r="U1971" s="32"/>
      <c r="V1971" s="32"/>
      <c r="W1971" s="32"/>
      <c r="X1971" s="32"/>
      <c r="Y1971" s="32"/>
      <c r="Z1971" s="32"/>
      <c r="AA1971" s="32"/>
      <c r="AB1971" s="32"/>
      <c r="AC1971" s="32"/>
    </row>
    <row r="1972">
      <c r="A1972" s="32"/>
      <c r="B1972" s="16"/>
      <c r="C1972" s="16"/>
      <c r="D1972" s="16"/>
      <c r="E1972" s="16"/>
      <c r="F1972" s="16"/>
      <c r="G1972" s="16"/>
      <c r="H1972" s="16"/>
      <c r="I1972" s="16"/>
      <c r="J1972" s="16"/>
      <c r="K1972" s="16"/>
      <c r="L1972" s="16"/>
      <c r="M1972" s="16"/>
      <c r="N1972" s="16"/>
      <c r="O1972" s="84"/>
      <c r="P1972" s="54"/>
      <c r="Q1972" s="54"/>
      <c r="R1972" s="55"/>
      <c r="S1972" s="55"/>
      <c r="T1972" s="32"/>
      <c r="U1972" s="32"/>
      <c r="V1972" s="32"/>
      <c r="W1972" s="32"/>
      <c r="X1972" s="32"/>
      <c r="Y1972" s="32"/>
      <c r="Z1972" s="32"/>
      <c r="AA1972" s="32"/>
      <c r="AB1972" s="32"/>
      <c r="AC1972" s="32"/>
    </row>
    <row r="1973">
      <c r="A1973" s="32"/>
      <c r="B1973" s="16"/>
      <c r="C1973" s="16"/>
      <c r="D1973" s="16"/>
      <c r="E1973" s="16"/>
      <c r="F1973" s="16"/>
      <c r="G1973" s="16"/>
      <c r="H1973" s="16"/>
      <c r="I1973" s="16"/>
      <c r="J1973" s="16"/>
      <c r="K1973" s="16"/>
      <c r="L1973" s="16"/>
      <c r="M1973" s="16"/>
      <c r="N1973" s="16"/>
      <c r="O1973" s="84"/>
      <c r="P1973" s="54"/>
      <c r="Q1973" s="54"/>
      <c r="R1973" s="55"/>
      <c r="S1973" s="55"/>
      <c r="T1973" s="32"/>
      <c r="U1973" s="32"/>
      <c r="V1973" s="32"/>
      <c r="W1973" s="32"/>
      <c r="X1973" s="32"/>
      <c r="Y1973" s="32"/>
      <c r="Z1973" s="32"/>
      <c r="AA1973" s="32"/>
      <c r="AB1973" s="32"/>
      <c r="AC1973" s="32"/>
    </row>
    <row r="1974">
      <c r="A1974" s="32"/>
      <c r="B1974" s="16"/>
      <c r="C1974" s="16"/>
      <c r="D1974" s="16"/>
      <c r="E1974" s="16"/>
      <c r="F1974" s="16"/>
      <c r="G1974" s="16"/>
      <c r="H1974" s="16"/>
      <c r="I1974" s="16"/>
      <c r="J1974" s="16"/>
      <c r="K1974" s="16"/>
      <c r="L1974" s="16"/>
      <c r="M1974" s="16"/>
      <c r="N1974" s="16"/>
      <c r="O1974" s="84"/>
      <c r="P1974" s="54"/>
      <c r="Q1974" s="54"/>
      <c r="R1974" s="55"/>
      <c r="S1974" s="55"/>
      <c r="T1974" s="32"/>
      <c r="U1974" s="32"/>
      <c r="V1974" s="32"/>
      <c r="W1974" s="32"/>
      <c r="X1974" s="32"/>
      <c r="Y1974" s="32"/>
      <c r="Z1974" s="32"/>
      <c r="AA1974" s="32"/>
      <c r="AB1974" s="32"/>
      <c r="AC1974" s="32"/>
    </row>
    <row r="1975">
      <c r="A1975" s="32"/>
      <c r="B1975" s="16"/>
      <c r="C1975" s="16"/>
      <c r="D1975" s="16"/>
      <c r="E1975" s="16"/>
      <c r="F1975" s="16"/>
      <c r="G1975" s="16"/>
      <c r="H1975" s="16"/>
      <c r="I1975" s="16"/>
      <c r="J1975" s="16"/>
      <c r="K1975" s="16"/>
      <c r="L1975" s="16"/>
      <c r="M1975" s="16"/>
      <c r="N1975" s="16"/>
      <c r="O1975" s="84"/>
      <c r="P1975" s="54"/>
      <c r="Q1975" s="54"/>
      <c r="R1975" s="55"/>
      <c r="S1975" s="55"/>
      <c r="T1975" s="32"/>
      <c r="U1975" s="32"/>
      <c r="V1975" s="32"/>
      <c r="W1975" s="32"/>
      <c r="X1975" s="32"/>
      <c r="Y1975" s="32"/>
      <c r="Z1975" s="32"/>
      <c r="AA1975" s="32"/>
      <c r="AB1975" s="32"/>
      <c r="AC1975" s="32"/>
    </row>
    <row r="1976">
      <c r="A1976" s="32"/>
      <c r="B1976" s="16"/>
      <c r="C1976" s="16"/>
      <c r="D1976" s="16"/>
      <c r="E1976" s="16"/>
      <c r="F1976" s="16"/>
      <c r="G1976" s="16"/>
      <c r="H1976" s="16"/>
      <c r="I1976" s="16"/>
      <c r="J1976" s="16"/>
      <c r="K1976" s="16"/>
      <c r="L1976" s="16"/>
      <c r="M1976" s="16"/>
      <c r="N1976" s="16"/>
      <c r="O1976" s="84"/>
      <c r="P1976" s="54"/>
      <c r="Q1976" s="54"/>
      <c r="R1976" s="55"/>
      <c r="S1976" s="55"/>
      <c r="T1976" s="32"/>
      <c r="U1976" s="32"/>
      <c r="V1976" s="32"/>
      <c r="W1976" s="32"/>
      <c r="X1976" s="32"/>
      <c r="Y1976" s="32"/>
      <c r="Z1976" s="32"/>
      <c r="AA1976" s="32"/>
      <c r="AB1976" s="32"/>
      <c r="AC1976" s="32"/>
    </row>
    <row r="1977">
      <c r="A1977" s="32"/>
      <c r="B1977" s="16"/>
      <c r="C1977" s="16"/>
      <c r="D1977" s="16"/>
      <c r="E1977" s="16"/>
      <c r="F1977" s="16"/>
      <c r="G1977" s="16"/>
      <c r="H1977" s="16"/>
      <c r="I1977" s="16"/>
      <c r="J1977" s="16"/>
      <c r="K1977" s="16"/>
      <c r="L1977" s="16"/>
      <c r="M1977" s="16"/>
      <c r="N1977" s="16"/>
      <c r="O1977" s="84"/>
      <c r="P1977" s="54"/>
      <c r="Q1977" s="54"/>
      <c r="R1977" s="55"/>
      <c r="S1977" s="55"/>
      <c r="T1977" s="32"/>
      <c r="U1977" s="32"/>
      <c r="V1977" s="32"/>
      <c r="W1977" s="32"/>
      <c r="X1977" s="32"/>
      <c r="Y1977" s="32"/>
      <c r="Z1977" s="32"/>
      <c r="AA1977" s="32"/>
      <c r="AB1977" s="32"/>
      <c r="AC1977" s="32"/>
    </row>
    <row r="1978">
      <c r="A1978" s="32"/>
      <c r="B1978" s="16"/>
      <c r="C1978" s="16"/>
      <c r="D1978" s="16"/>
      <c r="E1978" s="16"/>
      <c r="F1978" s="16"/>
      <c r="G1978" s="16"/>
      <c r="H1978" s="16"/>
      <c r="I1978" s="16"/>
      <c r="J1978" s="16"/>
      <c r="K1978" s="16"/>
      <c r="L1978" s="16"/>
      <c r="M1978" s="16"/>
      <c r="N1978" s="16"/>
      <c r="O1978" s="84"/>
      <c r="P1978" s="54"/>
      <c r="Q1978" s="54"/>
      <c r="R1978" s="55"/>
      <c r="S1978" s="55"/>
      <c r="T1978" s="32"/>
      <c r="U1978" s="32"/>
      <c r="V1978" s="32"/>
      <c r="W1978" s="32"/>
      <c r="X1978" s="32"/>
      <c r="Y1978" s="32"/>
      <c r="Z1978" s="32"/>
      <c r="AA1978" s="32"/>
      <c r="AB1978" s="32"/>
      <c r="AC1978" s="32"/>
    </row>
    <row r="1979">
      <c r="A1979" s="32"/>
      <c r="B1979" s="16"/>
      <c r="C1979" s="16"/>
      <c r="D1979" s="16"/>
      <c r="E1979" s="16"/>
      <c r="F1979" s="16"/>
      <c r="G1979" s="16"/>
      <c r="H1979" s="16"/>
      <c r="I1979" s="16"/>
      <c r="J1979" s="16"/>
      <c r="K1979" s="16"/>
      <c r="L1979" s="16"/>
      <c r="M1979" s="16"/>
      <c r="N1979" s="16"/>
      <c r="O1979" s="84"/>
      <c r="P1979" s="54"/>
      <c r="Q1979" s="54"/>
      <c r="R1979" s="55"/>
      <c r="S1979" s="55"/>
      <c r="T1979" s="32"/>
      <c r="U1979" s="32"/>
      <c r="V1979" s="32"/>
      <c r="W1979" s="32"/>
      <c r="X1979" s="32"/>
      <c r="Y1979" s="32"/>
      <c r="Z1979" s="32"/>
      <c r="AA1979" s="32"/>
      <c r="AB1979" s="32"/>
      <c r="AC1979" s="32"/>
    </row>
    <row r="1980">
      <c r="A1980" s="32"/>
      <c r="B1980" s="16"/>
      <c r="C1980" s="16"/>
      <c r="D1980" s="16"/>
      <c r="E1980" s="16"/>
      <c r="F1980" s="16"/>
      <c r="G1980" s="16"/>
      <c r="H1980" s="16"/>
      <c r="I1980" s="16"/>
      <c r="J1980" s="16"/>
      <c r="K1980" s="16"/>
      <c r="L1980" s="16"/>
      <c r="M1980" s="16"/>
      <c r="N1980" s="16"/>
      <c r="O1980" s="84"/>
      <c r="P1980" s="54"/>
      <c r="Q1980" s="54"/>
      <c r="R1980" s="55"/>
      <c r="S1980" s="55"/>
      <c r="T1980" s="32"/>
      <c r="U1980" s="32"/>
      <c r="V1980" s="32"/>
      <c r="W1980" s="32"/>
      <c r="X1980" s="32"/>
      <c r="Y1980" s="32"/>
      <c r="Z1980" s="32"/>
      <c r="AA1980" s="32"/>
      <c r="AB1980" s="32"/>
      <c r="AC1980" s="32"/>
    </row>
    <row r="1981">
      <c r="A1981" s="32"/>
      <c r="B1981" s="16"/>
      <c r="C1981" s="16"/>
      <c r="D1981" s="16"/>
      <c r="E1981" s="16"/>
      <c r="F1981" s="16"/>
      <c r="G1981" s="16"/>
      <c r="H1981" s="16"/>
      <c r="I1981" s="16"/>
      <c r="J1981" s="16"/>
      <c r="K1981" s="16"/>
      <c r="L1981" s="16"/>
      <c r="M1981" s="16"/>
      <c r="N1981" s="16"/>
      <c r="O1981" s="84"/>
      <c r="P1981" s="54"/>
      <c r="Q1981" s="54"/>
      <c r="R1981" s="55"/>
      <c r="S1981" s="55"/>
      <c r="T1981" s="32"/>
      <c r="U1981" s="32"/>
      <c r="V1981" s="32"/>
      <c r="W1981" s="32"/>
      <c r="X1981" s="32"/>
      <c r="Y1981" s="32"/>
      <c r="Z1981" s="32"/>
      <c r="AA1981" s="32"/>
      <c r="AB1981" s="32"/>
      <c r="AC1981" s="32"/>
    </row>
    <row r="1982">
      <c r="A1982" s="32"/>
      <c r="B1982" s="16"/>
      <c r="C1982" s="16"/>
      <c r="D1982" s="16"/>
      <c r="E1982" s="16"/>
      <c r="F1982" s="16"/>
      <c r="G1982" s="16"/>
      <c r="H1982" s="16"/>
      <c r="I1982" s="16"/>
      <c r="J1982" s="16"/>
      <c r="K1982" s="16"/>
      <c r="L1982" s="16"/>
      <c r="M1982" s="16"/>
      <c r="N1982" s="16"/>
      <c r="O1982" s="84"/>
      <c r="P1982" s="54"/>
      <c r="Q1982" s="54"/>
      <c r="R1982" s="55"/>
      <c r="S1982" s="55"/>
      <c r="T1982" s="32"/>
      <c r="U1982" s="32"/>
      <c r="V1982" s="32"/>
      <c r="W1982" s="32"/>
      <c r="X1982" s="32"/>
      <c r="Y1982" s="32"/>
      <c r="Z1982" s="32"/>
      <c r="AA1982" s="32"/>
      <c r="AB1982" s="32"/>
      <c r="AC1982" s="32"/>
    </row>
    <row r="1983">
      <c r="A1983" s="32"/>
      <c r="B1983" s="16"/>
      <c r="C1983" s="16"/>
      <c r="D1983" s="16"/>
      <c r="E1983" s="16"/>
      <c r="F1983" s="16"/>
      <c r="G1983" s="16"/>
      <c r="H1983" s="16"/>
      <c r="I1983" s="16"/>
      <c r="J1983" s="16"/>
      <c r="K1983" s="16"/>
      <c r="L1983" s="16"/>
      <c r="M1983" s="16"/>
      <c r="N1983" s="16"/>
      <c r="O1983" s="84"/>
      <c r="P1983" s="54"/>
      <c r="Q1983" s="54"/>
      <c r="R1983" s="55"/>
      <c r="S1983" s="55"/>
      <c r="T1983" s="32"/>
      <c r="U1983" s="32"/>
      <c r="V1983" s="32"/>
      <c r="W1983" s="32"/>
      <c r="X1983" s="32"/>
      <c r="Y1983" s="32"/>
      <c r="Z1983" s="32"/>
      <c r="AA1983" s="32"/>
      <c r="AB1983" s="32"/>
      <c r="AC1983" s="32"/>
    </row>
    <row r="1984">
      <c r="A1984" s="32"/>
      <c r="B1984" s="16"/>
      <c r="C1984" s="16"/>
      <c r="D1984" s="16"/>
      <c r="E1984" s="16"/>
      <c r="F1984" s="16"/>
      <c r="G1984" s="16"/>
      <c r="H1984" s="16"/>
      <c r="I1984" s="16"/>
      <c r="J1984" s="16"/>
      <c r="K1984" s="16"/>
      <c r="L1984" s="16"/>
      <c r="M1984" s="16"/>
      <c r="N1984" s="16"/>
      <c r="O1984" s="84"/>
      <c r="P1984" s="54"/>
      <c r="Q1984" s="54"/>
      <c r="R1984" s="55"/>
      <c r="S1984" s="55"/>
      <c r="T1984" s="32"/>
      <c r="U1984" s="32"/>
      <c r="V1984" s="32"/>
      <c r="W1984" s="32"/>
      <c r="X1984" s="32"/>
      <c r="Y1984" s="32"/>
      <c r="Z1984" s="32"/>
      <c r="AA1984" s="32"/>
      <c r="AB1984" s="32"/>
      <c r="AC1984" s="32"/>
    </row>
    <row r="1985">
      <c r="A1985" s="32"/>
      <c r="B1985" s="16"/>
      <c r="C1985" s="16"/>
      <c r="D1985" s="16"/>
      <c r="E1985" s="16"/>
      <c r="F1985" s="16"/>
      <c r="G1985" s="16"/>
      <c r="H1985" s="16"/>
      <c r="I1985" s="16"/>
      <c r="J1985" s="16"/>
      <c r="K1985" s="16"/>
      <c r="L1985" s="16"/>
      <c r="M1985" s="16"/>
      <c r="N1985" s="16"/>
      <c r="O1985" s="84"/>
      <c r="P1985" s="54"/>
      <c r="Q1985" s="54"/>
      <c r="R1985" s="55"/>
      <c r="S1985" s="55"/>
      <c r="T1985" s="32"/>
      <c r="U1985" s="32"/>
      <c r="V1985" s="32"/>
      <c r="W1985" s="32"/>
      <c r="X1985" s="32"/>
      <c r="Y1985" s="32"/>
      <c r="Z1985" s="32"/>
      <c r="AA1985" s="32"/>
      <c r="AB1985" s="32"/>
      <c r="AC1985" s="32"/>
    </row>
    <row r="1986">
      <c r="A1986" s="32"/>
      <c r="B1986" s="16"/>
      <c r="C1986" s="16"/>
      <c r="D1986" s="16"/>
      <c r="E1986" s="16"/>
      <c r="F1986" s="16"/>
      <c r="G1986" s="16"/>
      <c r="H1986" s="16"/>
      <c r="I1986" s="16"/>
      <c r="J1986" s="16"/>
      <c r="K1986" s="16"/>
      <c r="L1986" s="16"/>
      <c r="M1986" s="16"/>
      <c r="N1986" s="16"/>
      <c r="O1986" s="84"/>
      <c r="P1986" s="54"/>
      <c r="Q1986" s="54"/>
      <c r="R1986" s="55"/>
      <c r="S1986" s="55"/>
      <c r="T1986" s="32"/>
      <c r="U1986" s="32"/>
      <c r="V1986" s="32"/>
      <c r="W1986" s="32"/>
      <c r="X1986" s="32"/>
      <c r="Y1986" s="32"/>
      <c r="Z1986" s="32"/>
      <c r="AA1986" s="32"/>
      <c r="AB1986" s="32"/>
      <c r="AC1986" s="32"/>
    </row>
    <row r="1987">
      <c r="A1987" s="32"/>
      <c r="B1987" s="16"/>
      <c r="C1987" s="16"/>
      <c r="D1987" s="16"/>
      <c r="E1987" s="16"/>
      <c r="F1987" s="16"/>
      <c r="G1987" s="16"/>
      <c r="H1987" s="16"/>
      <c r="I1987" s="16"/>
      <c r="J1987" s="16"/>
      <c r="K1987" s="16"/>
      <c r="L1987" s="16"/>
      <c r="M1987" s="16"/>
      <c r="N1987" s="16"/>
      <c r="O1987" s="84"/>
      <c r="P1987" s="54"/>
      <c r="Q1987" s="54"/>
      <c r="R1987" s="55"/>
      <c r="S1987" s="55"/>
      <c r="T1987" s="32"/>
      <c r="U1987" s="32"/>
      <c r="V1987" s="32"/>
      <c r="W1987" s="32"/>
      <c r="X1987" s="32"/>
      <c r="Y1987" s="32"/>
      <c r="Z1987" s="32"/>
      <c r="AA1987" s="32"/>
      <c r="AB1987" s="32"/>
      <c r="AC1987" s="32"/>
    </row>
    <row r="1988">
      <c r="A1988" s="32"/>
      <c r="B1988" s="16"/>
      <c r="C1988" s="16"/>
      <c r="D1988" s="16"/>
      <c r="E1988" s="16"/>
      <c r="F1988" s="16"/>
      <c r="G1988" s="16"/>
      <c r="H1988" s="16"/>
      <c r="I1988" s="16"/>
      <c r="J1988" s="16"/>
      <c r="K1988" s="16"/>
      <c r="L1988" s="16"/>
      <c r="M1988" s="16"/>
      <c r="N1988" s="16"/>
      <c r="O1988" s="84"/>
      <c r="P1988" s="54"/>
      <c r="Q1988" s="54"/>
      <c r="R1988" s="55"/>
      <c r="S1988" s="55"/>
      <c r="T1988" s="32"/>
      <c r="U1988" s="32"/>
      <c r="V1988" s="32"/>
      <c r="W1988" s="32"/>
      <c r="X1988" s="32"/>
      <c r="Y1988" s="32"/>
      <c r="Z1988" s="32"/>
      <c r="AA1988" s="32"/>
      <c r="AB1988" s="32"/>
      <c r="AC1988" s="32"/>
    </row>
    <row r="1989">
      <c r="A1989" s="32"/>
      <c r="B1989" s="16"/>
      <c r="C1989" s="16"/>
      <c r="D1989" s="16"/>
      <c r="E1989" s="16"/>
      <c r="F1989" s="16"/>
      <c r="G1989" s="16"/>
      <c r="H1989" s="16"/>
      <c r="I1989" s="16"/>
      <c r="J1989" s="16"/>
      <c r="K1989" s="16"/>
      <c r="L1989" s="16"/>
      <c r="M1989" s="16"/>
      <c r="N1989" s="16"/>
      <c r="O1989" s="84"/>
      <c r="P1989" s="54"/>
      <c r="Q1989" s="54"/>
      <c r="R1989" s="55"/>
      <c r="S1989" s="55"/>
      <c r="T1989" s="32"/>
      <c r="U1989" s="32"/>
      <c r="V1989" s="32"/>
      <c r="W1989" s="32"/>
      <c r="X1989" s="32"/>
      <c r="Y1989" s="32"/>
      <c r="Z1989" s="32"/>
      <c r="AA1989" s="32"/>
      <c r="AB1989" s="32"/>
      <c r="AC1989" s="32"/>
    </row>
    <row r="1990">
      <c r="A1990" s="32"/>
      <c r="B1990" s="16"/>
      <c r="C1990" s="16"/>
      <c r="D1990" s="16"/>
      <c r="E1990" s="16"/>
      <c r="F1990" s="16"/>
      <c r="G1990" s="16"/>
      <c r="H1990" s="16"/>
      <c r="I1990" s="16"/>
      <c r="J1990" s="16"/>
      <c r="K1990" s="16"/>
      <c r="L1990" s="16"/>
      <c r="M1990" s="16"/>
      <c r="N1990" s="16"/>
      <c r="O1990" s="84"/>
      <c r="P1990" s="54"/>
      <c r="Q1990" s="54"/>
      <c r="R1990" s="55"/>
      <c r="S1990" s="55"/>
      <c r="T1990" s="32"/>
      <c r="U1990" s="32"/>
      <c r="V1990" s="32"/>
      <c r="W1990" s="32"/>
      <c r="X1990" s="32"/>
      <c r="Y1990" s="32"/>
      <c r="Z1990" s="32"/>
      <c r="AA1990" s="32"/>
      <c r="AB1990" s="32"/>
      <c r="AC1990" s="32"/>
    </row>
    <row r="1991">
      <c r="A1991" s="32"/>
      <c r="B1991" s="16"/>
      <c r="C1991" s="16"/>
      <c r="D1991" s="16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  <c r="O1991" s="84"/>
      <c r="P1991" s="54"/>
      <c r="Q1991" s="54"/>
      <c r="R1991" s="55"/>
      <c r="S1991" s="55"/>
      <c r="T1991" s="32"/>
      <c r="U1991" s="32"/>
      <c r="V1991" s="32"/>
      <c r="W1991" s="32"/>
      <c r="X1991" s="32"/>
      <c r="Y1991" s="32"/>
      <c r="Z1991" s="32"/>
      <c r="AA1991" s="32"/>
      <c r="AB1991" s="32"/>
      <c r="AC1991" s="32"/>
    </row>
    <row r="1992">
      <c r="A1992" s="32"/>
      <c r="B1992" s="16"/>
      <c r="C1992" s="16"/>
      <c r="D1992" s="16"/>
      <c r="E1992" s="16"/>
      <c r="F1992" s="16"/>
      <c r="G1992" s="16"/>
      <c r="H1992" s="16"/>
      <c r="I1992" s="16"/>
      <c r="J1992" s="16"/>
      <c r="K1992" s="16"/>
      <c r="L1992" s="16"/>
      <c r="M1992" s="16"/>
      <c r="N1992" s="16"/>
      <c r="O1992" s="84"/>
      <c r="P1992" s="54"/>
      <c r="Q1992" s="54"/>
      <c r="R1992" s="55"/>
      <c r="S1992" s="55"/>
      <c r="T1992" s="32"/>
      <c r="U1992" s="32"/>
      <c r="V1992" s="32"/>
      <c r="W1992" s="32"/>
      <c r="X1992" s="32"/>
      <c r="Y1992" s="32"/>
      <c r="Z1992" s="32"/>
      <c r="AA1992" s="32"/>
      <c r="AB1992" s="32"/>
      <c r="AC1992" s="32"/>
    </row>
    <row r="1993">
      <c r="A1993" s="32"/>
      <c r="B1993" s="16"/>
      <c r="C1993" s="16"/>
      <c r="D1993" s="16"/>
      <c r="E1993" s="16"/>
      <c r="F1993" s="16"/>
      <c r="G1993" s="16"/>
      <c r="H1993" s="16"/>
      <c r="I1993" s="16"/>
      <c r="J1993" s="16"/>
      <c r="K1993" s="16"/>
      <c r="L1993" s="16"/>
      <c r="M1993" s="16"/>
      <c r="N1993" s="16"/>
      <c r="O1993" s="84"/>
      <c r="P1993" s="54"/>
      <c r="Q1993" s="54"/>
      <c r="R1993" s="55"/>
      <c r="S1993" s="55"/>
      <c r="T1993" s="32"/>
      <c r="U1993" s="32"/>
      <c r="V1993" s="32"/>
      <c r="W1993" s="32"/>
      <c r="X1993" s="32"/>
      <c r="Y1993" s="32"/>
      <c r="Z1993" s="32"/>
      <c r="AA1993" s="32"/>
      <c r="AB1993" s="32"/>
      <c r="AC1993" s="32"/>
    </row>
    <row r="1994">
      <c r="A1994" s="32"/>
      <c r="B1994" s="16"/>
      <c r="C1994" s="16"/>
      <c r="D1994" s="16"/>
      <c r="E1994" s="16"/>
      <c r="F1994" s="16"/>
      <c r="G1994" s="16"/>
      <c r="H1994" s="16"/>
      <c r="I1994" s="16"/>
      <c r="J1994" s="16"/>
      <c r="K1994" s="16"/>
      <c r="L1994" s="16"/>
      <c r="M1994" s="16"/>
      <c r="N1994" s="16"/>
      <c r="O1994" s="84"/>
      <c r="P1994" s="54"/>
      <c r="Q1994" s="54"/>
      <c r="R1994" s="55"/>
      <c r="S1994" s="55"/>
      <c r="T1994" s="32"/>
      <c r="U1994" s="32"/>
      <c r="V1994" s="32"/>
      <c r="W1994" s="32"/>
      <c r="X1994" s="32"/>
      <c r="Y1994" s="32"/>
      <c r="Z1994" s="32"/>
      <c r="AA1994" s="32"/>
      <c r="AB1994" s="32"/>
      <c r="AC1994" s="32"/>
    </row>
    <row r="1995">
      <c r="A1995" s="32"/>
      <c r="B1995" s="16"/>
      <c r="C1995" s="16"/>
      <c r="D1995" s="16"/>
      <c r="E1995" s="16"/>
      <c r="F1995" s="16"/>
      <c r="G1995" s="16"/>
      <c r="H1995" s="16"/>
      <c r="I1995" s="16"/>
      <c r="J1995" s="16"/>
      <c r="K1995" s="16"/>
      <c r="L1995" s="16"/>
      <c r="M1995" s="16"/>
      <c r="N1995" s="16"/>
      <c r="O1995" s="84"/>
      <c r="P1995" s="54"/>
      <c r="Q1995" s="54"/>
      <c r="R1995" s="55"/>
      <c r="S1995" s="55"/>
      <c r="T1995" s="32"/>
      <c r="U1995" s="32"/>
      <c r="V1995" s="32"/>
      <c r="W1995" s="32"/>
      <c r="X1995" s="32"/>
      <c r="Y1995" s="32"/>
      <c r="Z1995" s="32"/>
      <c r="AA1995" s="32"/>
      <c r="AB1995" s="32"/>
      <c r="AC1995" s="32"/>
    </row>
    <row r="1996">
      <c r="A1996" s="32"/>
      <c r="B1996" s="16"/>
      <c r="C1996" s="16"/>
      <c r="D1996" s="16"/>
      <c r="E1996" s="16"/>
      <c r="F1996" s="16"/>
      <c r="G1996" s="16"/>
      <c r="H1996" s="16"/>
      <c r="I1996" s="16"/>
      <c r="J1996" s="16"/>
      <c r="K1996" s="16"/>
      <c r="L1996" s="16"/>
      <c r="M1996" s="16"/>
      <c r="N1996" s="16"/>
      <c r="O1996" s="84"/>
      <c r="P1996" s="54"/>
      <c r="Q1996" s="54"/>
      <c r="R1996" s="55"/>
      <c r="S1996" s="55"/>
      <c r="T1996" s="32"/>
      <c r="U1996" s="32"/>
      <c r="V1996" s="32"/>
      <c r="W1996" s="32"/>
      <c r="X1996" s="32"/>
      <c r="Y1996" s="32"/>
      <c r="Z1996" s="32"/>
      <c r="AA1996" s="32"/>
      <c r="AB1996" s="32"/>
      <c r="AC1996" s="32"/>
    </row>
    <row r="1997">
      <c r="A1997" s="32"/>
      <c r="B1997" s="16"/>
      <c r="C1997" s="16"/>
      <c r="D1997" s="16"/>
      <c r="E1997" s="16"/>
      <c r="F1997" s="16"/>
      <c r="G1997" s="16"/>
      <c r="H1997" s="16"/>
      <c r="I1997" s="16"/>
      <c r="J1997" s="16"/>
      <c r="K1997" s="16"/>
      <c r="L1997" s="16"/>
      <c r="M1997" s="16"/>
      <c r="N1997" s="16"/>
      <c r="O1997" s="84"/>
      <c r="P1997" s="54"/>
      <c r="Q1997" s="54"/>
      <c r="R1997" s="55"/>
      <c r="S1997" s="55"/>
      <c r="T1997" s="32"/>
      <c r="U1997" s="32"/>
      <c r="V1997" s="32"/>
      <c r="W1997" s="32"/>
      <c r="X1997" s="32"/>
      <c r="Y1997" s="32"/>
      <c r="Z1997" s="32"/>
      <c r="AA1997" s="32"/>
      <c r="AB1997" s="32"/>
      <c r="AC1997" s="32"/>
    </row>
    <row r="1998">
      <c r="A1998" s="32"/>
      <c r="B1998" s="16"/>
      <c r="C1998" s="16"/>
      <c r="D1998" s="16"/>
      <c r="E1998" s="16"/>
      <c r="F1998" s="16"/>
      <c r="G1998" s="16"/>
      <c r="H1998" s="16"/>
      <c r="I1998" s="16"/>
      <c r="J1998" s="16"/>
      <c r="K1998" s="16"/>
      <c r="L1998" s="16"/>
      <c r="M1998" s="16"/>
      <c r="N1998" s="16"/>
      <c r="O1998" s="84"/>
      <c r="P1998" s="54"/>
      <c r="Q1998" s="54"/>
      <c r="R1998" s="55"/>
      <c r="S1998" s="55"/>
      <c r="T1998" s="32"/>
      <c r="U1998" s="32"/>
      <c r="V1998" s="32"/>
      <c r="W1998" s="32"/>
      <c r="X1998" s="32"/>
      <c r="Y1998" s="32"/>
      <c r="Z1998" s="32"/>
      <c r="AA1998" s="32"/>
      <c r="AB1998" s="32"/>
      <c r="AC1998" s="32"/>
    </row>
    <row r="1999">
      <c r="A1999" s="32"/>
      <c r="B1999" s="16"/>
      <c r="C1999" s="16"/>
      <c r="D1999" s="16"/>
      <c r="E1999" s="16"/>
      <c r="F1999" s="16"/>
      <c r="G1999" s="16"/>
      <c r="H1999" s="16"/>
      <c r="I1999" s="16"/>
      <c r="J1999" s="16"/>
      <c r="K1999" s="16"/>
      <c r="L1999" s="16"/>
      <c r="M1999" s="16"/>
      <c r="N1999" s="16"/>
      <c r="O1999" s="84"/>
      <c r="P1999" s="54"/>
      <c r="Q1999" s="54"/>
      <c r="R1999" s="55"/>
      <c r="S1999" s="55"/>
      <c r="T1999" s="32"/>
      <c r="U1999" s="32"/>
      <c r="V1999" s="32"/>
      <c r="W1999" s="32"/>
      <c r="X1999" s="32"/>
      <c r="Y1999" s="32"/>
      <c r="Z1999" s="32"/>
      <c r="AA1999" s="32"/>
      <c r="AB1999" s="32"/>
      <c r="AC1999" s="32"/>
    </row>
    <row r="2000">
      <c r="A2000" s="32"/>
      <c r="B2000" s="16"/>
      <c r="C2000" s="16"/>
      <c r="D2000" s="16"/>
      <c r="E2000" s="16"/>
      <c r="F2000" s="16"/>
      <c r="G2000" s="16"/>
      <c r="H2000" s="16"/>
      <c r="I2000" s="16"/>
      <c r="J2000" s="16"/>
      <c r="K2000" s="16"/>
      <c r="L2000" s="16"/>
      <c r="M2000" s="16"/>
      <c r="N2000" s="16"/>
      <c r="O2000" s="84"/>
      <c r="P2000" s="54"/>
      <c r="Q2000" s="54"/>
      <c r="R2000" s="55"/>
      <c r="S2000" s="55"/>
      <c r="T2000" s="32"/>
      <c r="U2000" s="32"/>
      <c r="V2000" s="32"/>
      <c r="W2000" s="32"/>
      <c r="X2000" s="32"/>
      <c r="Y2000" s="32"/>
      <c r="Z2000" s="32"/>
      <c r="AA2000" s="32"/>
      <c r="AB2000" s="32"/>
      <c r="AC2000" s="32"/>
    </row>
    <row r="2001">
      <c r="A2001" s="32"/>
      <c r="B2001" s="16"/>
      <c r="C2001" s="16"/>
      <c r="D2001" s="16"/>
      <c r="E2001" s="16"/>
      <c r="F2001" s="16"/>
      <c r="G2001" s="16"/>
      <c r="H2001" s="16"/>
      <c r="I2001" s="16"/>
      <c r="J2001" s="16"/>
      <c r="K2001" s="16"/>
      <c r="L2001" s="16"/>
      <c r="M2001" s="16"/>
      <c r="N2001" s="16"/>
      <c r="O2001" s="84"/>
      <c r="P2001" s="54"/>
      <c r="Q2001" s="54"/>
      <c r="R2001" s="55"/>
      <c r="S2001" s="55"/>
      <c r="T2001" s="32"/>
      <c r="U2001" s="32"/>
      <c r="V2001" s="32"/>
      <c r="W2001" s="32"/>
      <c r="X2001" s="32"/>
      <c r="Y2001" s="32"/>
      <c r="Z2001" s="32"/>
      <c r="AA2001" s="32"/>
      <c r="AB2001" s="32"/>
      <c r="AC2001" s="32"/>
    </row>
    <row r="2002">
      <c r="A2002" s="32"/>
      <c r="B2002" s="16"/>
      <c r="C2002" s="16"/>
      <c r="D2002" s="16"/>
      <c r="E2002" s="16"/>
      <c r="F2002" s="16"/>
      <c r="G2002" s="16"/>
      <c r="H2002" s="16"/>
      <c r="I2002" s="16"/>
      <c r="J2002" s="16"/>
      <c r="K2002" s="16"/>
      <c r="L2002" s="16"/>
      <c r="M2002" s="16"/>
      <c r="N2002" s="16"/>
      <c r="O2002" s="84"/>
      <c r="P2002" s="54"/>
      <c r="Q2002" s="54"/>
      <c r="R2002" s="55"/>
      <c r="S2002" s="55"/>
      <c r="T2002" s="32"/>
      <c r="U2002" s="32"/>
      <c r="V2002" s="32"/>
      <c r="W2002" s="32"/>
      <c r="X2002" s="32"/>
      <c r="Y2002" s="32"/>
      <c r="Z2002" s="32"/>
      <c r="AA2002" s="32"/>
      <c r="AB2002" s="32"/>
      <c r="AC2002" s="32"/>
    </row>
    <row r="2003">
      <c r="A2003" s="32"/>
      <c r="B2003" s="16"/>
      <c r="C2003" s="16"/>
      <c r="D2003" s="16"/>
      <c r="E2003" s="16"/>
      <c r="F2003" s="16"/>
      <c r="G2003" s="16"/>
      <c r="H2003" s="16"/>
      <c r="I2003" s="16"/>
      <c r="J2003" s="16"/>
      <c r="K2003" s="16"/>
      <c r="L2003" s="16"/>
      <c r="M2003" s="16"/>
      <c r="N2003" s="16"/>
      <c r="O2003" s="84"/>
      <c r="P2003" s="54"/>
      <c r="Q2003" s="54"/>
      <c r="R2003" s="55"/>
      <c r="S2003" s="55"/>
      <c r="T2003" s="32"/>
      <c r="U2003" s="32"/>
      <c r="V2003" s="32"/>
      <c r="W2003" s="32"/>
      <c r="X2003" s="32"/>
      <c r="Y2003" s="32"/>
      <c r="Z2003" s="32"/>
      <c r="AA2003" s="32"/>
      <c r="AB2003" s="32"/>
      <c r="AC2003" s="32"/>
    </row>
    <row r="2004">
      <c r="A2004" s="32"/>
      <c r="B2004" s="16"/>
      <c r="C2004" s="16"/>
      <c r="D2004" s="16"/>
      <c r="E2004" s="16"/>
      <c r="F2004" s="16"/>
      <c r="G2004" s="16"/>
      <c r="H2004" s="16"/>
      <c r="I2004" s="16"/>
      <c r="J2004" s="16"/>
      <c r="K2004" s="16"/>
      <c r="L2004" s="16"/>
      <c r="M2004" s="16"/>
      <c r="N2004" s="16"/>
      <c r="O2004" s="84"/>
      <c r="P2004" s="54"/>
      <c r="Q2004" s="54"/>
      <c r="R2004" s="55"/>
      <c r="S2004" s="55"/>
      <c r="T2004" s="32"/>
      <c r="U2004" s="32"/>
      <c r="V2004" s="32"/>
      <c r="W2004" s="32"/>
      <c r="X2004" s="32"/>
      <c r="Y2004" s="32"/>
      <c r="Z2004" s="32"/>
      <c r="AA2004" s="32"/>
      <c r="AB2004" s="32"/>
      <c r="AC2004" s="32"/>
    </row>
    <row r="2005">
      <c r="A2005" s="32"/>
      <c r="B2005" s="16"/>
      <c r="C2005" s="16"/>
      <c r="D2005" s="16"/>
      <c r="E2005" s="16"/>
      <c r="F2005" s="16"/>
      <c r="G2005" s="16"/>
      <c r="H2005" s="16"/>
      <c r="I2005" s="16"/>
      <c r="J2005" s="16"/>
      <c r="K2005" s="16"/>
      <c r="L2005" s="16"/>
      <c r="M2005" s="16"/>
      <c r="N2005" s="16"/>
      <c r="O2005" s="84"/>
      <c r="P2005" s="54"/>
      <c r="Q2005" s="54"/>
      <c r="R2005" s="55"/>
      <c r="S2005" s="55"/>
      <c r="T2005" s="32"/>
      <c r="U2005" s="32"/>
      <c r="V2005" s="32"/>
      <c r="W2005" s="32"/>
      <c r="X2005" s="32"/>
      <c r="Y2005" s="32"/>
      <c r="Z2005" s="32"/>
      <c r="AA2005" s="32"/>
      <c r="AB2005" s="32"/>
      <c r="AC2005" s="32"/>
    </row>
    <row r="2006">
      <c r="A2006" s="32"/>
      <c r="B2006" s="16"/>
      <c r="C2006" s="16"/>
      <c r="D2006" s="16"/>
      <c r="E2006" s="16"/>
      <c r="F2006" s="16"/>
      <c r="G2006" s="16"/>
      <c r="H2006" s="16"/>
      <c r="I2006" s="16"/>
      <c r="J2006" s="16"/>
      <c r="K2006" s="16"/>
      <c r="L2006" s="16"/>
      <c r="M2006" s="16"/>
      <c r="N2006" s="16"/>
      <c r="O2006" s="84"/>
      <c r="P2006" s="54"/>
      <c r="Q2006" s="54"/>
      <c r="R2006" s="55"/>
      <c r="S2006" s="55"/>
      <c r="T2006" s="32"/>
      <c r="U2006" s="32"/>
      <c r="V2006" s="32"/>
      <c r="W2006" s="32"/>
      <c r="X2006" s="32"/>
      <c r="Y2006" s="32"/>
      <c r="Z2006" s="32"/>
      <c r="AA2006" s="32"/>
      <c r="AB2006" s="32"/>
      <c r="AC2006" s="32"/>
    </row>
    <row r="2007">
      <c r="A2007" s="32"/>
      <c r="B2007" s="16"/>
      <c r="C2007" s="16"/>
      <c r="D2007" s="16"/>
      <c r="E2007" s="16"/>
      <c r="F2007" s="16"/>
      <c r="G2007" s="16"/>
      <c r="H2007" s="16"/>
      <c r="I2007" s="16"/>
      <c r="J2007" s="16"/>
      <c r="K2007" s="16"/>
      <c r="L2007" s="16"/>
      <c r="M2007" s="16"/>
      <c r="N2007" s="16"/>
      <c r="O2007" s="84"/>
      <c r="P2007" s="54"/>
      <c r="Q2007" s="54"/>
      <c r="R2007" s="55"/>
      <c r="S2007" s="55"/>
      <c r="T2007" s="32"/>
      <c r="U2007" s="32"/>
      <c r="V2007" s="32"/>
      <c r="W2007" s="32"/>
      <c r="X2007" s="32"/>
      <c r="Y2007" s="32"/>
      <c r="Z2007" s="32"/>
      <c r="AA2007" s="32"/>
      <c r="AB2007" s="32"/>
      <c r="AC2007" s="32"/>
    </row>
    <row r="2008">
      <c r="A2008" s="32"/>
      <c r="B2008" s="16"/>
      <c r="C2008" s="16"/>
      <c r="D2008" s="16"/>
      <c r="E2008" s="16"/>
      <c r="F2008" s="16"/>
      <c r="G2008" s="16"/>
      <c r="H2008" s="16"/>
      <c r="I2008" s="16"/>
      <c r="J2008" s="16"/>
      <c r="K2008" s="16"/>
      <c r="L2008" s="16"/>
      <c r="M2008" s="16"/>
      <c r="N2008" s="16"/>
      <c r="O2008" s="84"/>
      <c r="P2008" s="54"/>
      <c r="Q2008" s="54"/>
      <c r="R2008" s="55"/>
      <c r="S2008" s="55"/>
      <c r="T2008" s="32"/>
      <c r="U2008" s="32"/>
      <c r="V2008" s="32"/>
      <c r="W2008" s="32"/>
      <c r="X2008" s="32"/>
      <c r="Y2008" s="32"/>
      <c r="Z2008" s="32"/>
      <c r="AA2008" s="32"/>
      <c r="AB2008" s="32"/>
      <c r="AC2008" s="32"/>
    </row>
    <row r="2009">
      <c r="A2009" s="32"/>
      <c r="B2009" s="16"/>
      <c r="C2009" s="16"/>
      <c r="D2009" s="16"/>
      <c r="E2009" s="16"/>
      <c r="F2009" s="16"/>
      <c r="G2009" s="16"/>
      <c r="H2009" s="16"/>
      <c r="I2009" s="16"/>
      <c r="J2009" s="16"/>
      <c r="K2009" s="16"/>
      <c r="L2009" s="16"/>
      <c r="M2009" s="16"/>
      <c r="N2009" s="16"/>
      <c r="O2009" s="84"/>
      <c r="P2009" s="54"/>
      <c r="Q2009" s="54"/>
      <c r="R2009" s="55"/>
      <c r="S2009" s="55"/>
      <c r="T2009" s="32"/>
      <c r="U2009" s="32"/>
      <c r="V2009" s="32"/>
      <c r="W2009" s="32"/>
      <c r="X2009" s="32"/>
      <c r="Y2009" s="32"/>
      <c r="Z2009" s="32"/>
      <c r="AA2009" s="32"/>
      <c r="AB2009" s="32"/>
      <c r="AC2009" s="32"/>
    </row>
    <row r="2010">
      <c r="A2010" s="32"/>
      <c r="B2010" s="16"/>
      <c r="C2010" s="16"/>
      <c r="D2010" s="16"/>
      <c r="E2010" s="16"/>
      <c r="F2010" s="16"/>
      <c r="G2010" s="16"/>
      <c r="H2010" s="16"/>
      <c r="I2010" s="16"/>
      <c r="J2010" s="16"/>
      <c r="K2010" s="16"/>
      <c r="L2010" s="16"/>
      <c r="M2010" s="16"/>
      <c r="N2010" s="16"/>
      <c r="O2010" s="84"/>
      <c r="P2010" s="54"/>
      <c r="Q2010" s="54"/>
      <c r="R2010" s="55"/>
      <c r="S2010" s="55"/>
      <c r="T2010" s="32"/>
      <c r="U2010" s="32"/>
      <c r="V2010" s="32"/>
      <c r="W2010" s="32"/>
      <c r="X2010" s="32"/>
      <c r="Y2010" s="32"/>
      <c r="Z2010" s="32"/>
      <c r="AA2010" s="32"/>
      <c r="AB2010" s="32"/>
      <c r="AC2010" s="32"/>
    </row>
    <row r="2011">
      <c r="A2011" s="32"/>
      <c r="B2011" s="16"/>
      <c r="C2011" s="16"/>
      <c r="D2011" s="16"/>
      <c r="E2011" s="16"/>
      <c r="F2011" s="16"/>
      <c r="G2011" s="16"/>
      <c r="H2011" s="16"/>
      <c r="I2011" s="16"/>
      <c r="J2011" s="16"/>
      <c r="K2011" s="16"/>
      <c r="L2011" s="16"/>
      <c r="M2011" s="16"/>
      <c r="N2011" s="16"/>
      <c r="O2011" s="84"/>
      <c r="P2011" s="54"/>
      <c r="Q2011" s="54"/>
      <c r="R2011" s="55"/>
      <c r="S2011" s="55"/>
      <c r="T2011" s="32"/>
      <c r="U2011" s="32"/>
      <c r="V2011" s="32"/>
      <c r="W2011" s="32"/>
      <c r="X2011" s="32"/>
      <c r="Y2011" s="32"/>
      <c r="Z2011" s="32"/>
      <c r="AA2011" s="32"/>
      <c r="AB2011" s="32"/>
      <c r="AC2011" s="32"/>
    </row>
    <row r="2012">
      <c r="A2012" s="32"/>
      <c r="B2012" s="16"/>
      <c r="C2012" s="16"/>
      <c r="D2012" s="16"/>
      <c r="E2012" s="16"/>
      <c r="F2012" s="16"/>
      <c r="G2012" s="16"/>
      <c r="H2012" s="16"/>
      <c r="I2012" s="16"/>
      <c r="J2012" s="16"/>
      <c r="K2012" s="16"/>
      <c r="L2012" s="16"/>
      <c r="M2012" s="16"/>
      <c r="N2012" s="16"/>
      <c r="O2012" s="84"/>
      <c r="P2012" s="54"/>
      <c r="Q2012" s="54"/>
      <c r="R2012" s="55"/>
      <c r="S2012" s="55"/>
      <c r="T2012" s="32"/>
      <c r="U2012" s="32"/>
      <c r="V2012" s="32"/>
      <c r="W2012" s="32"/>
      <c r="X2012" s="32"/>
      <c r="Y2012" s="32"/>
      <c r="Z2012" s="32"/>
      <c r="AA2012" s="32"/>
      <c r="AB2012" s="32"/>
      <c r="AC2012" s="32"/>
    </row>
    <row r="2013">
      <c r="A2013" s="32"/>
      <c r="B2013" s="16"/>
      <c r="C2013" s="16"/>
      <c r="D2013" s="16"/>
      <c r="E2013" s="16"/>
      <c r="F2013" s="16"/>
      <c r="G2013" s="16"/>
      <c r="H2013" s="16"/>
      <c r="I2013" s="16"/>
      <c r="J2013" s="16"/>
      <c r="K2013" s="16"/>
      <c r="L2013" s="16"/>
      <c r="M2013" s="16"/>
      <c r="N2013" s="16"/>
      <c r="O2013" s="84"/>
      <c r="P2013" s="54"/>
      <c r="Q2013" s="54"/>
      <c r="R2013" s="55"/>
      <c r="S2013" s="55"/>
      <c r="T2013" s="32"/>
      <c r="U2013" s="32"/>
      <c r="V2013" s="32"/>
      <c r="W2013" s="32"/>
      <c r="X2013" s="32"/>
      <c r="Y2013" s="32"/>
      <c r="Z2013" s="32"/>
      <c r="AA2013" s="32"/>
      <c r="AB2013" s="32"/>
      <c r="AC2013" s="32"/>
    </row>
    <row r="2014">
      <c r="A2014" s="32"/>
      <c r="B2014" s="16"/>
      <c r="C2014" s="16"/>
      <c r="D2014" s="16"/>
      <c r="E2014" s="16"/>
      <c r="F2014" s="16"/>
      <c r="G2014" s="16"/>
      <c r="H2014" s="16"/>
      <c r="I2014" s="16"/>
      <c r="J2014" s="16"/>
      <c r="K2014" s="16"/>
      <c r="L2014" s="16"/>
      <c r="M2014" s="16"/>
      <c r="N2014" s="16"/>
      <c r="O2014" s="84"/>
      <c r="P2014" s="54"/>
      <c r="Q2014" s="54"/>
      <c r="R2014" s="55"/>
      <c r="S2014" s="55"/>
      <c r="T2014" s="32"/>
      <c r="U2014" s="32"/>
      <c r="V2014" s="32"/>
      <c r="W2014" s="32"/>
      <c r="X2014" s="32"/>
      <c r="Y2014" s="32"/>
      <c r="Z2014" s="32"/>
      <c r="AA2014" s="32"/>
      <c r="AB2014" s="32"/>
      <c r="AC2014" s="32"/>
    </row>
    <row r="2015">
      <c r="A2015" s="32"/>
      <c r="B2015" s="16"/>
      <c r="C2015" s="16"/>
      <c r="D2015" s="16"/>
      <c r="E2015" s="16"/>
      <c r="F2015" s="16"/>
      <c r="G2015" s="16"/>
      <c r="H2015" s="16"/>
      <c r="I2015" s="16"/>
      <c r="J2015" s="16"/>
      <c r="K2015" s="16"/>
      <c r="L2015" s="16"/>
      <c r="M2015" s="16"/>
      <c r="N2015" s="16"/>
      <c r="O2015" s="84"/>
      <c r="P2015" s="54"/>
      <c r="Q2015" s="54"/>
      <c r="R2015" s="55"/>
      <c r="S2015" s="55"/>
      <c r="T2015" s="32"/>
      <c r="U2015" s="32"/>
      <c r="V2015" s="32"/>
      <c r="W2015" s="32"/>
      <c r="X2015" s="32"/>
      <c r="Y2015" s="32"/>
      <c r="Z2015" s="32"/>
      <c r="AA2015" s="32"/>
      <c r="AB2015" s="32"/>
      <c r="AC2015" s="32"/>
    </row>
    <row r="2016">
      <c r="A2016" s="32"/>
      <c r="B2016" s="16"/>
      <c r="C2016" s="16"/>
      <c r="D2016" s="16"/>
      <c r="E2016" s="16"/>
      <c r="F2016" s="16"/>
      <c r="G2016" s="16"/>
      <c r="H2016" s="16"/>
      <c r="I2016" s="16"/>
      <c r="J2016" s="16"/>
      <c r="K2016" s="16"/>
      <c r="L2016" s="16"/>
      <c r="M2016" s="16"/>
      <c r="N2016" s="16"/>
      <c r="O2016" s="84"/>
      <c r="P2016" s="54"/>
      <c r="Q2016" s="54"/>
      <c r="R2016" s="55"/>
      <c r="S2016" s="55"/>
      <c r="T2016" s="32"/>
      <c r="U2016" s="32"/>
      <c r="V2016" s="32"/>
      <c r="W2016" s="32"/>
      <c r="X2016" s="32"/>
      <c r="Y2016" s="32"/>
      <c r="Z2016" s="32"/>
      <c r="AA2016" s="32"/>
      <c r="AB2016" s="32"/>
      <c r="AC2016" s="32"/>
    </row>
    <row r="2017">
      <c r="A2017" s="32"/>
      <c r="B2017" s="16"/>
      <c r="C2017" s="16"/>
      <c r="D2017" s="16"/>
      <c r="E2017" s="16"/>
      <c r="F2017" s="16"/>
      <c r="G2017" s="16"/>
      <c r="H2017" s="16"/>
      <c r="I2017" s="16"/>
      <c r="J2017" s="16"/>
      <c r="K2017" s="16"/>
      <c r="L2017" s="16"/>
      <c r="M2017" s="16"/>
      <c r="N2017" s="16"/>
      <c r="O2017" s="84"/>
      <c r="P2017" s="54"/>
      <c r="Q2017" s="54"/>
      <c r="R2017" s="55"/>
      <c r="S2017" s="55"/>
      <c r="T2017" s="32"/>
      <c r="U2017" s="32"/>
      <c r="V2017" s="32"/>
      <c r="W2017" s="32"/>
      <c r="X2017" s="32"/>
      <c r="Y2017" s="32"/>
      <c r="Z2017" s="32"/>
      <c r="AA2017" s="32"/>
      <c r="AB2017" s="32"/>
      <c r="AC2017" s="32"/>
    </row>
    <row r="2018">
      <c r="A2018" s="32"/>
      <c r="B2018" s="16"/>
      <c r="C2018" s="16"/>
      <c r="D2018" s="16"/>
      <c r="E2018" s="16"/>
      <c r="F2018" s="16"/>
      <c r="G2018" s="16"/>
      <c r="H2018" s="16"/>
      <c r="I2018" s="16"/>
      <c r="J2018" s="16"/>
      <c r="K2018" s="16"/>
      <c r="L2018" s="16"/>
      <c r="M2018" s="16"/>
      <c r="N2018" s="16"/>
      <c r="O2018" s="84"/>
      <c r="P2018" s="54"/>
      <c r="Q2018" s="54"/>
      <c r="R2018" s="55"/>
      <c r="S2018" s="55"/>
      <c r="T2018" s="32"/>
      <c r="U2018" s="32"/>
      <c r="V2018" s="32"/>
      <c r="W2018" s="32"/>
      <c r="X2018" s="32"/>
      <c r="Y2018" s="32"/>
      <c r="Z2018" s="32"/>
      <c r="AA2018" s="32"/>
      <c r="AB2018" s="32"/>
      <c r="AC2018" s="32"/>
    </row>
    <row r="2019">
      <c r="A2019" s="32"/>
      <c r="B2019" s="16"/>
      <c r="C2019" s="16"/>
      <c r="D2019" s="16"/>
      <c r="E2019" s="16"/>
      <c r="F2019" s="16"/>
      <c r="G2019" s="16"/>
      <c r="H2019" s="16"/>
      <c r="I2019" s="16"/>
      <c r="J2019" s="16"/>
      <c r="K2019" s="16"/>
      <c r="L2019" s="16"/>
      <c r="M2019" s="16"/>
      <c r="N2019" s="16"/>
      <c r="O2019" s="84"/>
      <c r="P2019" s="54"/>
      <c r="Q2019" s="54"/>
      <c r="R2019" s="55"/>
      <c r="S2019" s="55"/>
      <c r="T2019" s="32"/>
      <c r="U2019" s="32"/>
      <c r="V2019" s="32"/>
      <c r="W2019" s="32"/>
      <c r="X2019" s="32"/>
      <c r="Y2019" s="32"/>
      <c r="Z2019" s="32"/>
      <c r="AA2019" s="32"/>
      <c r="AB2019" s="32"/>
      <c r="AC2019" s="32"/>
    </row>
    <row r="2020">
      <c r="A2020" s="32"/>
      <c r="B2020" s="16"/>
      <c r="C2020" s="16"/>
      <c r="D2020" s="16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84"/>
      <c r="P2020" s="54"/>
      <c r="Q2020" s="54"/>
      <c r="R2020" s="55"/>
      <c r="S2020" s="55"/>
      <c r="T2020" s="32"/>
      <c r="U2020" s="32"/>
      <c r="V2020" s="32"/>
      <c r="W2020" s="32"/>
      <c r="X2020" s="32"/>
      <c r="Y2020" s="32"/>
      <c r="Z2020" s="32"/>
      <c r="AA2020" s="32"/>
      <c r="AB2020" s="32"/>
      <c r="AC2020" s="32"/>
    </row>
    <row r="2021">
      <c r="A2021" s="32"/>
      <c r="B2021" s="16"/>
      <c r="C2021" s="16"/>
      <c r="D2021" s="16"/>
      <c r="E2021" s="16"/>
      <c r="F2021" s="16"/>
      <c r="G2021" s="16"/>
      <c r="H2021" s="16"/>
      <c r="I2021" s="16"/>
      <c r="J2021" s="16"/>
      <c r="K2021" s="16"/>
      <c r="L2021" s="16"/>
      <c r="M2021" s="16"/>
      <c r="N2021" s="16"/>
      <c r="O2021" s="84"/>
      <c r="P2021" s="54"/>
      <c r="Q2021" s="54"/>
      <c r="R2021" s="55"/>
      <c r="S2021" s="55"/>
      <c r="T2021" s="32"/>
      <c r="U2021" s="32"/>
      <c r="V2021" s="32"/>
      <c r="W2021" s="32"/>
      <c r="X2021" s="32"/>
      <c r="Y2021" s="32"/>
      <c r="Z2021" s="32"/>
      <c r="AA2021" s="32"/>
      <c r="AB2021" s="32"/>
      <c r="AC2021" s="32"/>
    </row>
    <row r="2022">
      <c r="A2022" s="32"/>
      <c r="B2022" s="16"/>
      <c r="C2022" s="16"/>
      <c r="D2022" s="16"/>
      <c r="E2022" s="16"/>
      <c r="F2022" s="16"/>
      <c r="G2022" s="16"/>
      <c r="H2022" s="16"/>
      <c r="I2022" s="16"/>
      <c r="J2022" s="16"/>
      <c r="K2022" s="16"/>
      <c r="L2022" s="16"/>
      <c r="M2022" s="16"/>
      <c r="N2022" s="16"/>
      <c r="O2022" s="84"/>
      <c r="P2022" s="54"/>
      <c r="Q2022" s="54"/>
      <c r="R2022" s="55"/>
      <c r="S2022" s="55"/>
      <c r="T2022" s="32"/>
      <c r="U2022" s="32"/>
      <c r="V2022" s="32"/>
      <c r="W2022" s="32"/>
      <c r="X2022" s="32"/>
      <c r="Y2022" s="32"/>
      <c r="Z2022" s="32"/>
      <c r="AA2022" s="32"/>
      <c r="AB2022" s="32"/>
      <c r="AC2022" s="32"/>
    </row>
    <row r="2023">
      <c r="A2023" s="32"/>
      <c r="B2023" s="16"/>
      <c r="C2023" s="16"/>
      <c r="D2023" s="16"/>
      <c r="E2023" s="16"/>
      <c r="F2023" s="16"/>
      <c r="G2023" s="16"/>
      <c r="H2023" s="16"/>
      <c r="I2023" s="16"/>
      <c r="J2023" s="16"/>
      <c r="K2023" s="16"/>
      <c r="L2023" s="16"/>
      <c r="M2023" s="16"/>
      <c r="N2023" s="16"/>
      <c r="O2023" s="84"/>
      <c r="P2023" s="54"/>
      <c r="Q2023" s="54"/>
      <c r="R2023" s="55"/>
      <c r="S2023" s="55"/>
      <c r="T2023" s="32"/>
      <c r="U2023" s="32"/>
      <c r="V2023" s="32"/>
      <c r="W2023" s="32"/>
      <c r="X2023" s="32"/>
      <c r="Y2023" s="32"/>
      <c r="Z2023" s="32"/>
      <c r="AA2023" s="32"/>
      <c r="AB2023" s="32"/>
      <c r="AC2023" s="32"/>
    </row>
    <row r="2024">
      <c r="A2024" s="32"/>
      <c r="B2024" s="16"/>
      <c r="C2024" s="16"/>
      <c r="D2024" s="16"/>
      <c r="E2024" s="16"/>
      <c r="F2024" s="16"/>
      <c r="G2024" s="16"/>
      <c r="H2024" s="16"/>
      <c r="I2024" s="16"/>
      <c r="J2024" s="16"/>
      <c r="K2024" s="16"/>
      <c r="L2024" s="16"/>
      <c r="M2024" s="16"/>
      <c r="N2024" s="16"/>
      <c r="O2024" s="84"/>
      <c r="P2024" s="54"/>
      <c r="Q2024" s="54"/>
      <c r="R2024" s="55"/>
      <c r="S2024" s="55"/>
      <c r="T2024" s="32"/>
      <c r="U2024" s="32"/>
      <c r="V2024" s="32"/>
      <c r="W2024" s="32"/>
      <c r="X2024" s="32"/>
      <c r="Y2024" s="32"/>
      <c r="Z2024" s="32"/>
      <c r="AA2024" s="32"/>
      <c r="AB2024" s="32"/>
      <c r="AC2024" s="32"/>
    </row>
    <row r="2025">
      <c r="A2025" s="32"/>
      <c r="B2025" s="16"/>
      <c r="C2025" s="16"/>
      <c r="D2025" s="16"/>
      <c r="E2025" s="16"/>
      <c r="F2025" s="16"/>
      <c r="G2025" s="16"/>
      <c r="H2025" s="16"/>
      <c r="I2025" s="16"/>
      <c r="J2025" s="16"/>
      <c r="K2025" s="16"/>
      <c r="L2025" s="16"/>
      <c r="M2025" s="16"/>
      <c r="N2025" s="16"/>
      <c r="O2025" s="84"/>
      <c r="P2025" s="54"/>
      <c r="Q2025" s="54"/>
      <c r="R2025" s="55"/>
      <c r="S2025" s="55"/>
      <c r="T2025" s="32"/>
      <c r="U2025" s="32"/>
      <c r="V2025" s="32"/>
      <c r="W2025" s="32"/>
      <c r="X2025" s="32"/>
      <c r="Y2025" s="32"/>
      <c r="Z2025" s="32"/>
      <c r="AA2025" s="32"/>
      <c r="AB2025" s="32"/>
      <c r="AC2025" s="32"/>
    </row>
    <row r="2026">
      <c r="A2026" s="32"/>
      <c r="B2026" s="16"/>
      <c r="C2026" s="16"/>
      <c r="D2026" s="16"/>
      <c r="E2026" s="16"/>
      <c r="F2026" s="16"/>
      <c r="G2026" s="16"/>
      <c r="H2026" s="16"/>
      <c r="I2026" s="16"/>
      <c r="J2026" s="16"/>
      <c r="K2026" s="16"/>
      <c r="L2026" s="16"/>
      <c r="M2026" s="16"/>
      <c r="N2026" s="16"/>
      <c r="O2026" s="84"/>
      <c r="P2026" s="54"/>
      <c r="Q2026" s="54"/>
      <c r="R2026" s="55"/>
      <c r="S2026" s="55"/>
      <c r="T2026" s="32"/>
      <c r="U2026" s="32"/>
      <c r="V2026" s="32"/>
      <c r="W2026" s="32"/>
      <c r="X2026" s="32"/>
      <c r="Y2026" s="32"/>
      <c r="Z2026" s="32"/>
      <c r="AA2026" s="32"/>
      <c r="AB2026" s="32"/>
      <c r="AC2026" s="32"/>
    </row>
    <row r="2027">
      <c r="A2027" s="32"/>
      <c r="B2027" s="16"/>
      <c r="C2027" s="16"/>
      <c r="D2027" s="16"/>
      <c r="E2027" s="16"/>
      <c r="F2027" s="16"/>
      <c r="G2027" s="16"/>
      <c r="H2027" s="16"/>
      <c r="I2027" s="16"/>
      <c r="J2027" s="16"/>
      <c r="K2027" s="16"/>
      <c r="L2027" s="16"/>
      <c r="M2027" s="16"/>
      <c r="N2027" s="16"/>
      <c r="O2027" s="84"/>
      <c r="P2027" s="54"/>
      <c r="Q2027" s="54"/>
      <c r="R2027" s="55"/>
      <c r="S2027" s="55"/>
      <c r="T2027" s="32"/>
      <c r="U2027" s="32"/>
      <c r="V2027" s="32"/>
      <c r="W2027" s="32"/>
      <c r="X2027" s="32"/>
      <c r="Y2027" s="32"/>
      <c r="Z2027" s="32"/>
      <c r="AA2027" s="32"/>
      <c r="AB2027" s="32"/>
      <c r="AC2027" s="32"/>
    </row>
    <row r="2028">
      <c r="A2028" s="32"/>
      <c r="B2028" s="16"/>
      <c r="C2028" s="16"/>
      <c r="D2028" s="16"/>
      <c r="E2028" s="16"/>
      <c r="F2028" s="16"/>
      <c r="G2028" s="16"/>
      <c r="H2028" s="16"/>
      <c r="I2028" s="16"/>
      <c r="J2028" s="16"/>
      <c r="K2028" s="16"/>
      <c r="L2028" s="16"/>
      <c r="M2028" s="16"/>
      <c r="N2028" s="16"/>
      <c r="O2028" s="84"/>
      <c r="P2028" s="54"/>
      <c r="Q2028" s="54"/>
      <c r="R2028" s="55"/>
      <c r="S2028" s="55"/>
      <c r="T2028" s="32"/>
      <c r="U2028" s="32"/>
      <c r="V2028" s="32"/>
      <c r="W2028" s="32"/>
      <c r="X2028" s="32"/>
      <c r="Y2028" s="32"/>
      <c r="Z2028" s="32"/>
      <c r="AA2028" s="32"/>
      <c r="AB2028" s="32"/>
      <c r="AC2028" s="32"/>
    </row>
    <row r="2029">
      <c r="A2029" s="32"/>
      <c r="B2029" s="16"/>
      <c r="C2029" s="16"/>
      <c r="D2029" s="16"/>
      <c r="E2029" s="16"/>
      <c r="F2029" s="16"/>
      <c r="G2029" s="16"/>
      <c r="H2029" s="16"/>
      <c r="I2029" s="16"/>
      <c r="J2029" s="16"/>
      <c r="K2029" s="16"/>
      <c r="L2029" s="16"/>
      <c r="M2029" s="16"/>
      <c r="N2029" s="16"/>
      <c r="O2029" s="84"/>
      <c r="P2029" s="54"/>
      <c r="Q2029" s="54"/>
      <c r="R2029" s="55"/>
      <c r="S2029" s="55"/>
      <c r="T2029" s="32"/>
      <c r="U2029" s="32"/>
      <c r="V2029" s="32"/>
      <c r="W2029" s="32"/>
      <c r="X2029" s="32"/>
      <c r="Y2029" s="32"/>
      <c r="Z2029" s="32"/>
      <c r="AA2029" s="32"/>
      <c r="AB2029" s="32"/>
      <c r="AC2029" s="32"/>
    </row>
    <row r="2030">
      <c r="A2030" s="32"/>
      <c r="B2030" s="16"/>
      <c r="C2030" s="16"/>
      <c r="D2030" s="16"/>
      <c r="E2030" s="16"/>
      <c r="F2030" s="16"/>
      <c r="G2030" s="16"/>
      <c r="H2030" s="16"/>
      <c r="I2030" s="16"/>
      <c r="J2030" s="16"/>
      <c r="K2030" s="16"/>
      <c r="L2030" s="16"/>
      <c r="M2030" s="16"/>
      <c r="N2030" s="16"/>
      <c r="O2030" s="84"/>
      <c r="P2030" s="54"/>
      <c r="Q2030" s="54"/>
      <c r="R2030" s="55"/>
      <c r="S2030" s="55"/>
      <c r="T2030" s="32"/>
      <c r="U2030" s="32"/>
      <c r="V2030" s="32"/>
      <c r="W2030" s="32"/>
      <c r="X2030" s="32"/>
      <c r="Y2030" s="32"/>
      <c r="Z2030" s="32"/>
      <c r="AA2030" s="32"/>
      <c r="AB2030" s="32"/>
      <c r="AC2030" s="32"/>
    </row>
    <row r="2031">
      <c r="A2031" s="32"/>
      <c r="B2031" s="16"/>
      <c r="C2031" s="16"/>
      <c r="D2031" s="16"/>
      <c r="E2031" s="16"/>
      <c r="F2031" s="16"/>
      <c r="G2031" s="16"/>
      <c r="H2031" s="16"/>
      <c r="I2031" s="16"/>
      <c r="J2031" s="16"/>
      <c r="K2031" s="16"/>
      <c r="L2031" s="16"/>
      <c r="M2031" s="16"/>
      <c r="N2031" s="16"/>
      <c r="O2031" s="84"/>
      <c r="P2031" s="54"/>
      <c r="Q2031" s="54"/>
      <c r="R2031" s="55"/>
      <c r="S2031" s="55"/>
      <c r="T2031" s="32"/>
      <c r="U2031" s="32"/>
      <c r="V2031" s="32"/>
      <c r="W2031" s="32"/>
      <c r="X2031" s="32"/>
      <c r="Y2031" s="32"/>
      <c r="Z2031" s="32"/>
      <c r="AA2031" s="32"/>
      <c r="AB2031" s="32"/>
      <c r="AC2031" s="32"/>
    </row>
    <row r="2032">
      <c r="A2032" s="32"/>
      <c r="B2032" s="16"/>
      <c r="C2032" s="16"/>
      <c r="D2032" s="16"/>
      <c r="E2032" s="16"/>
      <c r="F2032" s="16"/>
      <c r="G2032" s="16"/>
      <c r="H2032" s="16"/>
      <c r="I2032" s="16"/>
      <c r="J2032" s="16"/>
      <c r="K2032" s="16"/>
      <c r="L2032" s="16"/>
      <c r="M2032" s="16"/>
      <c r="N2032" s="16"/>
      <c r="O2032" s="84"/>
      <c r="P2032" s="54"/>
      <c r="Q2032" s="54"/>
      <c r="R2032" s="55"/>
      <c r="S2032" s="55"/>
      <c r="T2032" s="32"/>
      <c r="U2032" s="32"/>
      <c r="V2032" s="32"/>
      <c r="W2032" s="32"/>
      <c r="X2032" s="32"/>
      <c r="Y2032" s="32"/>
      <c r="Z2032" s="32"/>
      <c r="AA2032" s="32"/>
      <c r="AB2032" s="32"/>
      <c r="AC2032" s="32"/>
    </row>
    <row r="2033">
      <c r="A2033" s="32"/>
      <c r="B2033" s="16"/>
      <c r="C2033" s="16"/>
      <c r="D2033" s="16"/>
      <c r="E2033" s="16"/>
      <c r="F2033" s="16"/>
      <c r="G2033" s="16"/>
      <c r="H2033" s="16"/>
      <c r="I2033" s="16"/>
      <c r="J2033" s="16"/>
      <c r="K2033" s="16"/>
      <c r="L2033" s="16"/>
      <c r="M2033" s="16"/>
      <c r="N2033" s="16"/>
      <c r="O2033" s="84"/>
      <c r="P2033" s="54"/>
      <c r="Q2033" s="54"/>
      <c r="R2033" s="55"/>
      <c r="S2033" s="55"/>
      <c r="T2033" s="32"/>
      <c r="U2033" s="32"/>
      <c r="V2033" s="32"/>
      <c r="W2033" s="32"/>
      <c r="X2033" s="32"/>
      <c r="Y2033" s="32"/>
      <c r="Z2033" s="32"/>
      <c r="AA2033" s="32"/>
      <c r="AB2033" s="32"/>
      <c r="AC2033" s="32"/>
    </row>
    <row r="2034">
      <c r="A2034" s="32"/>
      <c r="B2034" s="16"/>
      <c r="C2034" s="16"/>
      <c r="D2034" s="16"/>
      <c r="E2034" s="16"/>
      <c r="F2034" s="16"/>
      <c r="G2034" s="16"/>
      <c r="H2034" s="16"/>
      <c r="I2034" s="16"/>
      <c r="J2034" s="16"/>
      <c r="K2034" s="16"/>
      <c r="L2034" s="16"/>
      <c r="M2034" s="16"/>
      <c r="N2034" s="16"/>
      <c r="O2034" s="84"/>
      <c r="P2034" s="54"/>
      <c r="Q2034" s="54"/>
      <c r="R2034" s="55"/>
      <c r="S2034" s="55"/>
      <c r="T2034" s="32"/>
      <c r="U2034" s="32"/>
      <c r="V2034" s="32"/>
      <c r="W2034" s="32"/>
      <c r="X2034" s="32"/>
      <c r="Y2034" s="32"/>
      <c r="Z2034" s="32"/>
      <c r="AA2034" s="32"/>
      <c r="AB2034" s="32"/>
      <c r="AC2034" s="32"/>
    </row>
    <row r="2035">
      <c r="A2035" s="32"/>
      <c r="B2035" s="16"/>
      <c r="C2035" s="16"/>
      <c r="D2035" s="16"/>
      <c r="E2035" s="16"/>
      <c r="F2035" s="16"/>
      <c r="G2035" s="16"/>
      <c r="H2035" s="16"/>
      <c r="I2035" s="16"/>
      <c r="J2035" s="16"/>
      <c r="K2035" s="16"/>
      <c r="L2035" s="16"/>
      <c r="M2035" s="16"/>
      <c r="N2035" s="16"/>
      <c r="O2035" s="84"/>
      <c r="P2035" s="54"/>
      <c r="Q2035" s="54"/>
      <c r="R2035" s="55"/>
      <c r="S2035" s="55"/>
      <c r="T2035" s="32"/>
      <c r="U2035" s="32"/>
      <c r="V2035" s="32"/>
      <c r="W2035" s="32"/>
      <c r="X2035" s="32"/>
      <c r="Y2035" s="32"/>
      <c r="Z2035" s="32"/>
      <c r="AA2035" s="32"/>
      <c r="AB2035" s="32"/>
      <c r="AC2035" s="32"/>
    </row>
    <row r="2036">
      <c r="A2036" s="32"/>
      <c r="B2036" s="16"/>
      <c r="C2036" s="16"/>
      <c r="D2036" s="16"/>
      <c r="E2036" s="16"/>
      <c r="F2036" s="16"/>
      <c r="G2036" s="16"/>
      <c r="H2036" s="16"/>
      <c r="I2036" s="16"/>
      <c r="J2036" s="16"/>
      <c r="K2036" s="16"/>
      <c r="L2036" s="16"/>
      <c r="M2036" s="16"/>
      <c r="N2036" s="16"/>
      <c r="O2036" s="84"/>
      <c r="P2036" s="54"/>
      <c r="Q2036" s="54"/>
      <c r="R2036" s="55"/>
      <c r="S2036" s="55"/>
      <c r="T2036" s="32"/>
      <c r="U2036" s="32"/>
      <c r="V2036" s="32"/>
      <c r="W2036" s="32"/>
      <c r="X2036" s="32"/>
      <c r="Y2036" s="32"/>
      <c r="Z2036" s="32"/>
      <c r="AA2036" s="32"/>
      <c r="AB2036" s="32"/>
      <c r="AC2036" s="32"/>
    </row>
    <row r="2037">
      <c r="A2037" s="32"/>
      <c r="B2037" s="16"/>
      <c r="C2037" s="16"/>
      <c r="D2037" s="16"/>
      <c r="E2037" s="16"/>
      <c r="F2037" s="16"/>
      <c r="G2037" s="16"/>
      <c r="H2037" s="16"/>
      <c r="I2037" s="16"/>
      <c r="J2037" s="16"/>
      <c r="K2037" s="16"/>
      <c r="L2037" s="16"/>
      <c r="M2037" s="16"/>
      <c r="N2037" s="16"/>
      <c r="O2037" s="84"/>
      <c r="P2037" s="54"/>
      <c r="Q2037" s="54"/>
      <c r="R2037" s="55"/>
      <c r="S2037" s="55"/>
      <c r="T2037" s="32"/>
      <c r="U2037" s="32"/>
      <c r="V2037" s="32"/>
      <c r="W2037" s="32"/>
      <c r="X2037" s="32"/>
      <c r="Y2037" s="32"/>
      <c r="Z2037" s="32"/>
      <c r="AA2037" s="32"/>
      <c r="AB2037" s="32"/>
      <c r="AC2037" s="32"/>
    </row>
    <row r="2038">
      <c r="A2038" s="32"/>
      <c r="B2038" s="16"/>
      <c r="C2038" s="16"/>
      <c r="D2038" s="16"/>
      <c r="E2038" s="16"/>
      <c r="F2038" s="16"/>
      <c r="G2038" s="16"/>
      <c r="H2038" s="16"/>
      <c r="I2038" s="16"/>
      <c r="J2038" s="16"/>
      <c r="K2038" s="16"/>
      <c r="L2038" s="16"/>
      <c r="M2038" s="16"/>
      <c r="N2038" s="16"/>
      <c r="O2038" s="84"/>
      <c r="P2038" s="54"/>
      <c r="Q2038" s="54"/>
      <c r="R2038" s="55"/>
      <c r="S2038" s="55"/>
      <c r="T2038" s="32"/>
      <c r="U2038" s="32"/>
      <c r="V2038" s="32"/>
      <c r="W2038" s="32"/>
      <c r="X2038" s="32"/>
      <c r="Y2038" s="32"/>
      <c r="Z2038" s="32"/>
      <c r="AA2038" s="32"/>
      <c r="AB2038" s="32"/>
      <c r="AC2038" s="32"/>
    </row>
    <row r="2039">
      <c r="A2039" s="32"/>
      <c r="B2039" s="16"/>
      <c r="C2039" s="16"/>
      <c r="D2039" s="16"/>
      <c r="E2039" s="16"/>
      <c r="F2039" s="16"/>
      <c r="G2039" s="16"/>
      <c r="H2039" s="16"/>
      <c r="I2039" s="16"/>
      <c r="J2039" s="16"/>
      <c r="K2039" s="16"/>
      <c r="L2039" s="16"/>
      <c r="M2039" s="16"/>
      <c r="N2039" s="16"/>
      <c r="O2039" s="84"/>
      <c r="P2039" s="54"/>
      <c r="Q2039" s="54"/>
      <c r="R2039" s="55"/>
      <c r="S2039" s="55"/>
      <c r="T2039" s="32"/>
      <c r="U2039" s="32"/>
      <c r="V2039" s="32"/>
      <c r="W2039" s="32"/>
      <c r="X2039" s="32"/>
      <c r="Y2039" s="32"/>
      <c r="Z2039" s="32"/>
      <c r="AA2039" s="32"/>
      <c r="AB2039" s="32"/>
      <c r="AC2039" s="32"/>
    </row>
    <row r="2040">
      <c r="A2040" s="32"/>
      <c r="B2040" s="16"/>
      <c r="C2040" s="16"/>
      <c r="D2040" s="16"/>
      <c r="E2040" s="16"/>
      <c r="F2040" s="16"/>
      <c r="G2040" s="16"/>
      <c r="H2040" s="16"/>
      <c r="I2040" s="16"/>
      <c r="J2040" s="16"/>
      <c r="K2040" s="16"/>
      <c r="L2040" s="16"/>
      <c r="M2040" s="16"/>
      <c r="N2040" s="16"/>
      <c r="O2040" s="84"/>
      <c r="P2040" s="54"/>
      <c r="Q2040" s="54"/>
      <c r="R2040" s="55"/>
      <c r="S2040" s="55"/>
      <c r="T2040" s="32"/>
      <c r="U2040" s="32"/>
      <c r="V2040" s="32"/>
      <c r="W2040" s="32"/>
      <c r="X2040" s="32"/>
      <c r="Y2040" s="32"/>
      <c r="Z2040" s="32"/>
      <c r="AA2040" s="32"/>
      <c r="AB2040" s="32"/>
      <c r="AC2040" s="32"/>
    </row>
    <row r="2041">
      <c r="A2041" s="32"/>
      <c r="B2041" s="16"/>
      <c r="C2041" s="16"/>
      <c r="D2041" s="16"/>
      <c r="E2041" s="16"/>
      <c r="F2041" s="16"/>
      <c r="G2041" s="16"/>
      <c r="H2041" s="16"/>
      <c r="I2041" s="16"/>
      <c r="J2041" s="16"/>
      <c r="K2041" s="16"/>
      <c r="L2041" s="16"/>
      <c r="M2041" s="16"/>
      <c r="N2041" s="16"/>
      <c r="O2041" s="84"/>
      <c r="P2041" s="54"/>
      <c r="Q2041" s="54"/>
      <c r="R2041" s="55"/>
      <c r="S2041" s="55"/>
      <c r="T2041" s="32"/>
      <c r="U2041" s="32"/>
      <c r="V2041" s="32"/>
      <c r="W2041" s="32"/>
      <c r="X2041" s="32"/>
      <c r="Y2041" s="32"/>
      <c r="Z2041" s="32"/>
      <c r="AA2041" s="32"/>
      <c r="AB2041" s="32"/>
      <c r="AC2041" s="32"/>
    </row>
    <row r="2042">
      <c r="A2042" s="32"/>
      <c r="B2042" s="16"/>
      <c r="C2042" s="16"/>
      <c r="D2042" s="16"/>
      <c r="E2042" s="16"/>
      <c r="F2042" s="16"/>
      <c r="G2042" s="16"/>
      <c r="H2042" s="16"/>
      <c r="I2042" s="16"/>
      <c r="J2042" s="16"/>
      <c r="K2042" s="16"/>
      <c r="L2042" s="16"/>
      <c r="M2042" s="16"/>
      <c r="N2042" s="16"/>
      <c r="O2042" s="84"/>
      <c r="P2042" s="54"/>
      <c r="Q2042" s="54"/>
      <c r="R2042" s="55"/>
      <c r="S2042" s="55"/>
      <c r="T2042" s="32"/>
      <c r="U2042" s="32"/>
      <c r="V2042" s="32"/>
      <c r="W2042" s="32"/>
      <c r="X2042" s="32"/>
      <c r="Y2042" s="32"/>
      <c r="Z2042" s="32"/>
      <c r="AA2042" s="32"/>
      <c r="AB2042" s="32"/>
      <c r="AC2042" s="32"/>
    </row>
    <row r="2043">
      <c r="A2043" s="32"/>
      <c r="B2043" s="16"/>
      <c r="C2043" s="16"/>
      <c r="D2043" s="16"/>
      <c r="E2043" s="16"/>
      <c r="F2043" s="16"/>
      <c r="G2043" s="16"/>
      <c r="H2043" s="16"/>
      <c r="I2043" s="16"/>
      <c r="J2043" s="16"/>
      <c r="K2043" s="16"/>
      <c r="L2043" s="16"/>
      <c r="M2043" s="16"/>
      <c r="N2043" s="16"/>
      <c r="O2043" s="84"/>
      <c r="P2043" s="54"/>
      <c r="Q2043" s="54"/>
      <c r="R2043" s="55"/>
      <c r="S2043" s="55"/>
      <c r="T2043" s="32"/>
      <c r="U2043" s="32"/>
      <c r="V2043" s="32"/>
      <c r="W2043" s="32"/>
      <c r="X2043" s="32"/>
      <c r="Y2043" s="32"/>
      <c r="Z2043" s="32"/>
      <c r="AA2043" s="32"/>
      <c r="AB2043" s="32"/>
      <c r="AC2043" s="32"/>
    </row>
    <row r="2044">
      <c r="A2044" s="32"/>
      <c r="B2044" s="16"/>
      <c r="C2044" s="16"/>
      <c r="D2044" s="16"/>
      <c r="E2044" s="16"/>
      <c r="F2044" s="16"/>
      <c r="G2044" s="16"/>
      <c r="H2044" s="16"/>
      <c r="I2044" s="16"/>
      <c r="J2044" s="16"/>
      <c r="K2044" s="16"/>
      <c r="L2044" s="16"/>
      <c r="M2044" s="16"/>
      <c r="N2044" s="16"/>
      <c r="O2044" s="84"/>
      <c r="P2044" s="54"/>
      <c r="Q2044" s="54"/>
      <c r="R2044" s="55"/>
      <c r="S2044" s="55"/>
      <c r="T2044" s="32"/>
      <c r="U2044" s="32"/>
      <c r="V2044" s="32"/>
      <c r="W2044" s="32"/>
      <c r="X2044" s="32"/>
      <c r="Y2044" s="32"/>
      <c r="Z2044" s="32"/>
      <c r="AA2044" s="32"/>
      <c r="AB2044" s="32"/>
      <c r="AC2044" s="32"/>
    </row>
    <row r="2045">
      <c r="A2045" s="32"/>
      <c r="B2045" s="16"/>
      <c r="C2045" s="16"/>
      <c r="D2045" s="16"/>
      <c r="E2045" s="16"/>
      <c r="F2045" s="16"/>
      <c r="G2045" s="16"/>
      <c r="H2045" s="16"/>
      <c r="I2045" s="16"/>
      <c r="J2045" s="16"/>
      <c r="K2045" s="16"/>
      <c r="L2045" s="16"/>
      <c r="M2045" s="16"/>
      <c r="N2045" s="16"/>
      <c r="O2045" s="84"/>
      <c r="P2045" s="54"/>
      <c r="Q2045" s="54"/>
      <c r="R2045" s="55"/>
      <c r="S2045" s="55"/>
      <c r="T2045" s="32"/>
      <c r="U2045" s="32"/>
      <c r="V2045" s="32"/>
      <c r="W2045" s="32"/>
      <c r="X2045" s="32"/>
      <c r="Y2045" s="32"/>
      <c r="Z2045" s="32"/>
      <c r="AA2045" s="32"/>
      <c r="AB2045" s="32"/>
      <c r="AC2045" s="32"/>
    </row>
    <row r="2046">
      <c r="A2046" s="32"/>
      <c r="B2046" s="16"/>
      <c r="C2046" s="16"/>
      <c r="D2046" s="16"/>
      <c r="E2046" s="16"/>
      <c r="F2046" s="16"/>
      <c r="G2046" s="16"/>
      <c r="H2046" s="16"/>
      <c r="I2046" s="16"/>
      <c r="J2046" s="16"/>
      <c r="K2046" s="16"/>
      <c r="L2046" s="16"/>
      <c r="M2046" s="16"/>
      <c r="N2046" s="16"/>
      <c r="O2046" s="84"/>
      <c r="P2046" s="54"/>
      <c r="Q2046" s="54"/>
      <c r="R2046" s="55"/>
      <c r="S2046" s="55"/>
      <c r="T2046" s="32"/>
      <c r="U2046" s="32"/>
      <c r="V2046" s="32"/>
      <c r="W2046" s="32"/>
      <c r="X2046" s="32"/>
      <c r="Y2046" s="32"/>
      <c r="Z2046" s="32"/>
      <c r="AA2046" s="32"/>
      <c r="AB2046" s="32"/>
      <c r="AC2046" s="32"/>
    </row>
    <row r="2047">
      <c r="A2047" s="32"/>
      <c r="B2047" s="16"/>
      <c r="C2047" s="16"/>
      <c r="D2047" s="16"/>
      <c r="E2047" s="16"/>
      <c r="F2047" s="16"/>
      <c r="G2047" s="16"/>
      <c r="H2047" s="16"/>
      <c r="I2047" s="16"/>
      <c r="J2047" s="16"/>
      <c r="K2047" s="16"/>
      <c r="L2047" s="16"/>
      <c r="M2047" s="16"/>
      <c r="N2047" s="16"/>
      <c r="O2047" s="84"/>
      <c r="P2047" s="54"/>
      <c r="Q2047" s="54"/>
      <c r="R2047" s="55"/>
      <c r="S2047" s="55"/>
      <c r="T2047" s="32"/>
      <c r="U2047" s="32"/>
      <c r="V2047" s="32"/>
      <c r="W2047" s="32"/>
      <c r="X2047" s="32"/>
      <c r="Y2047" s="32"/>
      <c r="Z2047" s="32"/>
      <c r="AA2047" s="32"/>
      <c r="AB2047" s="32"/>
      <c r="AC2047" s="32"/>
    </row>
    <row r="2048">
      <c r="A2048" s="32"/>
      <c r="B2048" s="16"/>
      <c r="C2048" s="16"/>
      <c r="D2048" s="16"/>
      <c r="E2048" s="16"/>
      <c r="F2048" s="16"/>
      <c r="G2048" s="16"/>
      <c r="H2048" s="16"/>
      <c r="I2048" s="16"/>
      <c r="J2048" s="16"/>
      <c r="K2048" s="16"/>
      <c r="L2048" s="16"/>
      <c r="M2048" s="16"/>
      <c r="N2048" s="16"/>
      <c r="O2048" s="84"/>
      <c r="P2048" s="54"/>
      <c r="Q2048" s="54"/>
      <c r="R2048" s="55"/>
      <c r="S2048" s="55"/>
      <c r="T2048" s="32"/>
      <c r="U2048" s="32"/>
      <c r="V2048" s="32"/>
      <c r="W2048" s="32"/>
      <c r="X2048" s="32"/>
      <c r="Y2048" s="32"/>
      <c r="Z2048" s="32"/>
      <c r="AA2048" s="32"/>
      <c r="AB2048" s="32"/>
      <c r="AC2048" s="32"/>
    </row>
    <row r="2049">
      <c r="A2049" s="32"/>
      <c r="B2049" s="16"/>
      <c r="C2049" s="16"/>
      <c r="D2049" s="16"/>
      <c r="E2049" s="16"/>
      <c r="F2049" s="16"/>
      <c r="G2049" s="16"/>
      <c r="H2049" s="16"/>
      <c r="I2049" s="16"/>
      <c r="J2049" s="16"/>
      <c r="K2049" s="16"/>
      <c r="L2049" s="16"/>
      <c r="M2049" s="16"/>
      <c r="N2049" s="16"/>
      <c r="O2049" s="84"/>
      <c r="P2049" s="54"/>
      <c r="Q2049" s="54"/>
      <c r="R2049" s="55"/>
      <c r="S2049" s="55"/>
      <c r="T2049" s="32"/>
      <c r="U2049" s="32"/>
      <c r="V2049" s="32"/>
      <c r="W2049" s="32"/>
      <c r="X2049" s="32"/>
      <c r="Y2049" s="32"/>
      <c r="Z2049" s="32"/>
      <c r="AA2049" s="32"/>
      <c r="AB2049" s="32"/>
      <c r="AC2049" s="32"/>
    </row>
    <row r="2050">
      <c r="A2050" s="32"/>
      <c r="B2050" s="16"/>
      <c r="C2050" s="16"/>
      <c r="D2050" s="16"/>
      <c r="E2050" s="16"/>
      <c r="F2050" s="16"/>
      <c r="G2050" s="16"/>
      <c r="H2050" s="16"/>
      <c r="I2050" s="16"/>
      <c r="J2050" s="16"/>
      <c r="K2050" s="16"/>
      <c r="L2050" s="16"/>
      <c r="M2050" s="16"/>
      <c r="N2050" s="16"/>
      <c r="O2050" s="84"/>
      <c r="P2050" s="54"/>
      <c r="Q2050" s="54"/>
      <c r="R2050" s="55"/>
      <c r="S2050" s="55"/>
      <c r="T2050" s="32"/>
      <c r="U2050" s="32"/>
      <c r="V2050" s="32"/>
      <c r="W2050" s="32"/>
      <c r="X2050" s="32"/>
      <c r="Y2050" s="32"/>
      <c r="Z2050" s="32"/>
      <c r="AA2050" s="32"/>
      <c r="AB2050" s="32"/>
      <c r="AC2050" s="32"/>
    </row>
    <row r="2051">
      <c r="A2051" s="32"/>
      <c r="B2051" s="16"/>
      <c r="C2051" s="16"/>
      <c r="D2051" s="16"/>
      <c r="E2051" s="16"/>
      <c r="F2051" s="16"/>
      <c r="G2051" s="16"/>
      <c r="H2051" s="16"/>
      <c r="I2051" s="16"/>
      <c r="J2051" s="16"/>
      <c r="K2051" s="16"/>
      <c r="L2051" s="16"/>
      <c r="M2051" s="16"/>
      <c r="N2051" s="16"/>
      <c r="O2051" s="84"/>
      <c r="P2051" s="54"/>
      <c r="Q2051" s="54"/>
      <c r="R2051" s="55"/>
      <c r="S2051" s="55"/>
      <c r="T2051" s="32"/>
      <c r="U2051" s="32"/>
      <c r="V2051" s="32"/>
      <c r="W2051" s="32"/>
      <c r="X2051" s="32"/>
      <c r="Y2051" s="32"/>
      <c r="Z2051" s="32"/>
      <c r="AA2051" s="32"/>
      <c r="AB2051" s="32"/>
      <c r="AC2051" s="32"/>
    </row>
    <row r="2052">
      <c r="A2052" s="32"/>
      <c r="B2052" s="16"/>
      <c r="C2052" s="16"/>
      <c r="D2052" s="16"/>
      <c r="E2052" s="16"/>
      <c r="F2052" s="16"/>
      <c r="G2052" s="16"/>
      <c r="H2052" s="16"/>
      <c r="I2052" s="16"/>
      <c r="J2052" s="16"/>
      <c r="K2052" s="16"/>
      <c r="L2052" s="16"/>
      <c r="M2052" s="16"/>
      <c r="N2052" s="16"/>
      <c r="O2052" s="84"/>
      <c r="P2052" s="54"/>
      <c r="Q2052" s="54"/>
      <c r="R2052" s="55"/>
      <c r="S2052" s="55"/>
      <c r="T2052" s="32"/>
      <c r="U2052" s="32"/>
      <c r="V2052" s="32"/>
      <c r="W2052" s="32"/>
      <c r="X2052" s="32"/>
      <c r="Y2052" s="32"/>
      <c r="Z2052" s="32"/>
      <c r="AA2052" s="32"/>
      <c r="AB2052" s="32"/>
      <c r="AC2052" s="32"/>
    </row>
    <row r="2053">
      <c r="A2053" s="32"/>
      <c r="B2053" s="16"/>
      <c r="C2053" s="16"/>
      <c r="D2053" s="16"/>
      <c r="E2053" s="16"/>
      <c r="F2053" s="16"/>
      <c r="G2053" s="16"/>
      <c r="H2053" s="16"/>
      <c r="I2053" s="16"/>
      <c r="J2053" s="16"/>
      <c r="K2053" s="16"/>
      <c r="L2053" s="16"/>
      <c r="M2053" s="16"/>
      <c r="N2053" s="16"/>
      <c r="O2053" s="84"/>
      <c r="P2053" s="54"/>
      <c r="Q2053" s="54"/>
      <c r="R2053" s="55"/>
      <c r="S2053" s="55"/>
      <c r="T2053" s="32"/>
      <c r="U2053" s="32"/>
      <c r="V2053" s="32"/>
      <c r="W2053" s="32"/>
      <c r="X2053" s="32"/>
      <c r="Y2053" s="32"/>
      <c r="Z2053" s="32"/>
      <c r="AA2053" s="32"/>
      <c r="AB2053" s="32"/>
      <c r="AC2053" s="32"/>
    </row>
    <row r="2054">
      <c r="A2054" s="32"/>
      <c r="B2054" s="16"/>
      <c r="C2054" s="16"/>
      <c r="D2054" s="16"/>
      <c r="E2054" s="16"/>
      <c r="F2054" s="16"/>
      <c r="G2054" s="16"/>
      <c r="H2054" s="16"/>
      <c r="I2054" s="16"/>
      <c r="J2054" s="16"/>
      <c r="K2054" s="16"/>
      <c r="L2054" s="16"/>
      <c r="M2054" s="16"/>
      <c r="N2054" s="16"/>
      <c r="O2054" s="84"/>
      <c r="P2054" s="54"/>
      <c r="Q2054" s="54"/>
      <c r="R2054" s="55"/>
      <c r="S2054" s="55"/>
      <c r="T2054" s="32"/>
      <c r="U2054" s="32"/>
      <c r="V2054" s="32"/>
      <c r="W2054" s="32"/>
      <c r="X2054" s="32"/>
      <c r="Y2054" s="32"/>
      <c r="Z2054" s="32"/>
      <c r="AA2054" s="32"/>
      <c r="AB2054" s="32"/>
      <c r="AC2054" s="32"/>
    </row>
    <row r="2055">
      <c r="A2055" s="32"/>
      <c r="B2055" s="16"/>
      <c r="C2055" s="16"/>
      <c r="D2055" s="16"/>
      <c r="E2055" s="16"/>
      <c r="F2055" s="16"/>
      <c r="G2055" s="16"/>
      <c r="H2055" s="16"/>
      <c r="I2055" s="16"/>
      <c r="J2055" s="16"/>
      <c r="K2055" s="16"/>
      <c r="L2055" s="16"/>
      <c r="M2055" s="16"/>
      <c r="N2055" s="16"/>
      <c r="O2055" s="84"/>
      <c r="P2055" s="54"/>
      <c r="Q2055" s="54"/>
      <c r="R2055" s="55"/>
      <c r="S2055" s="55"/>
      <c r="T2055" s="32"/>
      <c r="U2055" s="32"/>
      <c r="V2055" s="32"/>
      <c r="W2055" s="32"/>
      <c r="X2055" s="32"/>
      <c r="Y2055" s="32"/>
      <c r="Z2055" s="32"/>
      <c r="AA2055" s="32"/>
      <c r="AB2055" s="32"/>
      <c r="AC2055" s="32"/>
    </row>
    <row r="2056">
      <c r="A2056" s="32"/>
      <c r="B2056" s="16"/>
      <c r="C2056" s="16"/>
      <c r="D2056" s="16"/>
      <c r="E2056" s="16"/>
      <c r="F2056" s="16"/>
      <c r="G2056" s="16"/>
      <c r="H2056" s="16"/>
      <c r="I2056" s="16"/>
      <c r="J2056" s="16"/>
      <c r="K2056" s="16"/>
      <c r="L2056" s="16"/>
      <c r="M2056" s="16"/>
      <c r="N2056" s="16"/>
      <c r="O2056" s="84"/>
      <c r="P2056" s="54"/>
      <c r="Q2056" s="54"/>
      <c r="R2056" s="55"/>
      <c r="S2056" s="55"/>
      <c r="T2056" s="32"/>
      <c r="U2056" s="32"/>
      <c r="V2056" s="32"/>
      <c r="W2056" s="32"/>
      <c r="X2056" s="32"/>
      <c r="Y2056" s="32"/>
      <c r="Z2056" s="32"/>
      <c r="AA2056" s="32"/>
      <c r="AB2056" s="32"/>
      <c r="AC2056" s="32"/>
    </row>
    <row r="2057">
      <c r="A2057" s="32"/>
      <c r="B2057" s="16"/>
      <c r="C2057" s="16"/>
      <c r="D2057" s="16"/>
      <c r="E2057" s="16"/>
      <c r="F2057" s="16"/>
      <c r="G2057" s="16"/>
      <c r="H2057" s="16"/>
      <c r="I2057" s="16"/>
      <c r="J2057" s="16"/>
      <c r="K2057" s="16"/>
      <c r="L2057" s="16"/>
      <c r="M2057" s="16"/>
      <c r="N2057" s="16"/>
      <c r="O2057" s="84"/>
      <c r="P2057" s="54"/>
      <c r="Q2057" s="54"/>
      <c r="R2057" s="55"/>
      <c r="S2057" s="55"/>
      <c r="T2057" s="32"/>
      <c r="U2057" s="32"/>
      <c r="V2057" s="32"/>
      <c r="W2057" s="32"/>
      <c r="X2057" s="32"/>
      <c r="Y2057" s="32"/>
      <c r="Z2057" s="32"/>
      <c r="AA2057" s="32"/>
      <c r="AB2057" s="32"/>
      <c r="AC2057" s="32"/>
    </row>
    <row r="2058">
      <c r="A2058" s="32"/>
      <c r="B2058" s="16"/>
      <c r="C2058" s="16"/>
      <c r="D2058" s="16"/>
      <c r="E2058" s="16"/>
      <c r="F2058" s="16"/>
      <c r="G2058" s="16"/>
      <c r="H2058" s="16"/>
      <c r="I2058" s="16"/>
      <c r="J2058" s="16"/>
      <c r="K2058" s="16"/>
      <c r="L2058" s="16"/>
      <c r="M2058" s="16"/>
      <c r="N2058" s="16"/>
      <c r="O2058" s="84"/>
      <c r="P2058" s="54"/>
      <c r="Q2058" s="54"/>
      <c r="R2058" s="55"/>
      <c r="S2058" s="55"/>
      <c r="T2058" s="32"/>
      <c r="U2058" s="32"/>
      <c r="V2058" s="32"/>
      <c r="W2058" s="32"/>
      <c r="X2058" s="32"/>
      <c r="Y2058" s="32"/>
      <c r="Z2058" s="32"/>
      <c r="AA2058" s="32"/>
      <c r="AB2058" s="32"/>
      <c r="AC2058" s="32"/>
    </row>
    <row r="2059">
      <c r="A2059" s="32"/>
      <c r="B2059" s="16"/>
      <c r="C2059" s="16"/>
      <c r="D2059" s="16"/>
      <c r="E2059" s="16"/>
      <c r="F2059" s="16"/>
      <c r="G2059" s="16"/>
      <c r="H2059" s="16"/>
      <c r="I2059" s="16"/>
      <c r="J2059" s="16"/>
      <c r="K2059" s="16"/>
      <c r="L2059" s="16"/>
      <c r="M2059" s="16"/>
      <c r="N2059" s="16"/>
      <c r="O2059" s="84"/>
      <c r="P2059" s="54"/>
      <c r="Q2059" s="54"/>
      <c r="R2059" s="55"/>
      <c r="S2059" s="55"/>
      <c r="T2059" s="32"/>
      <c r="U2059" s="32"/>
      <c r="V2059" s="32"/>
      <c r="W2059" s="32"/>
      <c r="X2059" s="32"/>
      <c r="Y2059" s="32"/>
      <c r="Z2059" s="32"/>
      <c r="AA2059" s="32"/>
      <c r="AB2059" s="32"/>
      <c r="AC2059" s="32"/>
    </row>
    <row r="2060">
      <c r="A2060" s="32"/>
      <c r="B2060" s="16"/>
      <c r="C2060" s="16"/>
      <c r="D2060" s="16"/>
      <c r="E2060" s="16"/>
      <c r="F2060" s="16"/>
      <c r="G2060" s="16"/>
      <c r="H2060" s="16"/>
      <c r="I2060" s="16"/>
      <c r="J2060" s="16"/>
      <c r="K2060" s="16"/>
      <c r="L2060" s="16"/>
      <c r="M2060" s="16"/>
      <c r="N2060" s="16"/>
      <c r="O2060" s="84"/>
      <c r="P2060" s="54"/>
      <c r="Q2060" s="54"/>
      <c r="R2060" s="55"/>
      <c r="S2060" s="55"/>
      <c r="T2060" s="32"/>
      <c r="U2060" s="32"/>
      <c r="V2060" s="32"/>
      <c r="W2060" s="32"/>
      <c r="X2060" s="32"/>
      <c r="Y2060" s="32"/>
      <c r="Z2060" s="32"/>
      <c r="AA2060" s="32"/>
      <c r="AB2060" s="32"/>
      <c r="AC2060" s="32"/>
    </row>
    <row r="2061">
      <c r="A2061" s="32"/>
      <c r="B2061" s="16"/>
      <c r="C2061" s="16"/>
      <c r="D2061" s="16"/>
      <c r="E2061" s="16"/>
      <c r="F2061" s="16"/>
      <c r="G2061" s="16"/>
      <c r="H2061" s="16"/>
      <c r="I2061" s="16"/>
      <c r="J2061" s="16"/>
      <c r="K2061" s="16"/>
      <c r="L2061" s="16"/>
      <c r="M2061" s="16"/>
      <c r="N2061" s="16"/>
      <c r="O2061" s="84"/>
      <c r="P2061" s="54"/>
      <c r="Q2061" s="54"/>
      <c r="R2061" s="55"/>
      <c r="S2061" s="55"/>
      <c r="T2061" s="32"/>
      <c r="U2061" s="32"/>
      <c r="V2061" s="32"/>
      <c r="W2061" s="32"/>
      <c r="X2061" s="32"/>
      <c r="Y2061" s="32"/>
      <c r="Z2061" s="32"/>
      <c r="AA2061" s="32"/>
      <c r="AB2061" s="32"/>
      <c r="AC2061" s="32"/>
    </row>
    <row r="2062">
      <c r="A2062" s="32"/>
      <c r="B2062" s="16"/>
      <c r="C2062" s="16"/>
      <c r="D2062" s="16"/>
      <c r="E2062" s="16"/>
      <c r="F2062" s="16"/>
      <c r="G2062" s="16"/>
      <c r="H2062" s="16"/>
      <c r="I2062" s="16"/>
      <c r="J2062" s="16"/>
      <c r="K2062" s="16"/>
      <c r="L2062" s="16"/>
      <c r="M2062" s="16"/>
      <c r="N2062" s="16"/>
      <c r="O2062" s="84"/>
      <c r="P2062" s="54"/>
      <c r="Q2062" s="54"/>
      <c r="R2062" s="55"/>
      <c r="S2062" s="55"/>
      <c r="T2062" s="32"/>
      <c r="U2062" s="32"/>
      <c r="V2062" s="32"/>
      <c r="W2062" s="32"/>
      <c r="X2062" s="32"/>
      <c r="Y2062" s="32"/>
      <c r="Z2062" s="32"/>
      <c r="AA2062" s="32"/>
      <c r="AB2062" s="32"/>
      <c r="AC2062" s="32"/>
    </row>
    <row r="2063">
      <c r="A2063" s="32"/>
      <c r="B2063" s="16"/>
      <c r="C2063" s="16"/>
      <c r="D2063" s="16"/>
      <c r="E2063" s="16"/>
      <c r="F2063" s="16"/>
      <c r="G2063" s="16"/>
      <c r="H2063" s="16"/>
      <c r="I2063" s="16"/>
      <c r="J2063" s="16"/>
      <c r="K2063" s="16"/>
      <c r="L2063" s="16"/>
      <c r="M2063" s="16"/>
      <c r="N2063" s="16"/>
      <c r="O2063" s="84"/>
      <c r="P2063" s="54"/>
      <c r="Q2063" s="54"/>
      <c r="R2063" s="55"/>
      <c r="S2063" s="55"/>
      <c r="T2063" s="32"/>
      <c r="U2063" s="32"/>
      <c r="V2063" s="32"/>
      <c r="W2063" s="32"/>
      <c r="X2063" s="32"/>
      <c r="Y2063" s="32"/>
      <c r="Z2063" s="32"/>
      <c r="AA2063" s="32"/>
      <c r="AB2063" s="32"/>
      <c r="AC2063" s="32"/>
    </row>
    <row r="2064">
      <c r="A2064" s="32"/>
      <c r="B2064" s="16"/>
      <c r="C2064" s="16"/>
      <c r="D2064" s="16"/>
      <c r="E2064" s="16"/>
      <c r="F2064" s="16"/>
      <c r="G2064" s="16"/>
      <c r="H2064" s="16"/>
      <c r="I2064" s="16"/>
      <c r="J2064" s="16"/>
      <c r="K2064" s="16"/>
      <c r="L2064" s="16"/>
      <c r="M2064" s="16"/>
      <c r="N2064" s="16"/>
      <c r="O2064" s="84"/>
      <c r="P2064" s="54"/>
      <c r="Q2064" s="54"/>
      <c r="R2064" s="55"/>
      <c r="S2064" s="55"/>
      <c r="T2064" s="32"/>
      <c r="U2064" s="32"/>
      <c r="V2064" s="32"/>
      <c r="W2064" s="32"/>
      <c r="X2064" s="32"/>
      <c r="Y2064" s="32"/>
      <c r="Z2064" s="32"/>
      <c r="AA2064" s="32"/>
      <c r="AB2064" s="32"/>
      <c r="AC2064" s="32"/>
    </row>
    <row r="2065">
      <c r="A2065" s="32"/>
      <c r="B2065" s="16"/>
      <c r="C2065" s="16"/>
      <c r="D2065" s="16"/>
      <c r="E2065" s="16"/>
      <c r="F2065" s="16"/>
      <c r="G2065" s="16"/>
      <c r="H2065" s="16"/>
      <c r="I2065" s="16"/>
      <c r="J2065" s="16"/>
      <c r="K2065" s="16"/>
      <c r="L2065" s="16"/>
      <c r="M2065" s="16"/>
      <c r="N2065" s="16"/>
      <c r="O2065" s="84"/>
      <c r="P2065" s="54"/>
      <c r="Q2065" s="54"/>
      <c r="R2065" s="55"/>
      <c r="S2065" s="55"/>
      <c r="T2065" s="32"/>
      <c r="U2065" s="32"/>
      <c r="V2065" s="32"/>
      <c r="W2065" s="32"/>
      <c r="X2065" s="32"/>
      <c r="Y2065" s="32"/>
      <c r="Z2065" s="32"/>
      <c r="AA2065" s="32"/>
      <c r="AB2065" s="32"/>
      <c r="AC2065" s="32"/>
    </row>
    <row r="2066">
      <c r="A2066" s="32"/>
      <c r="B2066" s="16"/>
      <c r="C2066" s="16"/>
      <c r="D2066" s="16"/>
      <c r="E2066" s="16"/>
      <c r="F2066" s="16"/>
      <c r="G2066" s="16"/>
      <c r="H2066" s="16"/>
      <c r="I2066" s="16"/>
      <c r="J2066" s="16"/>
      <c r="K2066" s="16"/>
      <c r="L2066" s="16"/>
      <c r="M2066" s="16"/>
      <c r="N2066" s="16"/>
      <c r="O2066" s="84"/>
      <c r="P2066" s="54"/>
      <c r="Q2066" s="54"/>
      <c r="R2066" s="55"/>
      <c r="S2066" s="55"/>
      <c r="T2066" s="32"/>
      <c r="U2066" s="32"/>
      <c r="V2066" s="32"/>
      <c r="W2066" s="32"/>
      <c r="X2066" s="32"/>
      <c r="Y2066" s="32"/>
      <c r="Z2066" s="32"/>
      <c r="AA2066" s="32"/>
      <c r="AB2066" s="32"/>
      <c r="AC2066" s="32"/>
    </row>
    <row r="2067">
      <c r="A2067" s="32"/>
      <c r="B2067" s="16"/>
      <c r="C2067" s="16"/>
      <c r="D2067" s="16"/>
      <c r="E2067" s="16"/>
      <c r="F2067" s="16"/>
      <c r="G2067" s="16"/>
      <c r="H2067" s="16"/>
      <c r="I2067" s="16"/>
      <c r="J2067" s="16"/>
      <c r="K2067" s="16"/>
      <c r="L2067" s="16"/>
      <c r="M2067" s="16"/>
      <c r="N2067" s="16"/>
      <c r="O2067" s="84"/>
      <c r="P2067" s="54"/>
      <c r="Q2067" s="54"/>
      <c r="R2067" s="55"/>
      <c r="S2067" s="55"/>
      <c r="T2067" s="32"/>
      <c r="U2067" s="32"/>
      <c r="V2067" s="32"/>
      <c r="W2067" s="32"/>
      <c r="X2067" s="32"/>
      <c r="Y2067" s="32"/>
      <c r="Z2067" s="32"/>
      <c r="AA2067" s="32"/>
      <c r="AB2067" s="32"/>
      <c r="AC2067" s="32"/>
    </row>
    <row r="2068">
      <c r="A2068" s="32"/>
      <c r="B2068" s="16"/>
      <c r="C2068" s="16"/>
      <c r="D2068" s="16"/>
      <c r="E2068" s="16"/>
      <c r="F2068" s="16"/>
      <c r="G2068" s="16"/>
      <c r="H2068" s="16"/>
      <c r="I2068" s="16"/>
      <c r="J2068" s="16"/>
      <c r="K2068" s="16"/>
      <c r="L2068" s="16"/>
      <c r="M2068" s="16"/>
      <c r="N2068" s="16"/>
      <c r="O2068" s="84"/>
      <c r="P2068" s="54"/>
      <c r="Q2068" s="54"/>
      <c r="R2068" s="55"/>
      <c r="S2068" s="55"/>
      <c r="T2068" s="32"/>
      <c r="U2068" s="32"/>
      <c r="V2068" s="32"/>
      <c r="W2068" s="32"/>
      <c r="X2068" s="32"/>
      <c r="Y2068" s="32"/>
      <c r="Z2068" s="32"/>
      <c r="AA2068" s="32"/>
      <c r="AB2068" s="32"/>
      <c r="AC2068" s="32"/>
    </row>
    <row r="2069">
      <c r="A2069" s="32"/>
      <c r="B2069" s="16"/>
      <c r="C2069" s="16"/>
      <c r="D2069" s="16"/>
      <c r="E2069" s="16"/>
      <c r="F2069" s="16"/>
      <c r="G2069" s="16"/>
      <c r="H2069" s="16"/>
      <c r="I2069" s="16"/>
      <c r="J2069" s="16"/>
      <c r="K2069" s="16"/>
      <c r="L2069" s="16"/>
      <c r="M2069" s="16"/>
      <c r="N2069" s="16"/>
      <c r="O2069" s="84"/>
      <c r="P2069" s="54"/>
      <c r="Q2069" s="54"/>
      <c r="R2069" s="55"/>
      <c r="S2069" s="55"/>
      <c r="T2069" s="32"/>
      <c r="U2069" s="32"/>
      <c r="V2069" s="32"/>
      <c r="W2069" s="32"/>
      <c r="X2069" s="32"/>
      <c r="Y2069" s="32"/>
      <c r="Z2069" s="32"/>
      <c r="AA2069" s="32"/>
      <c r="AB2069" s="32"/>
      <c r="AC2069" s="32"/>
    </row>
    <row r="2070">
      <c r="A2070" s="32"/>
      <c r="B2070" s="16"/>
      <c r="C2070" s="16"/>
      <c r="D2070" s="16"/>
      <c r="E2070" s="16"/>
      <c r="F2070" s="16"/>
      <c r="G2070" s="16"/>
      <c r="H2070" s="16"/>
      <c r="I2070" s="16"/>
      <c r="J2070" s="16"/>
      <c r="K2070" s="16"/>
      <c r="L2070" s="16"/>
      <c r="M2070" s="16"/>
      <c r="N2070" s="16"/>
      <c r="O2070" s="84"/>
      <c r="P2070" s="54"/>
      <c r="Q2070" s="54"/>
      <c r="R2070" s="55"/>
      <c r="S2070" s="55"/>
      <c r="T2070" s="32"/>
      <c r="U2070" s="32"/>
      <c r="V2070" s="32"/>
      <c r="W2070" s="32"/>
      <c r="X2070" s="32"/>
      <c r="Y2070" s="32"/>
      <c r="Z2070" s="32"/>
      <c r="AA2070" s="32"/>
      <c r="AB2070" s="32"/>
      <c r="AC2070" s="32"/>
    </row>
    <row r="2071">
      <c r="A2071" s="32"/>
      <c r="B2071" s="16"/>
      <c r="C2071" s="16"/>
      <c r="D2071" s="16"/>
      <c r="E2071" s="16"/>
      <c r="F2071" s="16"/>
      <c r="G2071" s="16"/>
      <c r="H2071" s="16"/>
      <c r="I2071" s="16"/>
      <c r="J2071" s="16"/>
      <c r="K2071" s="16"/>
      <c r="L2071" s="16"/>
      <c r="M2071" s="16"/>
      <c r="N2071" s="16"/>
      <c r="O2071" s="84"/>
      <c r="P2071" s="54"/>
      <c r="Q2071" s="54"/>
      <c r="R2071" s="55"/>
      <c r="S2071" s="55"/>
      <c r="T2071" s="32"/>
      <c r="U2071" s="32"/>
      <c r="V2071" s="32"/>
      <c r="W2071" s="32"/>
      <c r="X2071" s="32"/>
      <c r="Y2071" s="32"/>
      <c r="Z2071" s="32"/>
      <c r="AA2071" s="32"/>
      <c r="AB2071" s="32"/>
      <c r="AC2071" s="32"/>
    </row>
    <row r="2072">
      <c r="A2072" s="32"/>
      <c r="B2072" s="16"/>
      <c r="C2072" s="16"/>
      <c r="D2072" s="16"/>
      <c r="E2072" s="16"/>
      <c r="F2072" s="16"/>
      <c r="G2072" s="16"/>
      <c r="H2072" s="16"/>
      <c r="I2072" s="16"/>
      <c r="J2072" s="16"/>
      <c r="K2072" s="16"/>
      <c r="L2072" s="16"/>
      <c r="M2072" s="16"/>
      <c r="N2072" s="16"/>
      <c r="O2072" s="84"/>
      <c r="P2072" s="54"/>
      <c r="Q2072" s="54"/>
      <c r="R2072" s="55"/>
      <c r="S2072" s="55"/>
      <c r="T2072" s="32"/>
      <c r="U2072" s="32"/>
      <c r="V2072" s="32"/>
      <c r="W2072" s="32"/>
      <c r="X2072" s="32"/>
      <c r="Y2072" s="32"/>
      <c r="Z2072" s="32"/>
      <c r="AA2072" s="32"/>
      <c r="AB2072" s="32"/>
      <c r="AC2072" s="32"/>
    </row>
    <row r="2073">
      <c r="A2073" s="32"/>
      <c r="B2073" s="16"/>
      <c r="C2073" s="16"/>
      <c r="D2073" s="16"/>
      <c r="E2073" s="16"/>
      <c r="F2073" s="16"/>
      <c r="G2073" s="16"/>
      <c r="H2073" s="16"/>
      <c r="I2073" s="16"/>
      <c r="J2073" s="16"/>
      <c r="K2073" s="16"/>
      <c r="L2073" s="16"/>
      <c r="M2073" s="16"/>
      <c r="N2073" s="16"/>
      <c r="O2073" s="84"/>
      <c r="P2073" s="54"/>
      <c r="Q2073" s="54"/>
      <c r="R2073" s="55"/>
      <c r="S2073" s="55"/>
      <c r="T2073" s="32"/>
      <c r="U2073" s="32"/>
      <c r="V2073" s="32"/>
      <c r="W2073" s="32"/>
      <c r="X2073" s="32"/>
      <c r="Y2073" s="32"/>
      <c r="Z2073" s="32"/>
      <c r="AA2073" s="32"/>
      <c r="AB2073" s="32"/>
      <c r="AC2073" s="32"/>
    </row>
    <row r="2074">
      <c r="A2074" s="32"/>
      <c r="B2074" s="16"/>
      <c r="C2074" s="16"/>
      <c r="D2074" s="16"/>
      <c r="E2074" s="16"/>
      <c r="F2074" s="16"/>
      <c r="G2074" s="16"/>
      <c r="H2074" s="16"/>
      <c r="I2074" s="16"/>
      <c r="J2074" s="16"/>
      <c r="K2074" s="16"/>
      <c r="L2074" s="16"/>
      <c r="M2074" s="16"/>
      <c r="N2074" s="16"/>
      <c r="O2074" s="84"/>
      <c r="P2074" s="54"/>
      <c r="Q2074" s="54"/>
      <c r="R2074" s="55"/>
      <c r="S2074" s="55"/>
      <c r="T2074" s="32"/>
      <c r="U2074" s="32"/>
      <c r="V2074" s="32"/>
      <c r="W2074" s="32"/>
      <c r="X2074" s="32"/>
      <c r="Y2074" s="32"/>
      <c r="Z2074" s="32"/>
      <c r="AA2074" s="32"/>
      <c r="AB2074" s="32"/>
      <c r="AC2074" s="32"/>
    </row>
    <row r="2075">
      <c r="A2075" s="32"/>
      <c r="B2075" s="16"/>
      <c r="C2075" s="16"/>
      <c r="D2075" s="16"/>
      <c r="E2075" s="16"/>
      <c r="F2075" s="16"/>
      <c r="G2075" s="16"/>
      <c r="H2075" s="16"/>
      <c r="I2075" s="16"/>
      <c r="J2075" s="16"/>
      <c r="K2075" s="16"/>
      <c r="L2075" s="16"/>
      <c r="M2075" s="16"/>
      <c r="N2075" s="16"/>
      <c r="O2075" s="84"/>
      <c r="P2075" s="54"/>
      <c r="Q2075" s="54"/>
      <c r="R2075" s="55"/>
      <c r="S2075" s="55"/>
      <c r="T2075" s="32"/>
      <c r="U2075" s="32"/>
      <c r="V2075" s="32"/>
      <c r="W2075" s="32"/>
      <c r="X2075" s="32"/>
      <c r="Y2075" s="32"/>
      <c r="Z2075" s="32"/>
      <c r="AA2075" s="32"/>
      <c r="AB2075" s="32"/>
      <c r="AC2075" s="32"/>
    </row>
    <row r="2076">
      <c r="A2076" s="32"/>
      <c r="B2076" s="16"/>
      <c r="C2076" s="16"/>
      <c r="D2076" s="16"/>
      <c r="E2076" s="16"/>
      <c r="F2076" s="16"/>
      <c r="G2076" s="16"/>
      <c r="H2076" s="16"/>
      <c r="I2076" s="16"/>
      <c r="J2076" s="16"/>
      <c r="K2076" s="16"/>
      <c r="L2076" s="16"/>
      <c r="M2076" s="16"/>
      <c r="N2076" s="16"/>
      <c r="O2076" s="84"/>
      <c r="P2076" s="54"/>
      <c r="Q2076" s="54"/>
      <c r="R2076" s="55"/>
      <c r="S2076" s="55"/>
      <c r="T2076" s="32"/>
      <c r="U2076" s="32"/>
      <c r="V2076" s="32"/>
      <c r="W2076" s="32"/>
      <c r="X2076" s="32"/>
      <c r="Y2076" s="32"/>
      <c r="Z2076" s="32"/>
      <c r="AA2076" s="32"/>
      <c r="AB2076" s="32"/>
      <c r="AC2076" s="32"/>
    </row>
    <row r="2077">
      <c r="A2077" s="32"/>
      <c r="B2077" s="16"/>
      <c r="C2077" s="16"/>
      <c r="D2077" s="16"/>
      <c r="E2077" s="16"/>
      <c r="F2077" s="16"/>
      <c r="G2077" s="16"/>
      <c r="H2077" s="16"/>
      <c r="I2077" s="16"/>
      <c r="J2077" s="16"/>
      <c r="K2077" s="16"/>
      <c r="L2077" s="16"/>
      <c r="M2077" s="16"/>
      <c r="N2077" s="16"/>
      <c r="O2077" s="84"/>
      <c r="P2077" s="54"/>
      <c r="Q2077" s="54"/>
      <c r="R2077" s="55"/>
      <c r="S2077" s="55"/>
      <c r="T2077" s="32"/>
      <c r="U2077" s="32"/>
      <c r="V2077" s="32"/>
      <c r="W2077" s="32"/>
      <c r="X2077" s="32"/>
      <c r="Y2077" s="32"/>
      <c r="Z2077" s="32"/>
      <c r="AA2077" s="32"/>
      <c r="AB2077" s="32"/>
      <c r="AC2077" s="32"/>
    </row>
    <row r="2078">
      <c r="A2078" s="32"/>
      <c r="B2078" s="16"/>
      <c r="C2078" s="16"/>
      <c r="D2078" s="16"/>
      <c r="E2078" s="16"/>
      <c r="F2078" s="16"/>
      <c r="G2078" s="16"/>
      <c r="H2078" s="16"/>
      <c r="I2078" s="16"/>
      <c r="J2078" s="16"/>
      <c r="K2078" s="16"/>
      <c r="L2078" s="16"/>
      <c r="M2078" s="16"/>
      <c r="N2078" s="16"/>
      <c r="O2078" s="84"/>
      <c r="P2078" s="54"/>
      <c r="Q2078" s="54"/>
      <c r="R2078" s="55"/>
      <c r="S2078" s="55"/>
      <c r="T2078" s="32"/>
      <c r="U2078" s="32"/>
      <c r="V2078" s="32"/>
      <c r="W2078" s="32"/>
      <c r="X2078" s="32"/>
      <c r="Y2078" s="32"/>
      <c r="Z2078" s="32"/>
      <c r="AA2078" s="32"/>
      <c r="AB2078" s="32"/>
      <c r="AC2078" s="32"/>
    </row>
    <row r="2079">
      <c r="A2079" s="32"/>
      <c r="B2079" s="16"/>
      <c r="C2079" s="16"/>
      <c r="D2079" s="16"/>
      <c r="E2079" s="16"/>
      <c r="F2079" s="16"/>
      <c r="G2079" s="16"/>
      <c r="H2079" s="16"/>
      <c r="I2079" s="16"/>
      <c r="J2079" s="16"/>
      <c r="K2079" s="16"/>
      <c r="L2079" s="16"/>
      <c r="M2079" s="16"/>
      <c r="N2079" s="16"/>
      <c r="O2079" s="84"/>
      <c r="P2079" s="54"/>
      <c r="Q2079" s="54"/>
      <c r="R2079" s="55"/>
      <c r="S2079" s="55"/>
      <c r="T2079" s="32"/>
      <c r="U2079" s="32"/>
      <c r="V2079" s="32"/>
      <c r="W2079" s="32"/>
      <c r="X2079" s="32"/>
      <c r="Y2079" s="32"/>
      <c r="Z2079" s="32"/>
      <c r="AA2079" s="32"/>
      <c r="AB2079" s="32"/>
      <c r="AC2079" s="32"/>
    </row>
    <row r="2080">
      <c r="A2080" s="32"/>
      <c r="B2080" s="16"/>
      <c r="C2080" s="16"/>
      <c r="D2080" s="16"/>
      <c r="E2080" s="16"/>
      <c r="F2080" s="16"/>
      <c r="G2080" s="16"/>
      <c r="H2080" s="16"/>
      <c r="I2080" s="16"/>
      <c r="J2080" s="16"/>
      <c r="K2080" s="16"/>
      <c r="L2080" s="16"/>
      <c r="M2080" s="16"/>
      <c r="N2080" s="16"/>
      <c r="O2080" s="84"/>
      <c r="P2080" s="54"/>
      <c r="Q2080" s="54"/>
      <c r="R2080" s="55"/>
      <c r="S2080" s="55"/>
      <c r="T2080" s="32"/>
      <c r="U2080" s="32"/>
      <c r="V2080" s="32"/>
      <c r="W2080" s="32"/>
      <c r="X2080" s="32"/>
      <c r="Y2080" s="32"/>
      <c r="Z2080" s="32"/>
      <c r="AA2080" s="32"/>
      <c r="AB2080" s="32"/>
      <c r="AC2080" s="32"/>
    </row>
    <row r="2081">
      <c r="A2081" s="32"/>
      <c r="B2081" s="16"/>
      <c r="C2081" s="16"/>
      <c r="D2081" s="16"/>
      <c r="E2081" s="16"/>
      <c r="F2081" s="16"/>
      <c r="G2081" s="16"/>
      <c r="H2081" s="16"/>
      <c r="I2081" s="16"/>
      <c r="J2081" s="16"/>
      <c r="K2081" s="16"/>
      <c r="L2081" s="16"/>
      <c r="M2081" s="16"/>
      <c r="N2081" s="16"/>
      <c r="O2081" s="84"/>
      <c r="P2081" s="54"/>
      <c r="Q2081" s="54"/>
      <c r="R2081" s="55"/>
      <c r="S2081" s="55"/>
      <c r="T2081" s="32"/>
      <c r="U2081" s="32"/>
      <c r="V2081" s="32"/>
      <c r="W2081" s="32"/>
      <c r="X2081" s="32"/>
      <c r="Y2081" s="32"/>
      <c r="Z2081" s="32"/>
      <c r="AA2081" s="32"/>
      <c r="AB2081" s="32"/>
      <c r="AC2081" s="32"/>
    </row>
    <row r="2082">
      <c r="A2082" s="32"/>
      <c r="B2082" s="16"/>
      <c r="C2082" s="16"/>
      <c r="D2082" s="16"/>
      <c r="E2082" s="16"/>
      <c r="F2082" s="16"/>
      <c r="G2082" s="16"/>
      <c r="H2082" s="16"/>
      <c r="I2082" s="16"/>
      <c r="J2082" s="16"/>
      <c r="K2082" s="16"/>
      <c r="L2082" s="16"/>
      <c r="M2082" s="16"/>
      <c r="N2082" s="16"/>
      <c r="O2082" s="84"/>
      <c r="P2082" s="54"/>
      <c r="Q2082" s="54"/>
      <c r="R2082" s="55"/>
      <c r="S2082" s="55"/>
      <c r="T2082" s="32"/>
      <c r="U2082" s="32"/>
      <c r="V2082" s="32"/>
      <c r="W2082" s="32"/>
      <c r="X2082" s="32"/>
      <c r="Y2082" s="32"/>
      <c r="Z2082" s="32"/>
      <c r="AA2082" s="32"/>
      <c r="AB2082" s="32"/>
      <c r="AC2082" s="32"/>
    </row>
    <row r="2083">
      <c r="A2083" s="32"/>
      <c r="B2083" s="16"/>
      <c r="C2083" s="16"/>
      <c r="D2083" s="16"/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  <c r="O2083" s="84"/>
      <c r="P2083" s="54"/>
      <c r="Q2083" s="54"/>
      <c r="R2083" s="55"/>
      <c r="S2083" s="55"/>
      <c r="T2083" s="32"/>
      <c r="U2083" s="32"/>
      <c r="V2083" s="32"/>
      <c r="W2083" s="32"/>
      <c r="X2083" s="32"/>
      <c r="Y2083" s="32"/>
      <c r="Z2083" s="32"/>
      <c r="AA2083" s="32"/>
      <c r="AB2083" s="32"/>
      <c r="AC2083" s="32"/>
    </row>
    <row r="2084">
      <c r="A2084" s="32"/>
      <c r="B2084" s="16"/>
      <c r="C2084" s="16"/>
      <c r="D2084" s="16"/>
      <c r="E2084" s="16"/>
      <c r="F2084" s="16"/>
      <c r="G2084" s="16"/>
      <c r="H2084" s="16"/>
      <c r="I2084" s="16"/>
      <c r="J2084" s="16"/>
      <c r="K2084" s="16"/>
      <c r="L2084" s="16"/>
      <c r="M2084" s="16"/>
      <c r="N2084" s="16"/>
      <c r="O2084" s="84"/>
      <c r="P2084" s="54"/>
      <c r="Q2084" s="54"/>
      <c r="R2084" s="55"/>
      <c r="S2084" s="55"/>
      <c r="T2084" s="32"/>
      <c r="U2084" s="32"/>
      <c r="V2084" s="32"/>
      <c r="W2084" s="32"/>
      <c r="X2084" s="32"/>
      <c r="Y2084" s="32"/>
      <c r="Z2084" s="32"/>
      <c r="AA2084" s="32"/>
      <c r="AB2084" s="32"/>
      <c r="AC2084" s="32"/>
    </row>
    <row r="2085">
      <c r="A2085" s="32"/>
      <c r="B2085" s="16"/>
      <c r="C2085" s="16"/>
      <c r="D2085" s="16"/>
      <c r="E2085" s="16"/>
      <c r="F2085" s="16"/>
      <c r="G2085" s="16"/>
      <c r="H2085" s="16"/>
      <c r="I2085" s="16"/>
      <c r="J2085" s="16"/>
      <c r="K2085" s="16"/>
      <c r="L2085" s="16"/>
      <c r="M2085" s="16"/>
      <c r="N2085" s="16"/>
      <c r="O2085" s="84"/>
      <c r="P2085" s="54"/>
      <c r="Q2085" s="54"/>
      <c r="R2085" s="55"/>
      <c r="S2085" s="55"/>
      <c r="T2085" s="32"/>
      <c r="U2085" s="32"/>
      <c r="V2085" s="32"/>
      <c r="W2085" s="32"/>
      <c r="X2085" s="32"/>
      <c r="Y2085" s="32"/>
      <c r="Z2085" s="32"/>
      <c r="AA2085" s="32"/>
      <c r="AB2085" s="32"/>
      <c r="AC2085" s="32"/>
    </row>
    <row r="2086">
      <c r="A2086" s="32"/>
      <c r="B2086" s="16"/>
      <c r="C2086" s="16"/>
      <c r="D2086" s="16"/>
      <c r="E2086" s="16"/>
      <c r="F2086" s="16"/>
      <c r="G2086" s="16"/>
      <c r="H2086" s="16"/>
      <c r="I2086" s="16"/>
      <c r="J2086" s="16"/>
      <c r="K2086" s="16"/>
      <c r="L2086" s="16"/>
      <c r="M2086" s="16"/>
      <c r="N2086" s="16"/>
      <c r="O2086" s="84"/>
      <c r="P2086" s="54"/>
      <c r="Q2086" s="54"/>
      <c r="R2086" s="55"/>
      <c r="S2086" s="55"/>
      <c r="T2086" s="32"/>
      <c r="U2086" s="32"/>
      <c r="V2086" s="32"/>
      <c r="W2086" s="32"/>
      <c r="X2086" s="32"/>
      <c r="Y2086" s="32"/>
      <c r="Z2086" s="32"/>
      <c r="AA2086" s="32"/>
      <c r="AB2086" s="32"/>
      <c r="AC2086" s="32"/>
    </row>
    <row r="2087">
      <c r="A2087" s="32"/>
      <c r="B2087" s="16"/>
      <c r="C2087" s="16"/>
      <c r="D2087" s="16"/>
      <c r="E2087" s="16"/>
      <c r="F2087" s="16"/>
      <c r="G2087" s="16"/>
      <c r="H2087" s="16"/>
      <c r="I2087" s="16"/>
      <c r="J2087" s="16"/>
      <c r="K2087" s="16"/>
      <c r="L2087" s="16"/>
      <c r="M2087" s="16"/>
      <c r="N2087" s="16"/>
      <c r="O2087" s="84"/>
      <c r="P2087" s="54"/>
      <c r="Q2087" s="54"/>
      <c r="R2087" s="55"/>
      <c r="S2087" s="55"/>
      <c r="T2087" s="32"/>
      <c r="U2087" s="32"/>
      <c r="V2087" s="32"/>
      <c r="W2087" s="32"/>
      <c r="X2087" s="32"/>
      <c r="Y2087" s="32"/>
      <c r="Z2087" s="32"/>
      <c r="AA2087" s="32"/>
      <c r="AB2087" s="32"/>
      <c r="AC2087" s="32"/>
    </row>
    <row r="2088">
      <c r="A2088" s="32"/>
      <c r="B2088" s="16"/>
      <c r="C2088" s="16"/>
      <c r="D2088" s="16"/>
      <c r="E2088" s="16"/>
      <c r="F2088" s="16"/>
      <c r="G2088" s="16"/>
      <c r="H2088" s="16"/>
      <c r="I2088" s="16"/>
      <c r="J2088" s="16"/>
      <c r="K2088" s="16"/>
      <c r="L2088" s="16"/>
      <c r="M2088" s="16"/>
      <c r="N2088" s="16"/>
      <c r="O2088" s="84"/>
      <c r="P2088" s="54"/>
      <c r="Q2088" s="54"/>
      <c r="R2088" s="55"/>
      <c r="S2088" s="55"/>
      <c r="T2088" s="32"/>
      <c r="U2088" s="32"/>
      <c r="V2088" s="32"/>
      <c r="W2088" s="32"/>
      <c r="X2088" s="32"/>
      <c r="Y2088" s="32"/>
      <c r="Z2088" s="32"/>
      <c r="AA2088" s="32"/>
      <c r="AB2088" s="32"/>
      <c r="AC2088" s="32"/>
    </row>
    <row r="2089">
      <c r="A2089" s="32"/>
      <c r="B2089" s="16"/>
      <c r="C2089" s="16"/>
      <c r="D2089" s="16"/>
      <c r="E2089" s="16"/>
      <c r="F2089" s="16"/>
      <c r="G2089" s="16"/>
      <c r="H2089" s="16"/>
      <c r="I2089" s="16"/>
      <c r="J2089" s="16"/>
      <c r="K2089" s="16"/>
      <c r="L2089" s="16"/>
      <c r="M2089" s="16"/>
      <c r="N2089" s="16"/>
      <c r="O2089" s="84"/>
      <c r="P2089" s="54"/>
      <c r="Q2089" s="54"/>
      <c r="R2089" s="55"/>
      <c r="S2089" s="55"/>
      <c r="T2089" s="32"/>
      <c r="U2089" s="32"/>
      <c r="V2089" s="32"/>
      <c r="W2089" s="32"/>
      <c r="X2089" s="32"/>
      <c r="Y2089" s="32"/>
      <c r="Z2089" s="32"/>
      <c r="AA2089" s="32"/>
      <c r="AB2089" s="32"/>
      <c r="AC2089" s="32"/>
    </row>
    <row r="2090">
      <c r="A2090" s="32"/>
      <c r="B2090" s="16"/>
      <c r="C2090" s="16"/>
      <c r="D2090" s="16"/>
      <c r="E2090" s="16"/>
      <c r="F2090" s="16"/>
      <c r="G2090" s="16"/>
      <c r="H2090" s="16"/>
      <c r="I2090" s="16"/>
      <c r="J2090" s="16"/>
      <c r="K2090" s="16"/>
      <c r="L2090" s="16"/>
      <c r="M2090" s="16"/>
      <c r="N2090" s="16"/>
      <c r="O2090" s="84"/>
      <c r="P2090" s="54"/>
      <c r="Q2090" s="54"/>
      <c r="R2090" s="55"/>
      <c r="S2090" s="55"/>
      <c r="T2090" s="32"/>
      <c r="U2090" s="32"/>
      <c r="V2090" s="32"/>
      <c r="W2090" s="32"/>
      <c r="X2090" s="32"/>
      <c r="Y2090" s="32"/>
      <c r="Z2090" s="32"/>
      <c r="AA2090" s="32"/>
      <c r="AB2090" s="32"/>
      <c r="AC2090" s="32"/>
    </row>
    <row r="2091">
      <c r="A2091" s="32"/>
      <c r="B2091" s="16"/>
      <c r="C2091" s="16"/>
      <c r="D2091" s="16"/>
      <c r="E2091" s="16"/>
      <c r="F2091" s="16"/>
      <c r="G2091" s="16"/>
      <c r="H2091" s="16"/>
      <c r="I2091" s="16"/>
      <c r="J2091" s="16"/>
      <c r="K2091" s="16"/>
      <c r="L2091" s="16"/>
      <c r="M2091" s="16"/>
      <c r="N2091" s="16"/>
      <c r="O2091" s="84"/>
      <c r="P2091" s="54"/>
      <c r="Q2091" s="54"/>
      <c r="R2091" s="55"/>
      <c r="S2091" s="55"/>
      <c r="T2091" s="32"/>
      <c r="U2091" s="32"/>
      <c r="V2091" s="32"/>
      <c r="W2091" s="32"/>
      <c r="X2091" s="32"/>
      <c r="Y2091" s="32"/>
      <c r="Z2091" s="32"/>
      <c r="AA2091" s="32"/>
      <c r="AB2091" s="32"/>
      <c r="AC2091" s="32"/>
    </row>
    <row r="2092">
      <c r="A2092" s="32"/>
      <c r="B2092" s="16"/>
      <c r="C2092" s="16"/>
      <c r="D2092" s="16"/>
      <c r="E2092" s="16"/>
      <c r="F2092" s="16"/>
      <c r="G2092" s="16"/>
      <c r="H2092" s="16"/>
      <c r="I2092" s="16"/>
      <c r="J2092" s="16"/>
      <c r="K2092" s="16"/>
      <c r="L2092" s="16"/>
      <c r="M2092" s="16"/>
      <c r="N2092" s="16"/>
      <c r="O2092" s="84"/>
      <c r="P2092" s="54"/>
      <c r="Q2092" s="54"/>
      <c r="R2092" s="55"/>
      <c r="S2092" s="55"/>
      <c r="T2092" s="32"/>
      <c r="U2092" s="32"/>
      <c r="V2092" s="32"/>
      <c r="W2092" s="32"/>
      <c r="X2092" s="32"/>
      <c r="Y2092" s="32"/>
      <c r="Z2092" s="32"/>
      <c r="AA2092" s="32"/>
      <c r="AB2092" s="32"/>
      <c r="AC2092" s="32"/>
    </row>
    <row r="2093">
      <c r="A2093" s="32"/>
      <c r="B2093" s="16"/>
      <c r="C2093" s="16"/>
      <c r="D2093" s="16"/>
      <c r="E2093" s="16"/>
      <c r="F2093" s="16"/>
      <c r="G2093" s="16"/>
      <c r="H2093" s="16"/>
      <c r="I2093" s="16"/>
      <c r="J2093" s="16"/>
      <c r="K2093" s="16"/>
      <c r="L2093" s="16"/>
      <c r="M2093" s="16"/>
      <c r="N2093" s="16"/>
      <c r="O2093" s="84"/>
      <c r="P2093" s="54"/>
      <c r="Q2093" s="54"/>
      <c r="R2093" s="55"/>
      <c r="S2093" s="55"/>
      <c r="T2093" s="32"/>
      <c r="U2093" s="32"/>
      <c r="V2093" s="32"/>
      <c r="W2093" s="32"/>
      <c r="X2093" s="32"/>
      <c r="Y2093" s="32"/>
      <c r="Z2093" s="32"/>
      <c r="AA2093" s="32"/>
      <c r="AB2093" s="32"/>
      <c r="AC2093" s="32"/>
    </row>
    <row r="2094">
      <c r="A2094" s="32"/>
      <c r="B2094" s="16"/>
      <c r="C2094" s="16"/>
      <c r="D2094" s="16"/>
      <c r="E2094" s="16"/>
      <c r="F2094" s="16"/>
      <c r="G2094" s="16"/>
      <c r="H2094" s="16"/>
      <c r="I2094" s="16"/>
      <c r="J2094" s="16"/>
      <c r="K2094" s="16"/>
      <c r="L2094" s="16"/>
      <c r="M2094" s="16"/>
      <c r="N2094" s="16"/>
      <c r="O2094" s="84"/>
      <c r="P2094" s="54"/>
      <c r="Q2094" s="54"/>
      <c r="R2094" s="55"/>
      <c r="S2094" s="55"/>
      <c r="T2094" s="32"/>
      <c r="U2094" s="32"/>
      <c r="V2094" s="32"/>
      <c r="W2094" s="32"/>
      <c r="X2094" s="32"/>
      <c r="Y2094" s="32"/>
      <c r="Z2094" s="32"/>
      <c r="AA2094" s="32"/>
      <c r="AB2094" s="32"/>
      <c r="AC2094" s="32"/>
    </row>
    <row r="2095">
      <c r="A2095" s="32"/>
      <c r="B2095" s="16"/>
      <c r="C2095" s="16"/>
      <c r="D2095" s="16"/>
      <c r="E2095" s="16"/>
      <c r="F2095" s="16"/>
      <c r="G2095" s="16"/>
      <c r="H2095" s="16"/>
      <c r="I2095" s="16"/>
      <c r="J2095" s="16"/>
      <c r="K2095" s="16"/>
      <c r="L2095" s="16"/>
      <c r="M2095" s="16"/>
      <c r="N2095" s="16"/>
      <c r="O2095" s="84"/>
      <c r="P2095" s="54"/>
      <c r="Q2095" s="54"/>
      <c r="R2095" s="55"/>
      <c r="S2095" s="55"/>
      <c r="T2095" s="32"/>
      <c r="U2095" s="32"/>
      <c r="V2095" s="32"/>
      <c r="W2095" s="32"/>
      <c r="X2095" s="32"/>
      <c r="Y2095" s="32"/>
      <c r="Z2095" s="32"/>
      <c r="AA2095" s="32"/>
      <c r="AB2095" s="32"/>
      <c r="AC2095" s="32"/>
    </row>
    <row r="2096">
      <c r="A2096" s="32"/>
      <c r="B2096" s="16"/>
      <c r="C2096" s="16"/>
      <c r="D2096" s="16"/>
      <c r="E2096" s="16"/>
      <c r="F2096" s="16"/>
      <c r="G2096" s="16"/>
      <c r="H2096" s="16"/>
      <c r="I2096" s="16"/>
      <c r="J2096" s="16"/>
      <c r="K2096" s="16"/>
      <c r="L2096" s="16"/>
      <c r="M2096" s="16"/>
      <c r="N2096" s="16"/>
      <c r="O2096" s="84"/>
      <c r="P2096" s="54"/>
      <c r="Q2096" s="54"/>
      <c r="R2096" s="55"/>
      <c r="S2096" s="55"/>
      <c r="T2096" s="32"/>
      <c r="U2096" s="32"/>
      <c r="V2096" s="32"/>
      <c r="W2096" s="32"/>
      <c r="X2096" s="32"/>
      <c r="Y2096" s="32"/>
      <c r="Z2096" s="32"/>
      <c r="AA2096" s="32"/>
      <c r="AB2096" s="32"/>
      <c r="AC2096" s="32"/>
    </row>
    <row r="2097">
      <c r="A2097" s="32"/>
      <c r="B2097" s="16"/>
      <c r="C2097" s="16"/>
      <c r="D2097" s="16"/>
      <c r="E2097" s="16"/>
      <c r="F2097" s="16"/>
      <c r="G2097" s="16"/>
      <c r="H2097" s="16"/>
      <c r="I2097" s="16"/>
      <c r="J2097" s="16"/>
      <c r="K2097" s="16"/>
      <c r="L2097" s="16"/>
      <c r="M2097" s="16"/>
      <c r="N2097" s="16"/>
      <c r="O2097" s="84"/>
      <c r="P2097" s="54"/>
      <c r="Q2097" s="54"/>
      <c r="R2097" s="55"/>
      <c r="S2097" s="55"/>
      <c r="T2097" s="32"/>
      <c r="U2097" s="32"/>
      <c r="V2097" s="32"/>
      <c r="W2097" s="32"/>
      <c r="X2097" s="32"/>
      <c r="Y2097" s="32"/>
      <c r="Z2097" s="32"/>
      <c r="AA2097" s="32"/>
      <c r="AB2097" s="32"/>
      <c r="AC2097" s="32"/>
    </row>
    <row r="2098">
      <c r="A2098" s="32"/>
      <c r="B2098" s="16"/>
      <c r="C2098" s="16"/>
      <c r="D2098" s="16"/>
      <c r="E2098" s="16"/>
      <c r="F2098" s="16"/>
      <c r="G2098" s="16"/>
      <c r="H2098" s="16"/>
      <c r="I2098" s="16"/>
      <c r="J2098" s="16"/>
      <c r="K2098" s="16"/>
      <c r="L2098" s="16"/>
      <c r="M2098" s="16"/>
      <c r="N2098" s="16"/>
      <c r="O2098" s="84"/>
      <c r="P2098" s="54"/>
      <c r="Q2098" s="54"/>
      <c r="R2098" s="55"/>
      <c r="S2098" s="55"/>
      <c r="T2098" s="32"/>
      <c r="U2098" s="32"/>
      <c r="V2098" s="32"/>
      <c r="W2098" s="32"/>
      <c r="X2098" s="32"/>
      <c r="Y2098" s="32"/>
      <c r="Z2098" s="32"/>
      <c r="AA2098" s="32"/>
      <c r="AB2098" s="32"/>
      <c r="AC2098" s="32"/>
    </row>
    <row r="2099">
      <c r="A2099" s="32"/>
      <c r="B2099" s="16"/>
      <c r="C2099" s="16"/>
      <c r="D2099" s="16"/>
      <c r="E2099" s="16"/>
      <c r="F2099" s="16"/>
      <c r="G2099" s="16"/>
      <c r="H2099" s="16"/>
      <c r="I2099" s="16"/>
      <c r="J2099" s="16"/>
      <c r="K2099" s="16"/>
      <c r="L2099" s="16"/>
      <c r="M2099" s="16"/>
      <c r="N2099" s="16"/>
      <c r="O2099" s="84"/>
      <c r="P2099" s="54"/>
      <c r="Q2099" s="54"/>
      <c r="R2099" s="55"/>
      <c r="S2099" s="55"/>
      <c r="T2099" s="32"/>
      <c r="U2099" s="32"/>
      <c r="V2099" s="32"/>
      <c r="W2099" s="32"/>
      <c r="X2099" s="32"/>
      <c r="Y2099" s="32"/>
      <c r="Z2099" s="32"/>
      <c r="AA2099" s="32"/>
      <c r="AB2099" s="32"/>
      <c r="AC2099" s="32"/>
    </row>
    <row r="2100">
      <c r="A2100" s="32"/>
      <c r="B2100" s="16"/>
      <c r="C2100" s="16"/>
      <c r="D2100" s="16"/>
      <c r="E2100" s="16"/>
      <c r="F2100" s="16"/>
      <c r="G2100" s="16"/>
      <c r="H2100" s="16"/>
      <c r="I2100" s="16"/>
      <c r="J2100" s="16"/>
      <c r="K2100" s="16"/>
      <c r="L2100" s="16"/>
      <c r="M2100" s="16"/>
      <c r="N2100" s="16"/>
      <c r="O2100" s="84"/>
      <c r="P2100" s="54"/>
      <c r="Q2100" s="54"/>
      <c r="R2100" s="55"/>
      <c r="S2100" s="55"/>
      <c r="T2100" s="32"/>
      <c r="U2100" s="32"/>
      <c r="V2100" s="32"/>
      <c r="W2100" s="32"/>
      <c r="X2100" s="32"/>
      <c r="Y2100" s="32"/>
      <c r="Z2100" s="32"/>
      <c r="AA2100" s="32"/>
      <c r="AB2100" s="32"/>
      <c r="AC2100" s="32"/>
    </row>
    <row r="2101">
      <c r="A2101" s="32"/>
      <c r="B2101" s="16"/>
      <c r="C2101" s="16"/>
      <c r="D2101" s="16"/>
      <c r="E2101" s="16"/>
      <c r="F2101" s="16"/>
      <c r="G2101" s="16"/>
      <c r="H2101" s="16"/>
      <c r="I2101" s="16"/>
      <c r="J2101" s="16"/>
      <c r="K2101" s="16"/>
      <c r="L2101" s="16"/>
      <c r="M2101" s="16"/>
      <c r="N2101" s="16"/>
      <c r="O2101" s="84"/>
      <c r="P2101" s="54"/>
      <c r="Q2101" s="54"/>
      <c r="R2101" s="55"/>
      <c r="S2101" s="55"/>
      <c r="T2101" s="32"/>
      <c r="U2101" s="32"/>
      <c r="V2101" s="32"/>
      <c r="W2101" s="32"/>
      <c r="X2101" s="32"/>
      <c r="Y2101" s="32"/>
      <c r="Z2101" s="32"/>
      <c r="AA2101" s="32"/>
      <c r="AB2101" s="32"/>
      <c r="AC2101" s="32"/>
    </row>
    <row r="2102">
      <c r="A2102" s="32"/>
      <c r="B2102" s="16"/>
      <c r="C2102" s="16"/>
      <c r="D2102" s="16"/>
      <c r="E2102" s="16"/>
      <c r="F2102" s="16"/>
      <c r="G2102" s="16"/>
      <c r="H2102" s="16"/>
      <c r="I2102" s="16"/>
      <c r="J2102" s="16"/>
      <c r="K2102" s="16"/>
      <c r="L2102" s="16"/>
      <c r="M2102" s="16"/>
      <c r="N2102" s="16"/>
      <c r="O2102" s="84"/>
      <c r="P2102" s="54"/>
      <c r="Q2102" s="54"/>
      <c r="R2102" s="55"/>
      <c r="S2102" s="55"/>
      <c r="T2102" s="32"/>
      <c r="U2102" s="32"/>
      <c r="V2102" s="32"/>
      <c r="W2102" s="32"/>
      <c r="X2102" s="32"/>
      <c r="Y2102" s="32"/>
      <c r="Z2102" s="32"/>
      <c r="AA2102" s="32"/>
      <c r="AB2102" s="32"/>
      <c r="AC2102" s="32"/>
    </row>
    <row r="2103">
      <c r="A2103" s="32"/>
      <c r="B2103" s="16"/>
      <c r="C2103" s="16"/>
      <c r="D2103" s="16"/>
      <c r="E2103" s="16"/>
      <c r="F2103" s="16"/>
      <c r="G2103" s="16"/>
      <c r="H2103" s="16"/>
      <c r="I2103" s="16"/>
      <c r="J2103" s="16"/>
      <c r="K2103" s="16"/>
      <c r="L2103" s="16"/>
      <c r="M2103" s="16"/>
      <c r="N2103" s="16"/>
      <c r="O2103" s="84"/>
      <c r="P2103" s="54"/>
      <c r="Q2103" s="54"/>
      <c r="R2103" s="55"/>
      <c r="S2103" s="55"/>
      <c r="T2103" s="32"/>
      <c r="U2103" s="32"/>
      <c r="V2103" s="32"/>
      <c r="W2103" s="32"/>
      <c r="X2103" s="32"/>
      <c r="Y2103" s="32"/>
      <c r="Z2103" s="32"/>
      <c r="AA2103" s="32"/>
      <c r="AB2103" s="32"/>
      <c r="AC2103" s="32"/>
    </row>
    <row r="2104">
      <c r="A2104" s="32"/>
      <c r="B2104" s="16"/>
      <c r="C2104" s="16"/>
      <c r="D2104" s="16"/>
      <c r="E2104" s="16"/>
      <c r="F2104" s="16"/>
      <c r="G2104" s="16"/>
      <c r="H2104" s="16"/>
      <c r="I2104" s="16"/>
      <c r="J2104" s="16"/>
      <c r="K2104" s="16"/>
      <c r="L2104" s="16"/>
      <c r="M2104" s="16"/>
      <c r="N2104" s="16"/>
      <c r="O2104" s="84"/>
      <c r="P2104" s="54"/>
      <c r="Q2104" s="54"/>
      <c r="R2104" s="55"/>
      <c r="S2104" s="55"/>
      <c r="T2104" s="32"/>
      <c r="U2104" s="32"/>
      <c r="V2104" s="32"/>
      <c r="W2104" s="32"/>
      <c r="X2104" s="32"/>
      <c r="Y2104" s="32"/>
      <c r="Z2104" s="32"/>
      <c r="AA2104" s="32"/>
      <c r="AB2104" s="32"/>
      <c r="AC2104" s="32"/>
    </row>
    <row r="2105">
      <c r="A2105" s="32"/>
      <c r="B2105" s="16"/>
      <c r="C2105" s="16"/>
      <c r="D2105" s="16"/>
      <c r="E2105" s="16"/>
      <c r="F2105" s="16"/>
      <c r="G2105" s="16"/>
      <c r="H2105" s="16"/>
      <c r="I2105" s="16"/>
      <c r="J2105" s="16"/>
      <c r="K2105" s="16"/>
      <c r="L2105" s="16"/>
      <c r="M2105" s="16"/>
      <c r="N2105" s="16"/>
      <c r="O2105" s="84"/>
      <c r="P2105" s="54"/>
      <c r="Q2105" s="54"/>
      <c r="R2105" s="55"/>
      <c r="S2105" s="55"/>
      <c r="T2105" s="32"/>
      <c r="U2105" s="32"/>
      <c r="V2105" s="32"/>
      <c r="W2105" s="32"/>
      <c r="X2105" s="32"/>
      <c r="Y2105" s="32"/>
      <c r="Z2105" s="32"/>
      <c r="AA2105" s="32"/>
      <c r="AB2105" s="32"/>
      <c r="AC2105" s="32"/>
    </row>
    <row r="2106">
      <c r="A2106" s="32"/>
      <c r="B2106" s="16"/>
      <c r="C2106" s="16"/>
      <c r="D2106" s="16"/>
      <c r="E2106" s="16"/>
      <c r="F2106" s="16"/>
      <c r="G2106" s="16"/>
      <c r="H2106" s="16"/>
      <c r="I2106" s="16"/>
      <c r="J2106" s="16"/>
      <c r="K2106" s="16"/>
      <c r="L2106" s="16"/>
      <c r="M2106" s="16"/>
      <c r="N2106" s="16"/>
      <c r="O2106" s="84"/>
      <c r="P2106" s="54"/>
      <c r="Q2106" s="54"/>
      <c r="R2106" s="55"/>
      <c r="S2106" s="55"/>
      <c r="T2106" s="32"/>
      <c r="U2106" s="32"/>
      <c r="V2106" s="32"/>
      <c r="W2106" s="32"/>
      <c r="X2106" s="32"/>
      <c r="Y2106" s="32"/>
      <c r="Z2106" s="32"/>
      <c r="AA2106" s="32"/>
      <c r="AB2106" s="32"/>
      <c r="AC2106" s="32"/>
    </row>
    <row r="2107">
      <c r="A2107" s="32"/>
      <c r="B2107" s="16"/>
      <c r="C2107" s="16"/>
      <c r="D2107" s="16"/>
      <c r="E2107" s="16"/>
      <c r="F2107" s="16"/>
      <c r="G2107" s="16"/>
      <c r="H2107" s="16"/>
      <c r="I2107" s="16"/>
      <c r="J2107" s="16"/>
      <c r="K2107" s="16"/>
      <c r="L2107" s="16"/>
      <c r="M2107" s="16"/>
      <c r="N2107" s="16"/>
      <c r="O2107" s="84"/>
      <c r="P2107" s="54"/>
      <c r="Q2107" s="54"/>
      <c r="R2107" s="55"/>
      <c r="S2107" s="55"/>
      <c r="T2107" s="32"/>
      <c r="U2107" s="32"/>
      <c r="V2107" s="32"/>
      <c r="W2107" s="32"/>
      <c r="X2107" s="32"/>
      <c r="Y2107" s="32"/>
      <c r="Z2107" s="32"/>
      <c r="AA2107" s="32"/>
      <c r="AB2107" s="32"/>
      <c r="AC2107" s="32"/>
    </row>
    <row r="2108">
      <c r="A2108" s="32"/>
      <c r="B2108" s="16"/>
      <c r="C2108" s="16"/>
      <c r="D2108" s="16"/>
      <c r="E2108" s="16"/>
      <c r="F2108" s="16"/>
      <c r="G2108" s="16"/>
      <c r="H2108" s="16"/>
      <c r="I2108" s="16"/>
      <c r="J2108" s="16"/>
      <c r="K2108" s="16"/>
      <c r="L2108" s="16"/>
      <c r="M2108" s="16"/>
      <c r="N2108" s="16"/>
      <c r="O2108" s="84"/>
      <c r="P2108" s="54"/>
      <c r="Q2108" s="54"/>
      <c r="R2108" s="55"/>
      <c r="S2108" s="55"/>
      <c r="T2108" s="32"/>
      <c r="U2108" s="32"/>
      <c r="V2108" s="32"/>
      <c r="W2108" s="32"/>
      <c r="X2108" s="32"/>
      <c r="Y2108" s="32"/>
      <c r="Z2108" s="32"/>
      <c r="AA2108" s="32"/>
      <c r="AB2108" s="32"/>
      <c r="AC2108" s="32"/>
    </row>
    <row r="2109">
      <c r="A2109" s="32"/>
      <c r="B2109" s="16"/>
      <c r="C2109" s="16"/>
      <c r="D2109" s="16"/>
      <c r="E2109" s="16"/>
      <c r="F2109" s="16"/>
      <c r="G2109" s="16"/>
      <c r="H2109" s="16"/>
      <c r="I2109" s="16"/>
      <c r="J2109" s="16"/>
      <c r="K2109" s="16"/>
      <c r="L2109" s="16"/>
      <c r="M2109" s="16"/>
      <c r="N2109" s="16"/>
      <c r="O2109" s="84"/>
      <c r="P2109" s="54"/>
      <c r="Q2109" s="54"/>
      <c r="R2109" s="55"/>
      <c r="S2109" s="55"/>
      <c r="T2109" s="32"/>
      <c r="U2109" s="32"/>
      <c r="V2109" s="32"/>
      <c r="W2109" s="32"/>
      <c r="X2109" s="32"/>
      <c r="Y2109" s="32"/>
      <c r="Z2109" s="32"/>
      <c r="AA2109" s="32"/>
      <c r="AB2109" s="32"/>
      <c r="AC2109" s="32"/>
    </row>
    <row r="2110">
      <c r="A2110" s="32"/>
      <c r="B2110" s="16"/>
      <c r="C2110" s="16"/>
      <c r="D2110" s="16"/>
      <c r="E2110" s="16"/>
      <c r="F2110" s="16"/>
      <c r="G2110" s="16"/>
      <c r="H2110" s="16"/>
      <c r="I2110" s="16"/>
      <c r="J2110" s="16"/>
      <c r="K2110" s="16"/>
      <c r="L2110" s="16"/>
      <c r="M2110" s="16"/>
      <c r="N2110" s="16"/>
      <c r="O2110" s="84"/>
      <c r="P2110" s="54"/>
      <c r="Q2110" s="54"/>
      <c r="R2110" s="55"/>
      <c r="S2110" s="55"/>
      <c r="T2110" s="32"/>
      <c r="U2110" s="32"/>
      <c r="V2110" s="32"/>
      <c r="W2110" s="32"/>
      <c r="X2110" s="32"/>
      <c r="Y2110" s="32"/>
      <c r="Z2110" s="32"/>
      <c r="AA2110" s="32"/>
      <c r="AB2110" s="32"/>
      <c r="AC2110" s="32"/>
    </row>
    <row r="2111">
      <c r="A2111" s="32"/>
      <c r="B2111" s="16"/>
      <c r="C2111" s="16"/>
      <c r="D2111" s="16"/>
      <c r="E2111" s="16"/>
      <c r="F2111" s="16"/>
      <c r="G2111" s="16"/>
      <c r="H2111" s="16"/>
      <c r="I2111" s="16"/>
      <c r="J2111" s="16"/>
      <c r="K2111" s="16"/>
      <c r="L2111" s="16"/>
      <c r="M2111" s="16"/>
      <c r="N2111" s="16"/>
      <c r="O2111" s="84"/>
      <c r="P2111" s="54"/>
      <c r="Q2111" s="54"/>
      <c r="R2111" s="55"/>
      <c r="S2111" s="55"/>
      <c r="T2111" s="32"/>
      <c r="U2111" s="32"/>
      <c r="V2111" s="32"/>
      <c r="W2111" s="32"/>
      <c r="X2111" s="32"/>
      <c r="Y2111" s="32"/>
      <c r="Z2111" s="32"/>
      <c r="AA2111" s="32"/>
      <c r="AB2111" s="32"/>
      <c r="AC2111" s="32"/>
    </row>
    <row r="2112">
      <c r="A2112" s="32"/>
      <c r="B2112" s="16"/>
      <c r="C2112" s="16"/>
      <c r="D2112" s="16"/>
      <c r="E2112" s="16"/>
      <c r="F2112" s="16"/>
      <c r="G2112" s="16"/>
      <c r="H2112" s="16"/>
      <c r="I2112" s="16"/>
      <c r="J2112" s="16"/>
      <c r="K2112" s="16"/>
      <c r="L2112" s="16"/>
      <c r="M2112" s="16"/>
      <c r="N2112" s="16"/>
      <c r="O2112" s="84"/>
      <c r="P2112" s="54"/>
      <c r="Q2112" s="54"/>
      <c r="R2112" s="55"/>
      <c r="S2112" s="55"/>
      <c r="T2112" s="32"/>
      <c r="U2112" s="32"/>
      <c r="V2112" s="32"/>
      <c r="W2112" s="32"/>
      <c r="X2112" s="32"/>
      <c r="Y2112" s="32"/>
      <c r="Z2112" s="32"/>
      <c r="AA2112" s="32"/>
      <c r="AB2112" s="32"/>
      <c r="AC2112" s="32"/>
    </row>
    <row r="2113">
      <c r="A2113" s="32"/>
      <c r="B2113" s="16"/>
      <c r="C2113" s="16"/>
      <c r="D2113" s="16"/>
      <c r="E2113" s="16"/>
      <c r="F2113" s="16"/>
      <c r="G2113" s="16"/>
      <c r="H2113" s="16"/>
      <c r="I2113" s="16"/>
      <c r="J2113" s="16"/>
      <c r="K2113" s="16"/>
      <c r="L2113" s="16"/>
      <c r="M2113" s="16"/>
      <c r="N2113" s="16"/>
      <c r="O2113" s="84"/>
      <c r="P2113" s="54"/>
      <c r="Q2113" s="54"/>
      <c r="R2113" s="55"/>
      <c r="S2113" s="55"/>
      <c r="T2113" s="32"/>
      <c r="U2113" s="32"/>
      <c r="V2113" s="32"/>
      <c r="W2113" s="32"/>
      <c r="X2113" s="32"/>
      <c r="Y2113" s="32"/>
      <c r="Z2113" s="32"/>
      <c r="AA2113" s="32"/>
      <c r="AB2113" s="32"/>
      <c r="AC2113" s="32"/>
    </row>
    <row r="2114">
      <c r="A2114" s="32"/>
      <c r="B2114" s="16"/>
      <c r="C2114" s="16"/>
      <c r="D2114" s="16"/>
      <c r="E2114" s="16"/>
      <c r="F2114" s="16"/>
      <c r="G2114" s="16"/>
      <c r="H2114" s="16"/>
      <c r="I2114" s="16"/>
      <c r="J2114" s="16"/>
      <c r="K2114" s="16"/>
      <c r="L2114" s="16"/>
      <c r="M2114" s="16"/>
      <c r="N2114" s="16"/>
      <c r="O2114" s="84"/>
      <c r="P2114" s="54"/>
      <c r="Q2114" s="54"/>
      <c r="R2114" s="55"/>
      <c r="S2114" s="55"/>
      <c r="T2114" s="32"/>
      <c r="U2114" s="32"/>
      <c r="V2114" s="32"/>
      <c r="W2114" s="32"/>
      <c r="X2114" s="32"/>
      <c r="Y2114" s="32"/>
      <c r="Z2114" s="32"/>
      <c r="AA2114" s="32"/>
      <c r="AB2114" s="32"/>
      <c r="AC2114" s="32"/>
    </row>
    <row r="2115">
      <c r="A2115" s="32"/>
      <c r="B2115" s="16"/>
      <c r="C2115" s="16"/>
      <c r="D2115" s="16"/>
      <c r="E2115" s="16"/>
      <c r="F2115" s="16"/>
      <c r="G2115" s="16"/>
      <c r="H2115" s="16"/>
      <c r="I2115" s="16"/>
      <c r="J2115" s="16"/>
      <c r="K2115" s="16"/>
      <c r="L2115" s="16"/>
      <c r="M2115" s="16"/>
      <c r="N2115" s="16"/>
      <c r="O2115" s="84"/>
      <c r="P2115" s="54"/>
      <c r="Q2115" s="54"/>
      <c r="R2115" s="55"/>
      <c r="S2115" s="55"/>
      <c r="T2115" s="32"/>
      <c r="U2115" s="32"/>
      <c r="V2115" s="32"/>
      <c r="W2115" s="32"/>
      <c r="X2115" s="32"/>
      <c r="Y2115" s="32"/>
      <c r="Z2115" s="32"/>
      <c r="AA2115" s="32"/>
      <c r="AB2115" s="32"/>
      <c r="AC2115" s="32"/>
    </row>
    <row r="2116">
      <c r="A2116" s="32"/>
      <c r="B2116" s="16"/>
      <c r="C2116" s="16"/>
      <c r="D2116" s="16"/>
      <c r="E2116" s="16"/>
      <c r="F2116" s="16"/>
      <c r="G2116" s="16"/>
      <c r="H2116" s="16"/>
      <c r="I2116" s="16"/>
      <c r="J2116" s="16"/>
      <c r="K2116" s="16"/>
      <c r="L2116" s="16"/>
      <c r="M2116" s="16"/>
      <c r="N2116" s="16"/>
      <c r="O2116" s="84"/>
      <c r="P2116" s="54"/>
      <c r="Q2116" s="54"/>
      <c r="R2116" s="55"/>
      <c r="S2116" s="55"/>
      <c r="T2116" s="32"/>
      <c r="U2116" s="32"/>
      <c r="V2116" s="32"/>
      <c r="W2116" s="32"/>
      <c r="X2116" s="32"/>
      <c r="Y2116" s="32"/>
      <c r="Z2116" s="32"/>
      <c r="AA2116" s="32"/>
      <c r="AB2116" s="32"/>
      <c r="AC2116" s="32"/>
    </row>
    <row r="2117">
      <c r="A2117" s="32"/>
      <c r="B2117" s="16"/>
      <c r="C2117" s="16"/>
      <c r="D2117" s="16"/>
      <c r="E2117" s="16"/>
      <c r="F2117" s="16"/>
      <c r="G2117" s="16"/>
      <c r="H2117" s="16"/>
      <c r="I2117" s="16"/>
      <c r="J2117" s="16"/>
      <c r="K2117" s="16"/>
      <c r="L2117" s="16"/>
      <c r="M2117" s="16"/>
      <c r="N2117" s="16"/>
      <c r="O2117" s="84"/>
      <c r="P2117" s="54"/>
      <c r="Q2117" s="54"/>
      <c r="R2117" s="55"/>
      <c r="S2117" s="55"/>
      <c r="T2117" s="32"/>
      <c r="U2117" s="32"/>
      <c r="V2117" s="32"/>
      <c r="W2117" s="32"/>
      <c r="X2117" s="32"/>
      <c r="Y2117" s="32"/>
      <c r="Z2117" s="32"/>
      <c r="AA2117" s="32"/>
      <c r="AB2117" s="32"/>
      <c r="AC2117" s="32"/>
    </row>
    <row r="2118">
      <c r="A2118" s="32"/>
      <c r="B2118" s="16"/>
      <c r="C2118" s="16"/>
      <c r="D2118" s="16"/>
      <c r="E2118" s="16"/>
      <c r="F2118" s="16"/>
      <c r="G2118" s="16"/>
      <c r="H2118" s="16"/>
      <c r="I2118" s="16"/>
      <c r="J2118" s="16"/>
      <c r="K2118" s="16"/>
      <c r="L2118" s="16"/>
      <c r="M2118" s="16"/>
      <c r="N2118" s="16"/>
      <c r="O2118" s="84"/>
      <c r="P2118" s="54"/>
      <c r="Q2118" s="54"/>
      <c r="R2118" s="55"/>
      <c r="S2118" s="55"/>
      <c r="T2118" s="32"/>
      <c r="U2118" s="32"/>
      <c r="V2118" s="32"/>
      <c r="W2118" s="32"/>
      <c r="X2118" s="32"/>
      <c r="Y2118" s="32"/>
      <c r="Z2118" s="32"/>
      <c r="AA2118" s="32"/>
      <c r="AB2118" s="32"/>
      <c r="AC2118" s="32"/>
    </row>
    <row r="2119">
      <c r="A2119" s="32"/>
      <c r="B2119" s="16"/>
      <c r="C2119" s="16"/>
      <c r="D2119" s="16"/>
      <c r="E2119" s="16"/>
      <c r="F2119" s="16"/>
      <c r="G2119" s="16"/>
      <c r="H2119" s="16"/>
      <c r="I2119" s="16"/>
      <c r="J2119" s="16"/>
      <c r="K2119" s="16"/>
      <c r="L2119" s="16"/>
      <c r="M2119" s="16"/>
      <c r="N2119" s="16"/>
      <c r="O2119" s="84"/>
      <c r="P2119" s="54"/>
      <c r="Q2119" s="54"/>
      <c r="R2119" s="55"/>
      <c r="S2119" s="55"/>
      <c r="T2119" s="32"/>
      <c r="U2119" s="32"/>
      <c r="V2119" s="32"/>
      <c r="W2119" s="32"/>
      <c r="X2119" s="32"/>
      <c r="Y2119" s="32"/>
      <c r="Z2119" s="32"/>
      <c r="AA2119" s="32"/>
      <c r="AB2119" s="32"/>
      <c r="AC2119" s="32"/>
    </row>
    <row r="2120">
      <c r="A2120" s="32"/>
      <c r="B2120" s="16"/>
      <c r="C2120" s="16"/>
      <c r="D2120" s="16"/>
      <c r="E2120" s="16"/>
      <c r="F2120" s="16"/>
      <c r="G2120" s="16"/>
      <c r="H2120" s="16"/>
      <c r="I2120" s="16"/>
      <c r="J2120" s="16"/>
      <c r="K2120" s="16"/>
      <c r="L2120" s="16"/>
      <c r="M2120" s="16"/>
      <c r="N2120" s="16"/>
      <c r="O2120" s="84"/>
      <c r="P2120" s="54"/>
      <c r="Q2120" s="54"/>
      <c r="R2120" s="55"/>
      <c r="S2120" s="55"/>
      <c r="T2120" s="32"/>
      <c r="U2120" s="32"/>
      <c r="V2120" s="32"/>
      <c r="W2120" s="32"/>
      <c r="X2120" s="32"/>
      <c r="Y2120" s="32"/>
      <c r="Z2120" s="32"/>
      <c r="AA2120" s="32"/>
      <c r="AB2120" s="32"/>
      <c r="AC2120" s="32"/>
    </row>
    <row r="2121">
      <c r="A2121" s="32"/>
      <c r="B2121" s="16"/>
      <c r="C2121" s="16"/>
      <c r="D2121" s="16"/>
      <c r="E2121" s="16"/>
      <c r="F2121" s="16"/>
      <c r="G2121" s="16"/>
      <c r="H2121" s="16"/>
      <c r="I2121" s="16"/>
      <c r="J2121" s="16"/>
      <c r="K2121" s="16"/>
      <c r="L2121" s="16"/>
      <c r="M2121" s="16"/>
      <c r="N2121" s="16"/>
      <c r="O2121" s="84"/>
      <c r="P2121" s="54"/>
      <c r="Q2121" s="54"/>
      <c r="R2121" s="55"/>
      <c r="S2121" s="55"/>
      <c r="T2121" s="32"/>
      <c r="U2121" s="32"/>
      <c r="V2121" s="32"/>
      <c r="W2121" s="32"/>
      <c r="X2121" s="32"/>
      <c r="Y2121" s="32"/>
      <c r="Z2121" s="32"/>
      <c r="AA2121" s="32"/>
      <c r="AB2121" s="32"/>
      <c r="AC2121" s="32"/>
    </row>
    <row r="2122">
      <c r="A2122" s="32"/>
      <c r="B2122" s="16"/>
      <c r="C2122" s="16"/>
      <c r="D2122" s="16"/>
      <c r="E2122" s="16"/>
      <c r="F2122" s="16"/>
      <c r="G2122" s="16"/>
      <c r="H2122" s="16"/>
      <c r="I2122" s="16"/>
      <c r="J2122" s="16"/>
      <c r="K2122" s="16"/>
      <c r="L2122" s="16"/>
      <c r="M2122" s="16"/>
      <c r="N2122" s="16"/>
      <c r="O2122" s="84"/>
      <c r="P2122" s="54"/>
      <c r="Q2122" s="54"/>
      <c r="R2122" s="55"/>
      <c r="S2122" s="55"/>
      <c r="T2122" s="32"/>
      <c r="U2122" s="32"/>
      <c r="V2122" s="32"/>
      <c r="W2122" s="32"/>
      <c r="X2122" s="32"/>
      <c r="Y2122" s="32"/>
      <c r="Z2122" s="32"/>
      <c r="AA2122" s="32"/>
      <c r="AB2122" s="32"/>
      <c r="AC2122" s="32"/>
    </row>
    <row r="2123">
      <c r="A2123" s="32"/>
      <c r="B2123" s="16"/>
      <c r="C2123" s="16"/>
      <c r="D2123" s="16"/>
      <c r="E2123" s="16"/>
      <c r="F2123" s="16"/>
      <c r="G2123" s="16"/>
      <c r="H2123" s="16"/>
      <c r="I2123" s="16"/>
      <c r="J2123" s="16"/>
      <c r="K2123" s="16"/>
      <c r="L2123" s="16"/>
      <c r="M2123" s="16"/>
      <c r="N2123" s="16"/>
      <c r="O2123" s="84"/>
      <c r="P2123" s="54"/>
      <c r="Q2123" s="54"/>
      <c r="R2123" s="55"/>
      <c r="S2123" s="55"/>
      <c r="T2123" s="32"/>
      <c r="U2123" s="32"/>
      <c r="V2123" s="32"/>
      <c r="W2123" s="32"/>
      <c r="X2123" s="32"/>
      <c r="Y2123" s="32"/>
      <c r="Z2123" s="32"/>
      <c r="AA2123" s="32"/>
      <c r="AB2123" s="32"/>
      <c r="AC2123" s="32"/>
    </row>
    <row r="2124">
      <c r="A2124" s="32"/>
      <c r="B2124" s="16"/>
      <c r="C2124" s="16"/>
      <c r="D2124" s="16"/>
      <c r="E2124" s="16"/>
      <c r="F2124" s="16"/>
      <c r="G2124" s="16"/>
      <c r="H2124" s="16"/>
      <c r="I2124" s="16"/>
      <c r="J2124" s="16"/>
      <c r="K2124" s="16"/>
      <c r="L2124" s="16"/>
      <c r="M2124" s="16"/>
      <c r="N2124" s="16"/>
      <c r="O2124" s="84"/>
      <c r="P2124" s="54"/>
      <c r="Q2124" s="54"/>
      <c r="R2124" s="55"/>
      <c r="S2124" s="55"/>
      <c r="T2124" s="32"/>
      <c r="U2124" s="32"/>
      <c r="V2124" s="32"/>
      <c r="W2124" s="32"/>
      <c r="X2124" s="32"/>
      <c r="Y2124" s="32"/>
      <c r="Z2124" s="32"/>
      <c r="AA2124" s="32"/>
      <c r="AB2124" s="32"/>
      <c r="AC2124" s="32"/>
    </row>
    <row r="2125">
      <c r="A2125" s="32"/>
      <c r="B2125" s="16"/>
      <c r="C2125" s="16"/>
      <c r="D2125" s="16"/>
      <c r="E2125" s="16"/>
      <c r="F2125" s="16"/>
      <c r="G2125" s="16"/>
      <c r="H2125" s="16"/>
      <c r="I2125" s="16"/>
      <c r="J2125" s="16"/>
      <c r="K2125" s="16"/>
      <c r="L2125" s="16"/>
      <c r="M2125" s="16"/>
      <c r="N2125" s="16"/>
      <c r="O2125" s="84"/>
      <c r="P2125" s="54"/>
      <c r="Q2125" s="54"/>
      <c r="R2125" s="55"/>
      <c r="S2125" s="55"/>
      <c r="T2125" s="32"/>
      <c r="U2125" s="32"/>
      <c r="V2125" s="32"/>
      <c r="W2125" s="32"/>
      <c r="X2125" s="32"/>
      <c r="Y2125" s="32"/>
      <c r="Z2125" s="32"/>
      <c r="AA2125" s="32"/>
      <c r="AB2125" s="32"/>
      <c r="AC2125" s="32"/>
    </row>
    <row r="2126">
      <c r="A2126" s="32"/>
      <c r="B2126" s="16"/>
      <c r="C2126" s="16"/>
      <c r="D2126" s="16"/>
      <c r="E2126" s="16"/>
      <c r="F2126" s="16"/>
      <c r="G2126" s="16"/>
      <c r="H2126" s="16"/>
      <c r="I2126" s="16"/>
      <c r="J2126" s="16"/>
      <c r="K2126" s="16"/>
      <c r="L2126" s="16"/>
      <c r="M2126" s="16"/>
      <c r="N2126" s="16"/>
      <c r="O2126" s="84"/>
      <c r="P2126" s="54"/>
      <c r="Q2126" s="54"/>
      <c r="R2126" s="55"/>
      <c r="S2126" s="55"/>
      <c r="T2126" s="32"/>
      <c r="U2126" s="32"/>
      <c r="V2126" s="32"/>
      <c r="W2126" s="32"/>
      <c r="X2126" s="32"/>
      <c r="Y2126" s="32"/>
      <c r="Z2126" s="32"/>
      <c r="AA2126" s="32"/>
      <c r="AB2126" s="32"/>
      <c r="AC2126" s="32"/>
    </row>
    <row r="2127">
      <c r="A2127" s="32"/>
      <c r="B2127" s="16"/>
      <c r="C2127" s="16"/>
      <c r="D2127" s="16"/>
      <c r="E2127" s="16"/>
      <c r="F2127" s="16"/>
      <c r="G2127" s="16"/>
      <c r="H2127" s="16"/>
      <c r="I2127" s="16"/>
      <c r="J2127" s="16"/>
      <c r="K2127" s="16"/>
      <c r="L2127" s="16"/>
      <c r="M2127" s="16"/>
      <c r="N2127" s="16"/>
      <c r="O2127" s="84"/>
      <c r="P2127" s="54"/>
      <c r="Q2127" s="54"/>
      <c r="R2127" s="55"/>
      <c r="S2127" s="55"/>
      <c r="T2127" s="32"/>
      <c r="U2127" s="32"/>
      <c r="V2127" s="32"/>
      <c r="W2127" s="32"/>
      <c r="X2127" s="32"/>
      <c r="Y2127" s="32"/>
      <c r="Z2127" s="32"/>
      <c r="AA2127" s="32"/>
      <c r="AB2127" s="32"/>
      <c r="AC2127" s="32"/>
    </row>
    <row r="2128">
      <c r="A2128" s="32"/>
      <c r="B2128" s="16"/>
      <c r="C2128" s="16"/>
      <c r="D2128" s="16"/>
      <c r="E2128" s="16"/>
      <c r="F2128" s="16"/>
      <c r="G2128" s="16"/>
      <c r="H2128" s="16"/>
      <c r="I2128" s="16"/>
      <c r="J2128" s="16"/>
      <c r="K2128" s="16"/>
      <c r="L2128" s="16"/>
      <c r="M2128" s="16"/>
      <c r="N2128" s="16"/>
      <c r="O2128" s="84"/>
      <c r="P2128" s="54"/>
      <c r="Q2128" s="54"/>
      <c r="R2128" s="55"/>
      <c r="S2128" s="55"/>
      <c r="T2128" s="32"/>
      <c r="U2128" s="32"/>
      <c r="V2128" s="32"/>
      <c r="W2128" s="32"/>
      <c r="X2128" s="32"/>
      <c r="Y2128" s="32"/>
      <c r="Z2128" s="32"/>
      <c r="AA2128" s="32"/>
      <c r="AB2128" s="32"/>
      <c r="AC2128" s="32"/>
    </row>
    <row r="2129">
      <c r="A2129" s="32"/>
      <c r="B2129" s="16"/>
      <c r="C2129" s="16"/>
      <c r="D2129" s="16"/>
      <c r="E2129" s="16"/>
      <c r="F2129" s="16"/>
      <c r="G2129" s="16"/>
      <c r="H2129" s="16"/>
      <c r="I2129" s="16"/>
      <c r="J2129" s="16"/>
      <c r="K2129" s="16"/>
      <c r="L2129" s="16"/>
      <c r="M2129" s="16"/>
      <c r="N2129" s="16"/>
      <c r="O2129" s="84"/>
      <c r="P2129" s="54"/>
      <c r="Q2129" s="54"/>
      <c r="R2129" s="55"/>
      <c r="S2129" s="55"/>
      <c r="T2129" s="32"/>
      <c r="U2129" s="32"/>
      <c r="V2129" s="32"/>
      <c r="W2129" s="32"/>
      <c r="X2129" s="32"/>
      <c r="Y2129" s="32"/>
      <c r="Z2129" s="32"/>
      <c r="AA2129" s="32"/>
      <c r="AB2129" s="32"/>
      <c r="AC2129" s="32"/>
    </row>
    <row r="2130">
      <c r="A2130" s="32"/>
      <c r="B2130" s="16"/>
      <c r="C2130" s="16"/>
      <c r="D2130" s="16"/>
      <c r="E2130" s="16"/>
      <c r="F2130" s="16"/>
      <c r="G2130" s="16"/>
      <c r="H2130" s="16"/>
      <c r="I2130" s="16"/>
      <c r="J2130" s="16"/>
      <c r="K2130" s="16"/>
      <c r="L2130" s="16"/>
      <c r="M2130" s="16"/>
      <c r="N2130" s="16"/>
      <c r="O2130" s="84"/>
      <c r="P2130" s="54"/>
      <c r="Q2130" s="54"/>
      <c r="R2130" s="55"/>
      <c r="S2130" s="55"/>
      <c r="T2130" s="32"/>
      <c r="U2130" s="32"/>
      <c r="V2130" s="32"/>
      <c r="W2130" s="32"/>
      <c r="X2130" s="32"/>
      <c r="Y2130" s="32"/>
      <c r="Z2130" s="32"/>
      <c r="AA2130" s="32"/>
      <c r="AB2130" s="32"/>
      <c r="AC2130" s="32"/>
    </row>
    <row r="2131">
      <c r="A2131" s="32"/>
      <c r="B2131" s="16"/>
      <c r="C2131" s="16"/>
      <c r="D2131" s="16"/>
      <c r="E2131" s="16"/>
      <c r="F2131" s="16"/>
      <c r="G2131" s="16"/>
      <c r="H2131" s="16"/>
      <c r="I2131" s="16"/>
      <c r="J2131" s="16"/>
      <c r="K2131" s="16"/>
      <c r="L2131" s="16"/>
      <c r="M2131" s="16"/>
      <c r="N2131" s="16"/>
      <c r="O2131" s="84"/>
      <c r="P2131" s="54"/>
      <c r="Q2131" s="54"/>
      <c r="R2131" s="55"/>
      <c r="S2131" s="55"/>
      <c r="T2131" s="32"/>
      <c r="U2131" s="32"/>
      <c r="V2131" s="32"/>
      <c r="W2131" s="32"/>
      <c r="X2131" s="32"/>
      <c r="Y2131" s="32"/>
      <c r="Z2131" s="32"/>
      <c r="AA2131" s="32"/>
      <c r="AB2131" s="32"/>
      <c r="AC2131" s="32"/>
    </row>
    <row r="2132">
      <c r="A2132" s="32"/>
      <c r="B2132" s="16"/>
      <c r="C2132" s="16"/>
      <c r="D2132" s="16"/>
      <c r="E2132" s="16"/>
      <c r="F2132" s="16"/>
      <c r="G2132" s="16"/>
      <c r="H2132" s="16"/>
      <c r="I2132" s="16"/>
      <c r="J2132" s="16"/>
      <c r="K2132" s="16"/>
      <c r="L2132" s="16"/>
      <c r="M2132" s="16"/>
      <c r="N2132" s="16"/>
      <c r="O2132" s="84"/>
      <c r="P2132" s="54"/>
      <c r="Q2132" s="54"/>
      <c r="R2132" s="55"/>
      <c r="S2132" s="55"/>
      <c r="T2132" s="32"/>
      <c r="U2132" s="32"/>
      <c r="V2132" s="32"/>
      <c r="W2132" s="32"/>
      <c r="X2132" s="32"/>
      <c r="Y2132" s="32"/>
      <c r="Z2132" s="32"/>
      <c r="AA2132" s="32"/>
      <c r="AB2132" s="32"/>
      <c r="AC2132" s="32"/>
    </row>
    <row r="2133">
      <c r="A2133" s="32"/>
      <c r="B2133" s="16"/>
      <c r="C2133" s="16"/>
      <c r="D2133" s="16"/>
      <c r="E2133" s="16"/>
      <c r="F2133" s="16"/>
      <c r="G2133" s="16"/>
      <c r="H2133" s="16"/>
      <c r="I2133" s="16"/>
      <c r="J2133" s="16"/>
      <c r="K2133" s="16"/>
      <c r="L2133" s="16"/>
      <c r="M2133" s="16"/>
      <c r="N2133" s="16"/>
      <c r="O2133" s="84"/>
      <c r="P2133" s="54"/>
      <c r="Q2133" s="54"/>
      <c r="R2133" s="55"/>
      <c r="S2133" s="55"/>
      <c r="T2133" s="32"/>
      <c r="U2133" s="32"/>
      <c r="V2133" s="32"/>
      <c r="W2133" s="32"/>
      <c r="X2133" s="32"/>
      <c r="Y2133" s="32"/>
      <c r="Z2133" s="32"/>
      <c r="AA2133" s="32"/>
      <c r="AB2133" s="32"/>
      <c r="AC2133" s="32"/>
    </row>
    <row r="2134">
      <c r="A2134" s="32"/>
      <c r="B2134" s="16"/>
      <c r="C2134" s="16"/>
      <c r="D2134" s="16"/>
      <c r="E2134" s="16"/>
      <c r="F2134" s="16"/>
      <c r="G2134" s="16"/>
      <c r="H2134" s="16"/>
      <c r="I2134" s="16"/>
      <c r="J2134" s="16"/>
      <c r="K2134" s="16"/>
      <c r="L2134" s="16"/>
      <c r="M2134" s="16"/>
      <c r="N2134" s="16"/>
      <c r="O2134" s="84"/>
      <c r="P2134" s="54"/>
      <c r="Q2134" s="54"/>
      <c r="R2134" s="55"/>
      <c r="S2134" s="55"/>
      <c r="T2134" s="32"/>
      <c r="U2134" s="32"/>
      <c r="V2134" s="32"/>
      <c r="W2134" s="32"/>
      <c r="X2134" s="32"/>
      <c r="Y2134" s="32"/>
      <c r="Z2134" s="32"/>
      <c r="AA2134" s="32"/>
      <c r="AB2134" s="32"/>
      <c r="AC2134" s="32"/>
    </row>
    <row r="2135">
      <c r="A2135" s="32"/>
      <c r="B2135" s="16"/>
      <c r="C2135" s="16"/>
      <c r="D2135" s="16"/>
      <c r="E2135" s="16"/>
      <c r="F2135" s="16"/>
      <c r="G2135" s="16"/>
      <c r="H2135" s="16"/>
      <c r="I2135" s="16"/>
      <c r="J2135" s="16"/>
      <c r="K2135" s="16"/>
      <c r="L2135" s="16"/>
      <c r="M2135" s="16"/>
      <c r="N2135" s="16"/>
      <c r="O2135" s="84"/>
      <c r="P2135" s="54"/>
      <c r="Q2135" s="54"/>
      <c r="R2135" s="55"/>
      <c r="S2135" s="55"/>
      <c r="T2135" s="32"/>
      <c r="U2135" s="32"/>
      <c r="V2135" s="32"/>
      <c r="W2135" s="32"/>
      <c r="X2135" s="32"/>
      <c r="Y2135" s="32"/>
      <c r="Z2135" s="32"/>
      <c r="AA2135" s="32"/>
      <c r="AB2135" s="32"/>
      <c r="AC2135" s="32"/>
    </row>
    <row r="2136">
      <c r="A2136" s="32"/>
      <c r="B2136" s="16"/>
      <c r="C2136" s="16"/>
      <c r="D2136" s="16"/>
      <c r="E2136" s="16"/>
      <c r="F2136" s="16"/>
      <c r="G2136" s="16"/>
      <c r="H2136" s="16"/>
      <c r="I2136" s="16"/>
      <c r="J2136" s="16"/>
      <c r="K2136" s="16"/>
      <c r="L2136" s="16"/>
      <c r="M2136" s="16"/>
      <c r="N2136" s="16"/>
      <c r="O2136" s="84"/>
      <c r="P2136" s="54"/>
      <c r="Q2136" s="54"/>
      <c r="R2136" s="55"/>
      <c r="S2136" s="55"/>
      <c r="T2136" s="32"/>
      <c r="U2136" s="32"/>
      <c r="V2136" s="32"/>
      <c r="W2136" s="32"/>
      <c r="X2136" s="32"/>
      <c r="Y2136" s="32"/>
      <c r="Z2136" s="32"/>
      <c r="AA2136" s="32"/>
      <c r="AB2136" s="32"/>
      <c r="AC2136" s="32"/>
    </row>
    <row r="2137">
      <c r="A2137" s="32"/>
      <c r="B2137" s="16"/>
      <c r="C2137" s="16"/>
      <c r="D2137" s="16"/>
      <c r="E2137" s="16"/>
      <c r="F2137" s="16"/>
      <c r="G2137" s="16"/>
      <c r="H2137" s="16"/>
      <c r="I2137" s="16"/>
      <c r="J2137" s="16"/>
      <c r="K2137" s="16"/>
      <c r="L2137" s="16"/>
      <c r="M2137" s="16"/>
      <c r="N2137" s="16"/>
      <c r="O2137" s="84"/>
      <c r="P2137" s="54"/>
      <c r="Q2137" s="54"/>
      <c r="R2137" s="55"/>
      <c r="S2137" s="55"/>
      <c r="T2137" s="32"/>
      <c r="U2137" s="32"/>
      <c r="V2137" s="32"/>
      <c r="W2137" s="32"/>
      <c r="X2137" s="32"/>
      <c r="Y2137" s="32"/>
      <c r="Z2137" s="32"/>
      <c r="AA2137" s="32"/>
      <c r="AB2137" s="32"/>
      <c r="AC2137" s="32"/>
    </row>
    <row r="2138">
      <c r="A2138" s="32"/>
      <c r="B2138" s="16"/>
      <c r="C2138" s="16"/>
      <c r="D2138" s="16"/>
      <c r="E2138" s="16"/>
      <c r="F2138" s="16"/>
      <c r="G2138" s="16"/>
      <c r="H2138" s="16"/>
      <c r="I2138" s="16"/>
      <c r="J2138" s="16"/>
      <c r="K2138" s="16"/>
      <c r="L2138" s="16"/>
      <c r="M2138" s="16"/>
      <c r="N2138" s="16"/>
      <c r="O2138" s="84"/>
      <c r="P2138" s="54"/>
      <c r="Q2138" s="54"/>
      <c r="R2138" s="55"/>
      <c r="S2138" s="55"/>
      <c r="T2138" s="32"/>
      <c r="U2138" s="32"/>
      <c r="V2138" s="32"/>
      <c r="W2138" s="32"/>
      <c r="X2138" s="32"/>
      <c r="Y2138" s="32"/>
      <c r="Z2138" s="32"/>
      <c r="AA2138" s="32"/>
      <c r="AB2138" s="32"/>
      <c r="AC2138" s="32"/>
    </row>
    <row r="2139">
      <c r="A2139" s="32"/>
      <c r="B2139" s="16"/>
      <c r="C2139" s="16"/>
      <c r="D2139" s="16"/>
      <c r="E2139" s="16"/>
      <c r="F2139" s="16"/>
      <c r="G2139" s="16"/>
      <c r="H2139" s="16"/>
      <c r="I2139" s="16"/>
      <c r="J2139" s="16"/>
      <c r="K2139" s="16"/>
      <c r="L2139" s="16"/>
      <c r="M2139" s="16"/>
      <c r="N2139" s="16"/>
      <c r="O2139" s="84"/>
      <c r="P2139" s="54"/>
      <c r="Q2139" s="54"/>
      <c r="R2139" s="55"/>
      <c r="S2139" s="55"/>
      <c r="T2139" s="32"/>
      <c r="U2139" s="32"/>
      <c r="V2139" s="32"/>
      <c r="W2139" s="32"/>
      <c r="X2139" s="32"/>
      <c r="Y2139" s="32"/>
      <c r="Z2139" s="32"/>
      <c r="AA2139" s="32"/>
      <c r="AB2139" s="32"/>
      <c r="AC2139" s="32"/>
    </row>
    <row r="2140">
      <c r="A2140" s="32"/>
      <c r="B2140" s="16"/>
      <c r="C2140" s="16"/>
      <c r="D2140" s="16"/>
      <c r="E2140" s="16"/>
      <c r="F2140" s="16"/>
      <c r="G2140" s="16"/>
      <c r="H2140" s="16"/>
      <c r="I2140" s="16"/>
      <c r="J2140" s="16"/>
      <c r="K2140" s="16"/>
      <c r="L2140" s="16"/>
      <c r="M2140" s="16"/>
      <c r="N2140" s="16"/>
      <c r="O2140" s="84"/>
      <c r="P2140" s="54"/>
      <c r="Q2140" s="54"/>
      <c r="R2140" s="55"/>
      <c r="S2140" s="55"/>
      <c r="T2140" s="32"/>
      <c r="U2140" s="32"/>
      <c r="V2140" s="32"/>
      <c r="W2140" s="32"/>
      <c r="X2140" s="32"/>
      <c r="Y2140" s="32"/>
      <c r="Z2140" s="32"/>
      <c r="AA2140" s="32"/>
      <c r="AB2140" s="32"/>
      <c r="AC2140" s="32"/>
    </row>
    <row r="2141">
      <c r="A2141" s="32"/>
      <c r="B2141" s="16"/>
      <c r="C2141" s="16"/>
      <c r="D2141" s="16"/>
      <c r="E2141" s="16"/>
      <c r="F2141" s="16"/>
      <c r="G2141" s="16"/>
      <c r="H2141" s="16"/>
      <c r="I2141" s="16"/>
      <c r="J2141" s="16"/>
      <c r="K2141" s="16"/>
      <c r="L2141" s="16"/>
      <c r="M2141" s="16"/>
      <c r="N2141" s="16"/>
      <c r="O2141" s="84"/>
      <c r="P2141" s="54"/>
      <c r="Q2141" s="54"/>
      <c r="R2141" s="55"/>
      <c r="S2141" s="55"/>
      <c r="T2141" s="32"/>
      <c r="U2141" s="32"/>
      <c r="V2141" s="32"/>
      <c r="W2141" s="32"/>
      <c r="X2141" s="32"/>
      <c r="Y2141" s="32"/>
      <c r="Z2141" s="32"/>
      <c r="AA2141" s="32"/>
      <c r="AB2141" s="32"/>
      <c r="AC2141" s="32"/>
    </row>
    <row r="2142">
      <c r="A2142" s="32"/>
      <c r="B2142" s="16"/>
      <c r="C2142" s="16"/>
      <c r="D2142" s="16"/>
      <c r="E2142" s="16"/>
      <c r="F2142" s="16"/>
      <c r="G2142" s="16"/>
      <c r="H2142" s="16"/>
      <c r="I2142" s="16"/>
      <c r="J2142" s="16"/>
      <c r="K2142" s="16"/>
      <c r="L2142" s="16"/>
      <c r="M2142" s="16"/>
      <c r="N2142" s="16"/>
      <c r="O2142" s="84"/>
      <c r="P2142" s="54"/>
      <c r="Q2142" s="54"/>
      <c r="R2142" s="55"/>
      <c r="S2142" s="55"/>
      <c r="T2142" s="32"/>
      <c r="U2142" s="32"/>
      <c r="V2142" s="32"/>
      <c r="W2142" s="32"/>
      <c r="X2142" s="32"/>
      <c r="Y2142" s="32"/>
      <c r="Z2142" s="32"/>
      <c r="AA2142" s="32"/>
      <c r="AB2142" s="32"/>
      <c r="AC2142" s="32"/>
    </row>
    <row r="2143">
      <c r="A2143" s="32"/>
      <c r="B2143" s="16"/>
      <c r="C2143" s="16"/>
      <c r="D2143" s="16"/>
      <c r="E2143" s="16"/>
      <c r="F2143" s="16"/>
      <c r="G2143" s="16"/>
      <c r="H2143" s="16"/>
      <c r="I2143" s="16"/>
      <c r="J2143" s="16"/>
      <c r="K2143" s="16"/>
      <c r="L2143" s="16"/>
      <c r="M2143" s="16"/>
      <c r="N2143" s="16"/>
      <c r="O2143" s="84"/>
      <c r="P2143" s="54"/>
      <c r="Q2143" s="54"/>
      <c r="R2143" s="55"/>
      <c r="S2143" s="55"/>
      <c r="T2143" s="32"/>
      <c r="U2143" s="32"/>
      <c r="V2143" s="32"/>
      <c r="W2143" s="32"/>
      <c r="X2143" s="32"/>
      <c r="Y2143" s="32"/>
      <c r="Z2143" s="32"/>
      <c r="AA2143" s="32"/>
      <c r="AB2143" s="32"/>
      <c r="AC2143" s="32"/>
    </row>
    <row r="2144">
      <c r="A2144" s="32"/>
      <c r="B2144" s="16"/>
      <c r="C2144" s="16"/>
      <c r="D2144" s="16"/>
      <c r="E2144" s="16"/>
      <c r="F2144" s="16"/>
      <c r="G2144" s="16"/>
      <c r="H2144" s="16"/>
      <c r="I2144" s="16"/>
      <c r="J2144" s="16"/>
      <c r="K2144" s="16"/>
      <c r="L2144" s="16"/>
      <c r="M2144" s="16"/>
      <c r="N2144" s="16"/>
      <c r="O2144" s="84"/>
      <c r="P2144" s="54"/>
      <c r="Q2144" s="54"/>
      <c r="R2144" s="55"/>
      <c r="S2144" s="55"/>
      <c r="T2144" s="32"/>
      <c r="U2144" s="32"/>
      <c r="V2144" s="32"/>
      <c r="W2144" s="32"/>
      <c r="X2144" s="32"/>
      <c r="Y2144" s="32"/>
      <c r="Z2144" s="32"/>
      <c r="AA2144" s="32"/>
      <c r="AB2144" s="32"/>
      <c r="AC2144" s="32"/>
    </row>
    <row r="2145">
      <c r="A2145" s="32"/>
      <c r="B2145" s="16"/>
      <c r="C2145" s="16"/>
      <c r="D2145" s="16"/>
      <c r="E2145" s="16"/>
      <c r="F2145" s="16"/>
      <c r="G2145" s="16"/>
      <c r="H2145" s="16"/>
      <c r="I2145" s="16"/>
      <c r="J2145" s="16"/>
      <c r="K2145" s="16"/>
      <c r="L2145" s="16"/>
      <c r="M2145" s="16"/>
      <c r="N2145" s="16"/>
      <c r="O2145" s="84"/>
      <c r="P2145" s="54"/>
      <c r="Q2145" s="54"/>
      <c r="R2145" s="55"/>
      <c r="S2145" s="55"/>
      <c r="T2145" s="32"/>
      <c r="U2145" s="32"/>
      <c r="V2145" s="32"/>
      <c r="W2145" s="32"/>
      <c r="X2145" s="32"/>
      <c r="Y2145" s="32"/>
      <c r="Z2145" s="32"/>
      <c r="AA2145" s="32"/>
      <c r="AB2145" s="32"/>
      <c r="AC2145" s="32"/>
    </row>
    <row r="2146">
      <c r="A2146" s="32"/>
      <c r="B2146" s="16"/>
      <c r="C2146" s="16"/>
      <c r="D2146" s="16"/>
      <c r="E2146" s="16"/>
      <c r="F2146" s="16"/>
      <c r="G2146" s="16"/>
      <c r="H2146" s="16"/>
      <c r="I2146" s="16"/>
      <c r="J2146" s="16"/>
      <c r="K2146" s="16"/>
      <c r="L2146" s="16"/>
      <c r="M2146" s="16"/>
      <c r="N2146" s="16"/>
      <c r="O2146" s="84"/>
      <c r="P2146" s="54"/>
      <c r="Q2146" s="54"/>
      <c r="R2146" s="55"/>
      <c r="S2146" s="55"/>
      <c r="T2146" s="32"/>
      <c r="U2146" s="32"/>
      <c r="V2146" s="32"/>
      <c r="W2146" s="32"/>
      <c r="X2146" s="32"/>
      <c r="Y2146" s="32"/>
      <c r="Z2146" s="32"/>
      <c r="AA2146" s="32"/>
      <c r="AB2146" s="32"/>
      <c r="AC2146" s="32"/>
    </row>
    <row r="2147">
      <c r="A2147" s="32"/>
      <c r="B2147" s="16"/>
      <c r="C2147" s="16"/>
      <c r="D2147" s="16"/>
      <c r="E2147" s="16"/>
      <c r="F2147" s="16"/>
      <c r="G2147" s="16"/>
      <c r="H2147" s="16"/>
      <c r="I2147" s="16"/>
      <c r="J2147" s="16"/>
      <c r="K2147" s="16"/>
      <c r="L2147" s="16"/>
      <c r="M2147" s="16"/>
      <c r="N2147" s="16"/>
      <c r="O2147" s="84"/>
      <c r="P2147" s="54"/>
      <c r="Q2147" s="54"/>
      <c r="R2147" s="55"/>
      <c r="S2147" s="55"/>
      <c r="T2147" s="32"/>
      <c r="U2147" s="32"/>
      <c r="V2147" s="32"/>
      <c r="W2147" s="32"/>
      <c r="X2147" s="32"/>
      <c r="Y2147" s="32"/>
      <c r="Z2147" s="32"/>
      <c r="AA2147" s="32"/>
      <c r="AB2147" s="32"/>
      <c r="AC2147" s="32"/>
    </row>
    <row r="2148">
      <c r="A2148" s="32"/>
      <c r="B2148" s="16"/>
      <c r="C2148" s="16"/>
      <c r="D2148" s="16"/>
      <c r="E2148" s="16"/>
      <c r="F2148" s="16"/>
      <c r="G2148" s="16"/>
      <c r="H2148" s="16"/>
      <c r="I2148" s="16"/>
      <c r="J2148" s="16"/>
      <c r="K2148" s="16"/>
      <c r="L2148" s="16"/>
      <c r="M2148" s="16"/>
      <c r="N2148" s="16"/>
      <c r="O2148" s="84"/>
      <c r="P2148" s="54"/>
      <c r="Q2148" s="54"/>
      <c r="R2148" s="55"/>
      <c r="S2148" s="55"/>
      <c r="T2148" s="32"/>
      <c r="U2148" s="32"/>
      <c r="V2148" s="32"/>
      <c r="W2148" s="32"/>
      <c r="X2148" s="32"/>
      <c r="Y2148" s="32"/>
      <c r="Z2148" s="32"/>
      <c r="AA2148" s="32"/>
      <c r="AB2148" s="32"/>
      <c r="AC2148" s="32"/>
    </row>
    <row r="2149">
      <c r="A2149" s="32"/>
      <c r="B2149" s="16"/>
      <c r="C2149" s="16"/>
      <c r="D2149" s="16"/>
      <c r="E2149" s="16"/>
      <c r="F2149" s="16"/>
      <c r="G2149" s="16"/>
      <c r="H2149" s="16"/>
      <c r="I2149" s="16"/>
      <c r="J2149" s="16"/>
      <c r="K2149" s="16"/>
      <c r="L2149" s="16"/>
      <c r="M2149" s="16"/>
      <c r="N2149" s="16"/>
      <c r="O2149" s="84"/>
      <c r="P2149" s="54"/>
      <c r="Q2149" s="54"/>
      <c r="R2149" s="55"/>
      <c r="S2149" s="55"/>
      <c r="T2149" s="32"/>
      <c r="U2149" s="32"/>
      <c r="V2149" s="32"/>
      <c r="W2149" s="32"/>
      <c r="X2149" s="32"/>
      <c r="Y2149" s="32"/>
      <c r="Z2149" s="32"/>
      <c r="AA2149" s="32"/>
      <c r="AB2149" s="32"/>
      <c r="AC2149" s="32"/>
    </row>
    <row r="2150">
      <c r="A2150" s="32"/>
      <c r="B2150" s="16"/>
      <c r="C2150" s="16"/>
      <c r="D2150" s="16"/>
      <c r="E2150" s="16"/>
      <c r="F2150" s="16"/>
      <c r="G2150" s="16"/>
      <c r="H2150" s="16"/>
      <c r="I2150" s="16"/>
      <c r="J2150" s="16"/>
      <c r="K2150" s="16"/>
      <c r="L2150" s="16"/>
      <c r="M2150" s="16"/>
      <c r="N2150" s="16"/>
      <c r="O2150" s="84"/>
      <c r="P2150" s="54"/>
      <c r="Q2150" s="54"/>
      <c r="R2150" s="55"/>
      <c r="S2150" s="55"/>
      <c r="T2150" s="32"/>
      <c r="U2150" s="32"/>
      <c r="V2150" s="32"/>
      <c r="W2150" s="32"/>
      <c r="X2150" s="32"/>
      <c r="Y2150" s="32"/>
      <c r="Z2150" s="32"/>
      <c r="AA2150" s="32"/>
      <c r="AB2150" s="32"/>
      <c r="AC2150" s="32"/>
    </row>
    <row r="2151">
      <c r="A2151" s="32"/>
      <c r="B2151" s="16"/>
      <c r="C2151" s="16"/>
      <c r="D2151" s="16"/>
      <c r="E2151" s="16"/>
      <c r="F2151" s="16"/>
      <c r="G2151" s="16"/>
      <c r="H2151" s="16"/>
      <c r="I2151" s="16"/>
      <c r="J2151" s="16"/>
      <c r="K2151" s="16"/>
      <c r="L2151" s="16"/>
      <c r="M2151" s="16"/>
      <c r="N2151" s="16"/>
      <c r="O2151" s="84"/>
      <c r="P2151" s="54"/>
      <c r="Q2151" s="54"/>
      <c r="R2151" s="55"/>
      <c r="S2151" s="55"/>
      <c r="T2151" s="32"/>
      <c r="U2151" s="32"/>
      <c r="V2151" s="32"/>
      <c r="W2151" s="32"/>
      <c r="X2151" s="32"/>
      <c r="Y2151" s="32"/>
      <c r="Z2151" s="32"/>
      <c r="AA2151" s="32"/>
      <c r="AB2151" s="32"/>
      <c r="AC2151" s="32"/>
    </row>
    <row r="2152">
      <c r="A2152" s="32"/>
      <c r="B2152" s="16"/>
      <c r="C2152" s="16"/>
      <c r="D2152" s="16"/>
      <c r="E2152" s="16"/>
      <c r="F2152" s="16"/>
      <c r="G2152" s="16"/>
      <c r="H2152" s="16"/>
      <c r="I2152" s="16"/>
      <c r="J2152" s="16"/>
      <c r="K2152" s="16"/>
      <c r="L2152" s="16"/>
      <c r="M2152" s="16"/>
      <c r="N2152" s="16"/>
      <c r="O2152" s="84"/>
      <c r="P2152" s="54"/>
      <c r="Q2152" s="54"/>
      <c r="R2152" s="55"/>
      <c r="S2152" s="55"/>
      <c r="T2152" s="32"/>
      <c r="U2152" s="32"/>
      <c r="V2152" s="32"/>
      <c r="W2152" s="32"/>
      <c r="X2152" s="32"/>
      <c r="Y2152" s="32"/>
      <c r="Z2152" s="32"/>
      <c r="AA2152" s="32"/>
      <c r="AB2152" s="32"/>
      <c r="AC2152" s="32"/>
    </row>
    <row r="2153">
      <c r="A2153" s="32"/>
      <c r="B2153" s="16"/>
      <c r="C2153" s="16"/>
      <c r="D2153" s="16"/>
      <c r="E2153" s="16"/>
      <c r="F2153" s="16"/>
      <c r="G2153" s="16"/>
      <c r="H2153" s="16"/>
      <c r="I2153" s="16"/>
      <c r="J2153" s="16"/>
      <c r="K2153" s="16"/>
      <c r="L2153" s="16"/>
      <c r="M2153" s="16"/>
      <c r="N2153" s="16"/>
      <c r="O2153" s="84"/>
      <c r="P2153" s="54"/>
      <c r="Q2153" s="54"/>
      <c r="R2153" s="55"/>
      <c r="S2153" s="55"/>
      <c r="T2153" s="32"/>
      <c r="U2153" s="32"/>
      <c r="V2153" s="32"/>
      <c r="W2153" s="32"/>
      <c r="X2153" s="32"/>
      <c r="Y2153" s="32"/>
      <c r="Z2153" s="32"/>
      <c r="AA2153" s="32"/>
      <c r="AB2153" s="32"/>
      <c r="AC2153" s="32"/>
    </row>
    <row r="2154">
      <c r="A2154" s="32"/>
      <c r="B2154" s="16"/>
      <c r="C2154" s="16"/>
      <c r="D2154" s="16"/>
      <c r="E2154" s="16"/>
      <c r="F2154" s="16"/>
      <c r="G2154" s="16"/>
      <c r="H2154" s="16"/>
      <c r="I2154" s="16"/>
      <c r="J2154" s="16"/>
      <c r="K2154" s="16"/>
      <c r="L2154" s="16"/>
      <c r="M2154" s="16"/>
      <c r="N2154" s="16"/>
      <c r="O2154" s="84"/>
      <c r="P2154" s="54"/>
      <c r="Q2154" s="54"/>
      <c r="R2154" s="55"/>
      <c r="S2154" s="55"/>
      <c r="T2154" s="32"/>
      <c r="U2154" s="32"/>
      <c r="V2154" s="32"/>
      <c r="W2154" s="32"/>
      <c r="X2154" s="32"/>
      <c r="Y2154" s="32"/>
      <c r="Z2154" s="32"/>
      <c r="AA2154" s="32"/>
      <c r="AB2154" s="32"/>
      <c r="AC2154" s="32"/>
    </row>
    <row r="2155">
      <c r="A2155" s="32"/>
      <c r="B2155" s="16"/>
      <c r="C2155" s="16"/>
      <c r="D2155" s="16"/>
      <c r="E2155" s="16"/>
      <c r="F2155" s="16"/>
      <c r="G2155" s="16"/>
      <c r="H2155" s="16"/>
      <c r="I2155" s="16"/>
      <c r="J2155" s="16"/>
      <c r="K2155" s="16"/>
      <c r="L2155" s="16"/>
      <c r="M2155" s="16"/>
      <c r="N2155" s="16"/>
      <c r="O2155" s="84"/>
      <c r="P2155" s="54"/>
      <c r="Q2155" s="54"/>
      <c r="R2155" s="55"/>
      <c r="S2155" s="55"/>
      <c r="T2155" s="32"/>
      <c r="U2155" s="32"/>
      <c r="V2155" s="32"/>
      <c r="W2155" s="32"/>
      <c r="X2155" s="32"/>
      <c r="Y2155" s="32"/>
      <c r="Z2155" s="32"/>
      <c r="AA2155" s="32"/>
      <c r="AB2155" s="32"/>
      <c r="AC2155" s="32"/>
    </row>
    <row r="2156">
      <c r="A2156" s="32"/>
      <c r="B2156" s="16"/>
      <c r="C2156" s="16"/>
      <c r="D2156" s="16"/>
      <c r="E2156" s="16"/>
      <c r="F2156" s="16"/>
      <c r="G2156" s="16"/>
      <c r="H2156" s="16"/>
      <c r="I2156" s="16"/>
      <c r="J2156" s="16"/>
      <c r="K2156" s="16"/>
      <c r="L2156" s="16"/>
      <c r="M2156" s="16"/>
      <c r="N2156" s="16"/>
      <c r="O2156" s="84"/>
      <c r="P2156" s="54"/>
      <c r="Q2156" s="54"/>
      <c r="R2156" s="55"/>
      <c r="S2156" s="55"/>
      <c r="T2156" s="32"/>
      <c r="U2156" s="32"/>
      <c r="V2156" s="32"/>
      <c r="W2156" s="32"/>
      <c r="X2156" s="32"/>
      <c r="Y2156" s="32"/>
      <c r="Z2156" s="32"/>
      <c r="AA2156" s="32"/>
      <c r="AB2156" s="32"/>
      <c r="AC2156" s="32"/>
    </row>
    <row r="2157">
      <c r="A2157" s="32"/>
      <c r="B2157" s="16"/>
      <c r="C2157" s="16"/>
      <c r="D2157" s="16"/>
      <c r="E2157" s="16"/>
      <c r="F2157" s="16"/>
      <c r="G2157" s="16"/>
      <c r="H2157" s="16"/>
      <c r="I2157" s="16"/>
      <c r="J2157" s="16"/>
      <c r="K2157" s="16"/>
      <c r="L2157" s="16"/>
      <c r="M2157" s="16"/>
      <c r="N2157" s="16"/>
      <c r="O2157" s="84"/>
      <c r="P2157" s="54"/>
      <c r="Q2157" s="54"/>
      <c r="R2157" s="55"/>
      <c r="S2157" s="55"/>
      <c r="T2157" s="32"/>
      <c r="U2157" s="32"/>
      <c r="V2157" s="32"/>
      <c r="W2157" s="32"/>
      <c r="X2157" s="32"/>
      <c r="Y2157" s="32"/>
      <c r="Z2157" s="32"/>
      <c r="AA2157" s="32"/>
      <c r="AB2157" s="32"/>
      <c r="AC2157" s="32"/>
    </row>
    <row r="2158">
      <c r="A2158" s="32"/>
      <c r="B2158" s="16"/>
      <c r="C2158" s="16"/>
      <c r="D2158" s="16"/>
      <c r="E2158" s="16"/>
      <c r="F2158" s="16"/>
      <c r="G2158" s="16"/>
      <c r="H2158" s="16"/>
      <c r="I2158" s="16"/>
      <c r="J2158" s="16"/>
      <c r="K2158" s="16"/>
      <c r="L2158" s="16"/>
      <c r="M2158" s="16"/>
      <c r="N2158" s="16"/>
      <c r="O2158" s="84"/>
      <c r="P2158" s="54"/>
      <c r="Q2158" s="54"/>
      <c r="R2158" s="55"/>
      <c r="S2158" s="55"/>
      <c r="T2158" s="32"/>
      <c r="U2158" s="32"/>
      <c r="V2158" s="32"/>
      <c r="W2158" s="32"/>
      <c r="X2158" s="32"/>
      <c r="Y2158" s="32"/>
      <c r="Z2158" s="32"/>
      <c r="AA2158" s="32"/>
      <c r="AB2158" s="32"/>
      <c r="AC2158" s="32"/>
    </row>
    <row r="2159">
      <c r="A2159" s="32"/>
      <c r="B2159" s="16"/>
      <c r="C2159" s="16"/>
      <c r="D2159" s="16"/>
      <c r="E2159" s="16"/>
      <c r="F2159" s="16"/>
      <c r="G2159" s="16"/>
      <c r="H2159" s="16"/>
      <c r="I2159" s="16"/>
      <c r="J2159" s="16"/>
      <c r="K2159" s="16"/>
      <c r="L2159" s="16"/>
      <c r="M2159" s="16"/>
      <c r="N2159" s="16"/>
      <c r="O2159" s="84"/>
      <c r="P2159" s="54"/>
      <c r="Q2159" s="54"/>
      <c r="R2159" s="55"/>
      <c r="S2159" s="55"/>
      <c r="T2159" s="32"/>
      <c r="U2159" s="32"/>
      <c r="V2159" s="32"/>
      <c r="W2159" s="32"/>
      <c r="X2159" s="32"/>
      <c r="Y2159" s="32"/>
      <c r="Z2159" s="32"/>
      <c r="AA2159" s="32"/>
      <c r="AB2159" s="32"/>
      <c r="AC2159" s="32"/>
    </row>
    <row r="2160">
      <c r="A2160" s="32"/>
      <c r="B2160" s="16"/>
      <c r="C2160" s="16"/>
      <c r="D2160" s="16"/>
      <c r="E2160" s="16"/>
      <c r="F2160" s="16"/>
      <c r="G2160" s="16"/>
      <c r="H2160" s="16"/>
      <c r="I2160" s="16"/>
      <c r="J2160" s="16"/>
      <c r="K2160" s="16"/>
      <c r="L2160" s="16"/>
      <c r="M2160" s="16"/>
      <c r="N2160" s="16"/>
      <c r="O2160" s="84"/>
      <c r="P2160" s="54"/>
      <c r="Q2160" s="54"/>
      <c r="R2160" s="55"/>
      <c r="S2160" s="55"/>
      <c r="T2160" s="32"/>
      <c r="U2160" s="32"/>
      <c r="V2160" s="32"/>
      <c r="W2160" s="32"/>
      <c r="X2160" s="32"/>
      <c r="Y2160" s="32"/>
      <c r="Z2160" s="32"/>
      <c r="AA2160" s="32"/>
      <c r="AB2160" s="32"/>
      <c r="AC2160" s="32"/>
    </row>
    <row r="2161">
      <c r="A2161" s="32"/>
      <c r="B2161" s="16"/>
      <c r="C2161" s="16"/>
      <c r="D2161" s="16"/>
      <c r="E2161" s="16"/>
      <c r="F2161" s="16"/>
      <c r="G2161" s="16"/>
      <c r="H2161" s="16"/>
      <c r="I2161" s="16"/>
      <c r="J2161" s="16"/>
      <c r="K2161" s="16"/>
      <c r="L2161" s="16"/>
      <c r="M2161" s="16"/>
      <c r="N2161" s="16"/>
      <c r="O2161" s="84"/>
      <c r="P2161" s="54"/>
      <c r="Q2161" s="54"/>
      <c r="R2161" s="55"/>
      <c r="S2161" s="55"/>
      <c r="T2161" s="32"/>
      <c r="U2161" s="32"/>
      <c r="V2161" s="32"/>
      <c r="W2161" s="32"/>
      <c r="X2161" s="32"/>
      <c r="Y2161" s="32"/>
      <c r="Z2161" s="32"/>
      <c r="AA2161" s="32"/>
      <c r="AB2161" s="32"/>
      <c r="AC2161" s="32"/>
    </row>
    <row r="2162">
      <c r="A2162" s="32"/>
      <c r="B2162" s="16"/>
      <c r="C2162" s="16"/>
      <c r="D2162" s="16"/>
      <c r="E2162" s="16"/>
      <c r="F2162" s="16"/>
      <c r="G2162" s="16"/>
      <c r="H2162" s="16"/>
      <c r="I2162" s="16"/>
      <c r="J2162" s="16"/>
      <c r="K2162" s="16"/>
      <c r="L2162" s="16"/>
      <c r="M2162" s="16"/>
      <c r="N2162" s="16"/>
      <c r="O2162" s="84"/>
      <c r="P2162" s="54"/>
      <c r="Q2162" s="54"/>
      <c r="R2162" s="55"/>
      <c r="S2162" s="55"/>
      <c r="T2162" s="32"/>
      <c r="U2162" s="32"/>
      <c r="V2162" s="32"/>
      <c r="W2162" s="32"/>
      <c r="X2162" s="32"/>
      <c r="Y2162" s="32"/>
      <c r="Z2162" s="32"/>
      <c r="AA2162" s="32"/>
      <c r="AB2162" s="32"/>
      <c r="AC2162" s="32"/>
    </row>
    <row r="2163">
      <c r="A2163" s="32"/>
      <c r="B2163" s="16"/>
      <c r="C2163" s="16"/>
      <c r="D2163" s="16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  <c r="O2163" s="84"/>
      <c r="P2163" s="54"/>
      <c r="Q2163" s="54"/>
      <c r="R2163" s="55"/>
      <c r="S2163" s="55"/>
      <c r="T2163" s="32"/>
      <c r="U2163" s="32"/>
      <c r="V2163" s="32"/>
      <c r="W2163" s="32"/>
      <c r="X2163" s="32"/>
      <c r="Y2163" s="32"/>
      <c r="Z2163" s="32"/>
      <c r="AA2163" s="32"/>
      <c r="AB2163" s="32"/>
      <c r="AC2163" s="32"/>
    </row>
    <row r="2164">
      <c r="A2164" s="32"/>
      <c r="B2164" s="16"/>
      <c r="C2164" s="16"/>
      <c r="D2164" s="16"/>
      <c r="E2164" s="16"/>
      <c r="F2164" s="16"/>
      <c r="G2164" s="16"/>
      <c r="H2164" s="16"/>
      <c r="I2164" s="16"/>
      <c r="J2164" s="16"/>
      <c r="K2164" s="16"/>
      <c r="L2164" s="16"/>
      <c r="M2164" s="16"/>
      <c r="N2164" s="16"/>
      <c r="O2164" s="84"/>
      <c r="P2164" s="54"/>
      <c r="Q2164" s="54"/>
      <c r="R2164" s="55"/>
      <c r="S2164" s="55"/>
      <c r="T2164" s="32"/>
      <c r="U2164" s="32"/>
      <c r="V2164" s="32"/>
      <c r="W2164" s="32"/>
      <c r="X2164" s="32"/>
      <c r="Y2164" s="32"/>
      <c r="Z2164" s="32"/>
      <c r="AA2164" s="32"/>
      <c r="AB2164" s="32"/>
      <c r="AC2164" s="32"/>
    </row>
    <row r="2165">
      <c r="A2165" s="32"/>
      <c r="B2165" s="16"/>
      <c r="C2165" s="16"/>
      <c r="D2165" s="16"/>
      <c r="E2165" s="16"/>
      <c r="F2165" s="16"/>
      <c r="G2165" s="16"/>
      <c r="H2165" s="16"/>
      <c r="I2165" s="16"/>
      <c r="J2165" s="16"/>
      <c r="K2165" s="16"/>
      <c r="L2165" s="16"/>
      <c r="M2165" s="16"/>
      <c r="N2165" s="16"/>
      <c r="O2165" s="84"/>
      <c r="P2165" s="54"/>
      <c r="Q2165" s="54"/>
      <c r="R2165" s="55"/>
      <c r="S2165" s="55"/>
      <c r="T2165" s="32"/>
      <c r="U2165" s="32"/>
      <c r="V2165" s="32"/>
      <c r="W2165" s="32"/>
      <c r="X2165" s="32"/>
      <c r="Y2165" s="32"/>
      <c r="Z2165" s="32"/>
      <c r="AA2165" s="32"/>
      <c r="AB2165" s="32"/>
      <c r="AC2165" s="32"/>
    </row>
    <row r="2166">
      <c r="A2166" s="32"/>
      <c r="B2166" s="16"/>
      <c r="C2166" s="16"/>
      <c r="D2166" s="16"/>
      <c r="E2166" s="16"/>
      <c r="F2166" s="16"/>
      <c r="G2166" s="16"/>
      <c r="H2166" s="16"/>
      <c r="I2166" s="16"/>
      <c r="J2166" s="16"/>
      <c r="K2166" s="16"/>
      <c r="L2166" s="16"/>
      <c r="M2166" s="16"/>
      <c r="N2166" s="16"/>
      <c r="O2166" s="84"/>
      <c r="P2166" s="54"/>
      <c r="Q2166" s="54"/>
      <c r="R2166" s="55"/>
      <c r="S2166" s="55"/>
      <c r="T2166" s="32"/>
      <c r="U2166" s="32"/>
      <c r="V2166" s="32"/>
      <c r="W2166" s="32"/>
      <c r="X2166" s="32"/>
      <c r="Y2166" s="32"/>
      <c r="Z2166" s="32"/>
      <c r="AA2166" s="32"/>
      <c r="AB2166" s="32"/>
      <c r="AC2166" s="32"/>
    </row>
    <row r="2167">
      <c r="A2167" s="32"/>
      <c r="B2167" s="16"/>
      <c r="C2167" s="16"/>
      <c r="D2167" s="16"/>
      <c r="E2167" s="16"/>
      <c r="F2167" s="16"/>
      <c r="G2167" s="16"/>
      <c r="H2167" s="16"/>
      <c r="I2167" s="16"/>
      <c r="J2167" s="16"/>
      <c r="K2167" s="16"/>
      <c r="L2167" s="16"/>
      <c r="M2167" s="16"/>
      <c r="N2167" s="16"/>
      <c r="O2167" s="84"/>
      <c r="P2167" s="54"/>
      <c r="Q2167" s="54"/>
      <c r="R2167" s="55"/>
      <c r="S2167" s="55"/>
      <c r="T2167" s="32"/>
      <c r="U2167" s="32"/>
      <c r="V2167" s="32"/>
      <c r="W2167" s="32"/>
      <c r="X2167" s="32"/>
      <c r="Y2167" s="32"/>
      <c r="Z2167" s="32"/>
      <c r="AA2167" s="32"/>
      <c r="AB2167" s="32"/>
      <c r="AC2167" s="32"/>
    </row>
    <row r="2168">
      <c r="A2168" s="32"/>
      <c r="B2168" s="16"/>
      <c r="C2168" s="16"/>
      <c r="D2168" s="16"/>
      <c r="E2168" s="16"/>
      <c r="F2168" s="16"/>
      <c r="G2168" s="16"/>
      <c r="H2168" s="16"/>
      <c r="I2168" s="16"/>
      <c r="J2168" s="16"/>
      <c r="K2168" s="16"/>
      <c r="L2168" s="16"/>
      <c r="M2168" s="16"/>
      <c r="N2168" s="16"/>
      <c r="O2168" s="84"/>
      <c r="P2168" s="54"/>
      <c r="Q2168" s="54"/>
      <c r="R2168" s="55"/>
      <c r="S2168" s="55"/>
      <c r="T2168" s="32"/>
      <c r="U2168" s="32"/>
      <c r="V2168" s="32"/>
      <c r="W2168" s="32"/>
      <c r="X2168" s="32"/>
      <c r="Y2168" s="32"/>
      <c r="Z2168" s="32"/>
      <c r="AA2168" s="32"/>
      <c r="AB2168" s="32"/>
      <c r="AC2168" s="32"/>
    </row>
    <row r="2169">
      <c r="A2169" s="32"/>
      <c r="B2169" s="16"/>
      <c r="C2169" s="16"/>
      <c r="D2169" s="16"/>
      <c r="E2169" s="16"/>
      <c r="F2169" s="16"/>
      <c r="G2169" s="16"/>
      <c r="H2169" s="16"/>
      <c r="I2169" s="16"/>
      <c r="J2169" s="16"/>
      <c r="K2169" s="16"/>
      <c r="L2169" s="16"/>
      <c r="M2169" s="16"/>
      <c r="N2169" s="16"/>
      <c r="O2169" s="84"/>
      <c r="P2169" s="54"/>
      <c r="Q2169" s="54"/>
      <c r="R2169" s="55"/>
      <c r="S2169" s="55"/>
      <c r="T2169" s="32"/>
      <c r="U2169" s="32"/>
      <c r="V2169" s="32"/>
      <c r="W2169" s="32"/>
      <c r="X2169" s="32"/>
      <c r="Y2169" s="32"/>
      <c r="Z2169" s="32"/>
      <c r="AA2169" s="32"/>
      <c r="AB2169" s="32"/>
      <c r="AC2169" s="32"/>
    </row>
    <row r="2170">
      <c r="A2170" s="32"/>
      <c r="B2170" s="16"/>
      <c r="C2170" s="16"/>
      <c r="D2170" s="16"/>
      <c r="E2170" s="16"/>
      <c r="F2170" s="16"/>
      <c r="G2170" s="16"/>
      <c r="H2170" s="16"/>
      <c r="I2170" s="16"/>
      <c r="J2170" s="16"/>
      <c r="K2170" s="16"/>
      <c r="L2170" s="16"/>
      <c r="M2170" s="16"/>
      <c r="N2170" s="16"/>
      <c r="O2170" s="84"/>
      <c r="P2170" s="54"/>
      <c r="Q2170" s="54"/>
      <c r="R2170" s="55"/>
      <c r="S2170" s="55"/>
      <c r="T2170" s="32"/>
      <c r="U2170" s="32"/>
      <c r="V2170" s="32"/>
      <c r="W2170" s="32"/>
      <c r="X2170" s="32"/>
      <c r="Y2170" s="32"/>
      <c r="Z2170" s="32"/>
      <c r="AA2170" s="32"/>
      <c r="AB2170" s="32"/>
      <c r="AC2170" s="32"/>
    </row>
    <row r="2171">
      <c r="A2171" s="32"/>
      <c r="B2171" s="16"/>
      <c r="C2171" s="16"/>
      <c r="D2171" s="16"/>
      <c r="E2171" s="16"/>
      <c r="F2171" s="16"/>
      <c r="G2171" s="16"/>
      <c r="H2171" s="16"/>
      <c r="I2171" s="16"/>
      <c r="J2171" s="16"/>
      <c r="K2171" s="16"/>
      <c r="L2171" s="16"/>
      <c r="M2171" s="16"/>
      <c r="N2171" s="16"/>
      <c r="O2171" s="84"/>
      <c r="P2171" s="54"/>
      <c r="Q2171" s="54"/>
      <c r="R2171" s="55"/>
      <c r="S2171" s="55"/>
      <c r="T2171" s="32"/>
      <c r="U2171" s="32"/>
      <c r="V2171" s="32"/>
      <c r="W2171" s="32"/>
      <c r="X2171" s="32"/>
      <c r="Y2171" s="32"/>
      <c r="Z2171" s="32"/>
      <c r="AA2171" s="32"/>
      <c r="AB2171" s="32"/>
      <c r="AC2171" s="32"/>
    </row>
    <row r="2172">
      <c r="A2172" s="32"/>
      <c r="B2172" s="16"/>
      <c r="C2172" s="16"/>
      <c r="D2172" s="16"/>
      <c r="E2172" s="16"/>
      <c r="F2172" s="16"/>
      <c r="G2172" s="16"/>
      <c r="H2172" s="16"/>
      <c r="I2172" s="16"/>
      <c r="J2172" s="16"/>
      <c r="K2172" s="16"/>
      <c r="L2172" s="16"/>
      <c r="M2172" s="16"/>
      <c r="N2172" s="16"/>
      <c r="O2172" s="84"/>
      <c r="P2172" s="54"/>
      <c r="Q2172" s="54"/>
      <c r="R2172" s="55"/>
      <c r="S2172" s="55"/>
      <c r="T2172" s="32"/>
      <c r="U2172" s="32"/>
      <c r="V2172" s="32"/>
      <c r="W2172" s="32"/>
      <c r="X2172" s="32"/>
      <c r="Y2172" s="32"/>
      <c r="Z2172" s="32"/>
      <c r="AA2172" s="32"/>
      <c r="AB2172" s="32"/>
      <c r="AC2172" s="32"/>
    </row>
    <row r="2173">
      <c r="A2173" s="32"/>
      <c r="B2173" s="16"/>
      <c r="C2173" s="16"/>
      <c r="D2173" s="16"/>
      <c r="E2173" s="16"/>
      <c r="F2173" s="16"/>
      <c r="G2173" s="16"/>
      <c r="H2173" s="16"/>
      <c r="I2173" s="16"/>
      <c r="J2173" s="16"/>
      <c r="K2173" s="16"/>
      <c r="L2173" s="16"/>
      <c r="M2173" s="16"/>
      <c r="N2173" s="16"/>
      <c r="O2173" s="84"/>
      <c r="P2173" s="54"/>
      <c r="Q2173" s="54"/>
      <c r="R2173" s="55"/>
      <c r="S2173" s="55"/>
      <c r="T2173" s="32"/>
      <c r="U2173" s="32"/>
      <c r="V2173" s="32"/>
      <c r="W2173" s="32"/>
      <c r="X2173" s="32"/>
      <c r="Y2173" s="32"/>
      <c r="Z2173" s="32"/>
      <c r="AA2173" s="32"/>
      <c r="AB2173" s="32"/>
      <c r="AC2173" s="32"/>
    </row>
    <row r="2174">
      <c r="A2174" s="32"/>
      <c r="B2174" s="16"/>
      <c r="C2174" s="16"/>
      <c r="D2174" s="16"/>
      <c r="E2174" s="16"/>
      <c r="F2174" s="16"/>
      <c r="G2174" s="16"/>
      <c r="H2174" s="16"/>
      <c r="I2174" s="16"/>
      <c r="J2174" s="16"/>
      <c r="K2174" s="16"/>
      <c r="L2174" s="16"/>
      <c r="M2174" s="16"/>
      <c r="N2174" s="16"/>
      <c r="O2174" s="84"/>
      <c r="P2174" s="54"/>
      <c r="Q2174" s="54"/>
      <c r="R2174" s="55"/>
      <c r="S2174" s="55"/>
      <c r="T2174" s="32"/>
      <c r="U2174" s="32"/>
      <c r="V2174" s="32"/>
      <c r="W2174" s="32"/>
      <c r="X2174" s="32"/>
      <c r="Y2174" s="32"/>
      <c r="Z2174" s="32"/>
      <c r="AA2174" s="32"/>
      <c r="AB2174" s="32"/>
      <c r="AC2174" s="32"/>
    </row>
    <row r="2175">
      <c r="A2175" s="32"/>
      <c r="B2175" s="16"/>
      <c r="C2175" s="16"/>
      <c r="D2175" s="16"/>
      <c r="E2175" s="16"/>
      <c r="F2175" s="16"/>
      <c r="G2175" s="16"/>
      <c r="H2175" s="16"/>
      <c r="I2175" s="16"/>
      <c r="J2175" s="16"/>
      <c r="K2175" s="16"/>
      <c r="L2175" s="16"/>
      <c r="M2175" s="16"/>
      <c r="N2175" s="16"/>
      <c r="O2175" s="84"/>
      <c r="P2175" s="54"/>
      <c r="Q2175" s="54"/>
      <c r="R2175" s="55"/>
      <c r="S2175" s="55"/>
      <c r="T2175" s="32"/>
      <c r="U2175" s="32"/>
      <c r="V2175" s="32"/>
      <c r="W2175" s="32"/>
      <c r="X2175" s="32"/>
      <c r="Y2175" s="32"/>
      <c r="Z2175" s="32"/>
      <c r="AA2175" s="32"/>
      <c r="AB2175" s="32"/>
      <c r="AC2175" s="32"/>
    </row>
    <row r="2176">
      <c r="A2176" s="32"/>
      <c r="B2176" s="16"/>
      <c r="C2176" s="16"/>
      <c r="D2176" s="16"/>
      <c r="E2176" s="16"/>
      <c r="F2176" s="16"/>
      <c r="G2176" s="16"/>
      <c r="H2176" s="16"/>
      <c r="I2176" s="16"/>
      <c r="J2176" s="16"/>
      <c r="K2176" s="16"/>
      <c r="L2176" s="16"/>
      <c r="M2176" s="16"/>
      <c r="N2176" s="16"/>
      <c r="O2176" s="84"/>
      <c r="P2176" s="54"/>
      <c r="Q2176" s="54"/>
      <c r="R2176" s="55"/>
      <c r="S2176" s="55"/>
      <c r="T2176" s="32"/>
      <c r="U2176" s="32"/>
      <c r="V2176" s="32"/>
      <c r="W2176" s="32"/>
      <c r="X2176" s="32"/>
      <c r="Y2176" s="32"/>
      <c r="Z2176" s="32"/>
      <c r="AA2176" s="32"/>
      <c r="AB2176" s="32"/>
      <c r="AC2176" s="32"/>
    </row>
    <row r="2177">
      <c r="A2177" s="32"/>
      <c r="B2177" s="16"/>
      <c r="C2177" s="16"/>
      <c r="D2177" s="16"/>
      <c r="E2177" s="16"/>
      <c r="F2177" s="16"/>
      <c r="G2177" s="16"/>
      <c r="H2177" s="16"/>
      <c r="I2177" s="16"/>
      <c r="J2177" s="16"/>
      <c r="K2177" s="16"/>
      <c r="L2177" s="16"/>
      <c r="M2177" s="16"/>
      <c r="N2177" s="16"/>
      <c r="O2177" s="84"/>
      <c r="P2177" s="54"/>
      <c r="Q2177" s="54"/>
      <c r="R2177" s="55"/>
      <c r="S2177" s="55"/>
      <c r="T2177" s="32"/>
      <c r="U2177" s="32"/>
      <c r="V2177" s="32"/>
      <c r="W2177" s="32"/>
      <c r="X2177" s="32"/>
      <c r="Y2177" s="32"/>
      <c r="Z2177" s="32"/>
      <c r="AA2177" s="32"/>
      <c r="AB2177" s="32"/>
      <c r="AC2177" s="32"/>
    </row>
    <row r="2178">
      <c r="A2178" s="32"/>
      <c r="B2178" s="16"/>
      <c r="C2178" s="16"/>
      <c r="D2178" s="16"/>
      <c r="E2178" s="16"/>
      <c r="F2178" s="16"/>
      <c r="G2178" s="16"/>
      <c r="H2178" s="16"/>
      <c r="I2178" s="16"/>
      <c r="J2178" s="16"/>
      <c r="K2178" s="16"/>
      <c r="L2178" s="16"/>
      <c r="M2178" s="16"/>
      <c r="N2178" s="16"/>
      <c r="O2178" s="84"/>
      <c r="P2178" s="54"/>
      <c r="Q2178" s="54"/>
      <c r="R2178" s="55"/>
      <c r="S2178" s="55"/>
      <c r="T2178" s="32"/>
      <c r="U2178" s="32"/>
      <c r="V2178" s="32"/>
      <c r="W2178" s="32"/>
      <c r="X2178" s="32"/>
      <c r="Y2178" s="32"/>
      <c r="Z2178" s="32"/>
      <c r="AA2178" s="32"/>
      <c r="AB2178" s="32"/>
      <c r="AC2178" s="32"/>
    </row>
    <row r="2179">
      <c r="A2179" s="32"/>
      <c r="B2179" s="16"/>
      <c r="C2179" s="16"/>
      <c r="D2179" s="16"/>
      <c r="E2179" s="16"/>
      <c r="F2179" s="16"/>
      <c r="G2179" s="16"/>
      <c r="H2179" s="16"/>
      <c r="I2179" s="16"/>
      <c r="J2179" s="16"/>
      <c r="K2179" s="16"/>
      <c r="L2179" s="16"/>
      <c r="M2179" s="16"/>
      <c r="N2179" s="16"/>
      <c r="O2179" s="84"/>
      <c r="P2179" s="54"/>
      <c r="Q2179" s="54"/>
      <c r="R2179" s="55"/>
      <c r="S2179" s="55"/>
      <c r="T2179" s="32"/>
      <c r="U2179" s="32"/>
      <c r="V2179" s="32"/>
      <c r="W2179" s="32"/>
      <c r="X2179" s="32"/>
      <c r="Y2179" s="32"/>
      <c r="Z2179" s="32"/>
      <c r="AA2179" s="32"/>
      <c r="AB2179" s="32"/>
      <c r="AC2179" s="32"/>
    </row>
    <row r="2180">
      <c r="A2180" s="32"/>
      <c r="B2180" s="16"/>
      <c r="C2180" s="16"/>
      <c r="D2180" s="16"/>
      <c r="E2180" s="16"/>
      <c r="F2180" s="16"/>
      <c r="G2180" s="16"/>
      <c r="H2180" s="16"/>
      <c r="I2180" s="16"/>
      <c r="J2180" s="16"/>
      <c r="K2180" s="16"/>
      <c r="L2180" s="16"/>
      <c r="M2180" s="16"/>
      <c r="N2180" s="16"/>
      <c r="O2180" s="84"/>
      <c r="P2180" s="54"/>
      <c r="Q2180" s="54"/>
      <c r="R2180" s="55"/>
      <c r="S2180" s="55"/>
      <c r="T2180" s="32"/>
      <c r="U2180" s="32"/>
      <c r="V2180" s="32"/>
      <c r="W2180" s="32"/>
      <c r="X2180" s="32"/>
      <c r="Y2180" s="32"/>
      <c r="Z2180" s="32"/>
      <c r="AA2180" s="32"/>
      <c r="AB2180" s="32"/>
      <c r="AC2180" s="32"/>
    </row>
  </sheetData>
  <autoFilter ref="$A$1:$AC$2180">
    <sortState ref="A1:AC2180">
      <sortCondition ref="C1:C2180"/>
    </sortState>
  </autoFilter>
  <dataValidations>
    <dataValidation type="list" allowBlank="1" showErrorMessage="1" sqref="K2:K135">
      <formula1>"Wurth,JST,Local,Jst,LOCAL,local,Pulse Magnetic"</formula1>
    </dataValidation>
    <dataValidation type="list" allowBlank="1" showErrorMessage="1" sqref="L2:L135">
      <formula1>"Wurth,JST,Local,Pulse Magnetic"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7.25"/>
    <col customWidth="1" min="2" max="2" width="12.25"/>
    <col customWidth="1" min="3" max="3" width="16.88"/>
    <col customWidth="1" min="4" max="4" width="29.75"/>
    <col customWidth="1" min="5" max="5" width="25.13"/>
    <col customWidth="1" min="6" max="6" width="11.13"/>
    <col customWidth="1" min="7" max="7" width="31.5"/>
    <col customWidth="1" min="8" max="8" width="21.63"/>
    <col customWidth="1" min="9" max="12" width="11.0"/>
    <col customWidth="1" min="13" max="13" width="27.88"/>
    <col customWidth="1" min="14" max="14" width="24.5"/>
    <col customWidth="1" min="15" max="15" width="27.88"/>
    <col customWidth="1" min="16" max="16" width="15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6</v>
      </c>
      <c r="G1" s="2" t="s">
        <v>7</v>
      </c>
      <c r="H1" s="1" t="s">
        <v>558</v>
      </c>
      <c r="I1" s="1" t="s">
        <v>559</v>
      </c>
      <c r="J1" s="1" t="s">
        <v>517</v>
      </c>
      <c r="K1" s="1" t="s">
        <v>518</v>
      </c>
      <c r="L1" s="2" t="s">
        <v>8</v>
      </c>
      <c r="M1" s="2" t="s">
        <v>9</v>
      </c>
      <c r="N1" s="2" t="s">
        <v>10</v>
      </c>
      <c r="O1" s="2" t="s">
        <v>517</v>
      </c>
      <c r="P1" s="2" t="s">
        <v>518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86"/>
      <c r="B2" s="87"/>
      <c r="C2" s="88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9">
        <f>SUM(P3:P164)</f>
        <v>0</v>
      </c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1"/>
    </row>
    <row r="3">
      <c r="A3" s="6"/>
      <c r="B3" s="7"/>
      <c r="C3" s="7" t="s">
        <v>11</v>
      </c>
      <c r="D3" s="5" t="s">
        <v>560</v>
      </c>
      <c r="E3" s="7" t="s">
        <v>561</v>
      </c>
      <c r="F3" s="7" t="s">
        <v>14</v>
      </c>
      <c r="G3" s="7" t="s">
        <v>15</v>
      </c>
      <c r="H3" s="7"/>
      <c r="I3" s="7"/>
      <c r="J3" s="7"/>
      <c r="K3" s="7"/>
      <c r="L3" s="7">
        <v>3.0</v>
      </c>
      <c r="M3" s="7"/>
      <c r="N3" s="7"/>
      <c r="O3" s="7"/>
      <c r="P3" s="7">
        <f t="shared" ref="P3:P84" si="1">O3*L3</f>
        <v>0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6"/>
      <c r="B4" s="7"/>
      <c r="C4" s="7" t="s">
        <v>11</v>
      </c>
      <c r="D4" s="7" t="s">
        <v>562</v>
      </c>
      <c r="E4" s="7"/>
      <c r="F4" s="7" t="s">
        <v>22</v>
      </c>
      <c r="G4" s="7" t="s">
        <v>22</v>
      </c>
      <c r="H4" s="7"/>
      <c r="I4" s="7"/>
      <c r="J4" s="7"/>
      <c r="K4" s="7"/>
      <c r="L4" s="7">
        <v>6.0</v>
      </c>
      <c r="M4" s="7"/>
      <c r="N4" s="7"/>
      <c r="O4" s="7"/>
      <c r="P4" s="7">
        <f t="shared" si="1"/>
        <v>0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6"/>
      <c r="B5" s="7"/>
      <c r="C5" s="7" t="s">
        <v>11</v>
      </c>
      <c r="D5" s="7" t="s">
        <v>563</v>
      </c>
      <c r="E5" s="7"/>
      <c r="F5" s="7" t="s">
        <v>14</v>
      </c>
      <c r="G5" s="7" t="s">
        <v>15</v>
      </c>
      <c r="H5" s="7"/>
      <c r="I5" s="7"/>
      <c r="J5" s="7"/>
      <c r="K5" s="7"/>
      <c r="L5" s="7">
        <v>2.0</v>
      </c>
      <c r="M5" s="7"/>
      <c r="N5" s="7"/>
      <c r="O5" s="7"/>
      <c r="P5" s="7">
        <f t="shared" si="1"/>
        <v>0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6"/>
      <c r="B6" s="7"/>
      <c r="C6" s="7" t="s">
        <v>11</v>
      </c>
      <c r="D6" s="7" t="s">
        <v>564</v>
      </c>
      <c r="E6" s="7"/>
      <c r="F6" s="7" t="s">
        <v>14</v>
      </c>
      <c r="G6" s="7" t="s">
        <v>15</v>
      </c>
      <c r="H6" s="7"/>
      <c r="I6" s="7"/>
      <c r="J6" s="7"/>
      <c r="K6" s="7"/>
      <c r="L6" s="7">
        <v>108.0</v>
      </c>
      <c r="M6" s="7"/>
      <c r="N6" s="7"/>
      <c r="O6" s="7"/>
      <c r="P6" s="7">
        <f t="shared" si="1"/>
        <v>0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6"/>
      <c r="B7" s="7"/>
      <c r="C7" s="7" t="s">
        <v>11</v>
      </c>
      <c r="D7" s="7" t="s">
        <v>297</v>
      </c>
      <c r="E7" s="7"/>
      <c r="F7" s="7" t="s">
        <v>14</v>
      </c>
      <c r="G7" s="7" t="s">
        <v>15</v>
      </c>
      <c r="H7" s="7"/>
      <c r="I7" s="7"/>
      <c r="J7" s="7"/>
      <c r="K7" s="7"/>
      <c r="L7" s="7">
        <v>2.0</v>
      </c>
      <c r="M7" s="7"/>
      <c r="N7" s="7"/>
      <c r="O7" s="7"/>
      <c r="P7" s="7">
        <f t="shared" si="1"/>
        <v>0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6"/>
      <c r="B8" s="7"/>
      <c r="C8" s="7" t="s">
        <v>11</v>
      </c>
      <c r="D8" s="7" t="s">
        <v>565</v>
      </c>
      <c r="E8" s="7"/>
      <c r="F8" s="7" t="s">
        <v>22</v>
      </c>
      <c r="G8" s="7" t="s">
        <v>164</v>
      </c>
      <c r="H8" s="7"/>
      <c r="I8" s="7"/>
      <c r="J8" s="7"/>
      <c r="K8" s="7"/>
      <c r="L8" s="7">
        <v>8.0</v>
      </c>
      <c r="M8" s="7"/>
      <c r="N8" s="7"/>
      <c r="O8" s="7"/>
      <c r="P8" s="7">
        <f t="shared" si="1"/>
        <v>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6"/>
      <c r="B9" s="7"/>
      <c r="C9" s="7" t="s">
        <v>11</v>
      </c>
      <c r="D9" s="7" t="s">
        <v>566</v>
      </c>
      <c r="E9" s="7" t="s">
        <v>566</v>
      </c>
      <c r="F9" s="7" t="s">
        <v>22</v>
      </c>
      <c r="G9" s="7" t="s">
        <v>567</v>
      </c>
      <c r="H9" s="7"/>
      <c r="I9" s="7"/>
      <c r="J9" s="7"/>
      <c r="K9" s="7"/>
      <c r="L9" s="7">
        <v>6.0</v>
      </c>
      <c r="M9" s="7"/>
      <c r="N9" s="7"/>
      <c r="O9" s="7"/>
      <c r="P9" s="7">
        <f t="shared" si="1"/>
        <v>0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6"/>
      <c r="B10" s="7"/>
      <c r="C10" s="7" t="s">
        <v>11</v>
      </c>
      <c r="D10" s="7" t="s">
        <v>301</v>
      </c>
      <c r="E10" s="7"/>
      <c r="F10" s="7" t="s">
        <v>14</v>
      </c>
      <c r="G10" s="7" t="s">
        <v>15</v>
      </c>
      <c r="H10" s="7"/>
      <c r="I10" s="7"/>
      <c r="J10" s="7"/>
      <c r="K10" s="7"/>
      <c r="L10" s="7">
        <v>2.0</v>
      </c>
      <c r="M10" s="7"/>
      <c r="N10" s="7"/>
      <c r="O10" s="7"/>
      <c r="P10" s="7">
        <f t="shared" si="1"/>
        <v>0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6"/>
      <c r="B11" s="7"/>
      <c r="C11" s="7" t="s">
        <v>11</v>
      </c>
      <c r="D11" s="7" t="s">
        <v>447</v>
      </c>
      <c r="E11" s="7" t="s">
        <v>561</v>
      </c>
      <c r="F11" s="7" t="s">
        <v>14</v>
      </c>
      <c r="G11" s="7" t="s">
        <v>15</v>
      </c>
      <c r="H11" s="7"/>
      <c r="I11" s="7"/>
      <c r="J11" s="7"/>
      <c r="K11" s="7"/>
      <c r="L11" s="7">
        <v>2.0</v>
      </c>
      <c r="M11" s="7"/>
      <c r="N11" s="7"/>
      <c r="O11" s="7"/>
      <c r="P11" s="7">
        <f t="shared" si="1"/>
        <v>0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6"/>
      <c r="B12" s="7"/>
      <c r="C12" s="7" t="s">
        <v>11</v>
      </c>
      <c r="D12" s="7" t="s">
        <v>18</v>
      </c>
      <c r="E12" s="7"/>
      <c r="F12" s="7" t="s">
        <v>14</v>
      </c>
      <c r="G12" s="7" t="s">
        <v>15</v>
      </c>
      <c r="H12" s="7"/>
      <c r="I12" s="7"/>
      <c r="J12" s="7"/>
      <c r="K12" s="7"/>
      <c r="L12" s="7">
        <v>12.0</v>
      </c>
      <c r="M12" s="7"/>
      <c r="N12" s="7"/>
      <c r="O12" s="7"/>
      <c r="P12" s="7">
        <f t="shared" si="1"/>
        <v>0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6"/>
      <c r="B13" s="7"/>
      <c r="C13" s="7" t="s">
        <v>11</v>
      </c>
      <c r="D13" s="7" t="s">
        <v>449</v>
      </c>
      <c r="E13" s="7" t="s">
        <v>561</v>
      </c>
      <c r="F13" s="7" t="s">
        <v>14</v>
      </c>
      <c r="G13" s="7" t="s">
        <v>308</v>
      </c>
      <c r="H13" s="7"/>
      <c r="I13" s="7"/>
      <c r="J13" s="7"/>
      <c r="K13" s="7"/>
      <c r="L13" s="7">
        <v>8.0</v>
      </c>
      <c r="M13" s="7"/>
      <c r="N13" s="7"/>
      <c r="O13" s="7"/>
      <c r="P13" s="7">
        <f t="shared" si="1"/>
        <v>0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6"/>
      <c r="B14" s="7"/>
      <c r="C14" s="7" t="s">
        <v>11</v>
      </c>
      <c r="D14" s="7" t="s">
        <v>568</v>
      </c>
      <c r="E14" s="7"/>
      <c r="F14" s="7" t="s">
        <v>14</v>
      </c>
      <c r="G14" s="7" t="s">
        <v>15</v>
      </c>
      <c r="H14" s="7"/>
      <c r="I14" s="7"/>
      <c r="J14" s="7"/>
      <c r="K14" s="7"/>
      <c r="L14" s="7">
        <v>20.0</v>
      </c>
      <c r="M14" s="7"/>
      <c r="N14" s="7"/>
      <c r="O14" s="7"/>
      <c r="P14" s="7">
        <f t="shared" si="1"/>
        <v>0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6"/>
      <c r="B15" s="7"/>
      <c r="C15" s="7" t="s">
        <v>11</v>
      </c>
      <c r="D15" s="7" t="s">
        <v>568</v>
      </c>
      <c r="E15" s="7"/>
      <c r="F15" s="7" t="s">
        <v>14</v>
      </c>
      <c r="G15" s="7" t="s">
        <v>569</v>
      </c>
      <c r="H15" s="7"/>
      <c r="I15" s="7"/>
      <c r="J15" s="7"/>
      <c r="K15" s="7"/>
      <c r="L15" s="7">
        <v>4.0</v>
      </c>
      <c r="M15" s="7"/>
      <c r="N15" s="7"/>
      <c r="O15" s="7"/>
      <c r="P15" s="7">
        <f t="shared" si="1"/>
        <v>0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6"/>
      <c r="B16" s="7"/>
      <c r="C16" s="7" t="s">
        <v>11</v>
      </c>
      <c r="D16" s="7" t="s">
        <v>20</v>
      </c>
      <c r="E16" s="7" t="s">
        <v>561</v>
      </c>
      <c r="F16" s="7" t="s">
        <v>14</v>
      </c>
      <c r="G16" s="7" t="s">
        <v>15</v>
      </c>
      <c r="H16" s="7"/>
      <c r="I16" s="7"/>
      <c r="J16" s="7"/>
      <c r="K16" s="7"/>
      <c r="L16" s="7">
        <v>4.0</v>
      </c>
      <c r="M16" s="7"/>
      <c r="N16" s="7"/>
      <c r="O16" s="7"/>
      <c r="P16" s="7">
        <f t="shared" si="1"/>
        <v>0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6"/>
      <c r="B17" s="7"/>
      <c r="C17" s="7" t="s">
        <v>11</v>
      </c>
      <c r="D17" s="7" t="s">
        <v>20</v>
      </c>
      <c r="E17" s="7"/>
      <c r="F17" s="7" t="s">
        <v>22</v>
      </c>
      <c r="G17" s="7" t="s">
        <v>22</v>
      </c>
      <c r="H17" s="7"/>
      <c r="I17" s="7"/>
      <c r="J17" s="7"/>
      <c r="K17" s="7"/>
      <c r="L17" s="7">
        <v>1.0</v>
      </c>
      <c r="M17" s="7"/>
      <c r="N17" s="7"/>
      <c r="O17" s="7"/>
      <c r="P17" s="7">
        <f t="shared" si="1"/>
        <v>0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6"/>
      <c r="B18" s="7"/>
      <c r="C18" s="7" t="s">
        <v>11</v>
      </c>
      <c r="D18" s="7" t="s">
        <v>20</v>
      </c>
      <c r="E18" s="7"/>
      <c r="F18" s="7" t="s">
        <v>14</v>
      </c>
      <c r="G18" s="7" t="s">
        <v>15</v>
      </c>
      <c r="H18" s="7"/>
      <c r="I18" s="7"/>
      <c r="J18" s="7"/>
      <c r="K18" s="7"/>
      <c r="L18" s="7">
        <v>20.0</v>
      </c>
      <c r="M18" s="7"/>
      <c r="N18" s="7"/>
      <c r="O18" s="7"/>
      <c r="P18" s="7">
        <f t="shared" si="1"/>
        <v>0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6"/>
      <c r="B19" s="7"/>
      <c r="C19" s="7" t="s">
        <v>11</v>
      </c>
      <c r="D19" s="7" t="s">
        <v>452</v>
      </c>
      <c r="E19" s="7" t="s">
        <v>561</v>
      </c>
      <c r="F19" s="7" t="s">
        <v>14</v>
      </c>
      <c r="G19" s="7" t="s">
        <v>453</v>
      </c>
      <c r="H19" s="7"/>
      <c r="I19" s="7"/>
      <c r="J19" s="7"/>
      <c r="K19" s="7"/>
      <c r="L19" s="7">
        <v>2.0</v>
      </c>
      <c r="M19" s="7"/>
      <c r="N19" s="7"/>
      <c r="O19" s="7"/>
      <c r="P19" s="7">
        <f t="shared" si="1"/>
        <v>0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6"/>
      <c r="B20" s="7"/>
      <c r="C20" s="7" t="s">
        <v>11</v>
      </c>
      <c r="D20" s="7" t="s">
        <v>570</v>
      </c>
      <c r="E20" s="7" t="s">
        <v>306</v>
      </c>
      <c r="F20" s="7" t="s">
        <v>14</v>
      </c>
      <c r="G20" s="7" t="s">
        <v>308</v>
      </c>
      <c r="H20" s="7"/>
      <c r="I20" s="7"/>
      <c r="J20" s="7"/>
      <c r="K20" s="7"/>
      <c r="L20" s="7">
        <v>2.0</v>
      </c>
      <c r="M20" s="7"/>
      <c r="N20" s="7"/>
      <c r="O20" s="7"/>
      <c r="P20" s="7">
        <f t="shared" si="1"/>
        <v>0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6"/>
      <c r="B21" s="7"/>
      <c r="C21" s="7" t="s">
        <v>11</v>
      </c>
      <c r="D21" s="7" t="s">
        <v>24</v>
      </c>
      <c r="E21" s="7"/>
      <c r="F21" s="7" t="s">
        <v>14</v>
      </c>
      <c r="G21" s="7" t="s">
        <v>26</v>
      </c>
      <c r="H21" s="7"/>
      <c r="I21" s="7"/>
      <c r="J21" s="7"/>
      <c r="K21" s="7"/>
      <c r="L21" s="7">
        <v>2.0</v>
      </c>
      <c r="M21" s="7"/>
      <c r="N21" s="7"/>
      <c r="O21" s="7"/>
      <c r="P21" s="7">
        <f t="shared" si="1"/>
        <v>0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6"/>
      <c r="B22" s="7"/>
      <c r="C22" s="7" t="s">
        <v>11</v>
      </c>
      <c r="D22" s="7" t="s">
        <v>454</v>
      </c>
      <c r="E22" s="7" t="s">
        <v>571</v>
      </c>
      <c r="F22" s="7" t="s">
        <v>14</v>
      </c>
      <c r="G22" s="7" t="s">
        <v>456</v>
      </c>
      <c r="H22" s="7"/>
      <c r="I22" s="7"/>
      <c r="J22" s="7"/>
      <c r="K22" s="7"/>
      <c r="L22" s="7">
        <v>4.0</v>
      </c>
      <c r="M22" s="7"/>
      <c r="N22" s="7"/>
      <c r="O22" s="7"/>
      <c r="P22" s="7">
        <f t="shared" si="1"/>
        <v>0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6"/>
      <c r="B23" s="7"/>
      <c r="C23" s="7" t="s">
        <v>11</v>
      </c>
      <c r="D23" s="7" t="s">
        <v>27</v>
      </c>
      <c r="E23" s="7"/>
      <c r="F23" s="7" t="s">
        <v>14</v>
      </c>
      <c r="G23" s="7" t="s">
        <v>15</v>
      </c>
      <c r="H23" s="7"/>
      <c r="I23" s="7"/>
      <c r="J23" s="7"/>
      <c r="K23" s="7"/>
      <c r="L23" s="7">
        <v>4.0</v>
      </c>
      <c r="M23" s="7"/>
      <c r="N23" s="7"/>
      <c r="O23" s="7"/>
      <c r="P23" s="7">
        <f t="shared" si="1"/>
        <v>0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6"/>
      <c r="B24" s="7"/>
      <c r="C24" s="7" t="s">
        <v>11</v>
      </c>
      <c r="D24" s="7" t="s">
        <v>457</v>
      </c>
      <c r="E24" s="7" t="s">
        <v>561</v>
      </c>
      <c r="F24" s="7" t="s">
        <v>14</v>
      </c>
      <c r="G24" s="7" t="s">
        <v>15</v>
      </c>
      <c r="H24" s="7"/>
      <c r="I24" s="7"/>
      <c r="J24" s="7"/>
      <c r="K24" s="7"/>
      <c r="L24" s="7">
        <v>4.0</v>
      </c>
      <c r="M24" s="7"/>
      <c r="N24" s="7"/>
      <c r="O24" s="7"/>
      <c r="P24" s="7">
        <f t="shared" si="1"/>
        <v>0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6"/>
      <c r="B25" s="7"/>
      <c r="C25" s="7" t="s">
        <v>11</v>
      </c>
      <c r="D25" s="7" t="s">
        <v>167</v>
      </c>
      <c r="E25" s="7"/>
      <c r="F25" s="7" t="s">
        <v>14</v>
      </c>
      <c r="G25" s="7" t="s">
        <v>15</v>
      </c>
      <c r="H25" s="7"/>
      <c r="I25" s="7"/>
      <c r="J25" s="7"/>
      <c r="K25" s="7"/>
      <c r="L25" s="7">
        <v>6.0</v>
      </c>
      <c r="M25" s="7"/>
      <c r="N25" s="7"/>
      <c r="O25" s="7"/>
      <c r="P25" s="7">
        <f t="shared" si="1"/>
        <v>0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6"/>
      <c r="B26" s="7"/>
      <c r="C26" s="7" t="s">
        <v>11</v>
      </c>
      <c r="D26" s="7" t="s">
        <v>29</v>
      </c>
      <c r="E26" s="7"/>
      <c r="F26" s="7" t="s">
        <v>22</v>
      </c>
      <c r="G26" s="7" t="s">
        <v>31</v>
      </c>
      <c r="H26" s="7"/>
      <c r="I26" s="7"/>
      <c r="J26" s="7"/>
      <c r="K26" s="7"/>
      <c r="L26" s="5">
        <v>6.0</v>
      </c>
      <c r="M26" s="7"/>
      <c r="N26" s="7"/>
      <c r="O26" s="7"/>
      <c r="P26" s="7">
        <f t="shared" si="1"/>
        <v>0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6"/>
      <c r="B27" s="7"/>
      <c r="C27" s="7" t="s">
        <v>11</v>
      </c>
      <c r="D27" s="7" t="s">
        <v>359</v>
      </c>
      <c r="E27" s="7"/>
      <c r="F27" s="7" t="s">
        <v>22</v>
      </c>
      <c r="G27" s="7" t="s">
        <v>361</v>
      </c>
      <c r="H27" s="7"/>
      <c r="I27" s="7"/>
      <c r="J27" s="7"/>
      <c r="K27" s="7"/>
      <c r="L27" s="5">
        <v>2.0</v>
      </c>
      <c r="M27" s="7"/>
      <c r="N27" s="7"/>
      <c r="O27" s="7"/>
      <c r="P27" s="7">
        <f t="shared" si="1"/>
        <v>0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6"/>
      <c r="B28" s="7"/>
      <c r="C28" s="7" t="s">
        <v>11</v>
      </c>
      <c r="D28" s="7" t="s">
        <v>572</v>
      </c>
      <c r="E28" s="7"/>
      <c r="F28" s="7" t="s">
        <v>14</v>
      </c>
      <c r="G28" s="7" t="s">
        <v>15</v>
      </c>
      <c r="H28" s="7"/>
      <c r="I28" s="7"/>
      <c r="J28" s="7"/>
      <c r="K28" s="7"/>
      <c r="L28" s="7">
        <v>4.0</v>
      </c>
      <c r="M28" s="7"/>
      <c r="N28" s="7"/>
      <c r="O28" s="7"/>
      <c r="P28" s="7">
        <f t="shared" si="1"/>
        <v>0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6"/>
      <c r="B29" s="7"/>
      <c r="C29" s="7" t="s">
        <v>459</v>
      </c>
      <c r="D29" s="7" t="s">
        <v>573</v>
      </c>
      <c r="E29" s="7">
        <v>7.44237102E8</v>
      </c>
      <c r="F29" s="7" t="s">
        <v>14</v>
      </c>
      <c r="G29" s="7">
        <v>7.44237102E8</v>
      </c>
      <c r="H29" s="7"/>
      <c r="I29" s="7"/>
      <c r="J29" s="7"/>
      <c r="K29" s="7"/>
      <c r="L29" s="5">
        <v>2.0</v>
      </c>
      <c r="M29" s="5" t="s">
        <v>464</v>
      </c>
      <c r="N29" s="7"/>
      <c r="O29" s="7"/>
      <c r="P29" s="7">
        <f t="shared" si="1"/>
        <v>0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6"/>
      <c r="B30" s="7"/>
      <c r="C30" s="7" t="s">
        <v>169</v>
      </c>
      <c r="D30" s="7" t="s">
        <v>170</v>
      </c>
      <c r="E30" s="7" t="s">
        <v>171</v>
      </c>
      <c r="F30" s="7" t="s">
        <v>22</v>
      </c>
      <c r="G30" s="7" t="s">
        <v>173</v>
      </c>
      <c r="H30" s="7"/>
      <c r="I30" s="7"/>
      <c r="J30" s="7"/>
      <c r="K30" s="7"/>
      <c r="L30" s="7">
        <v>2.0</v>
      </c>
      <c r="M30" s="7"/>
      <c r="N30" s="7"/>
      <c r="O30" s="7"/>
      <c r="P30" s="7">
        <f t="shared" si="1"/>
        <v>0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6"/>
      <c r="B31" s="7"/>
      <c r="C31" s="7" t="s">
        <v>53</v>
      </c>
      <c r="D31" s="7">
        <v>1729128.0</v>
      </c>
      <c r="E31" s="7">
        <v>1729128.0</v>
      </c>
      <c r="F31" s="7" t="s">
        <v>22</v>
      </c>
      <c r="G31" s="7" t="s">
        <v>463</v>
      </c>
      <c r="H31" s="7"/>
      <c r="I31" s="7"/>
      <c r="J31" s="7"/>
      <c r="K31" s="7"/>
      <c r="L31" s="7">
        <v>3.0</v>
      </c>
      <c r="M31" s="7"/>
      <c r="N31" s="7"/>
      <c r="O31" s="7"/>
      <c r="P31" s="7">
        <f t="shared" si="1"/>
        <v>0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6"/>
      <c r="B32" s="7"/>
      <c r="C32" s="7" t="s">
        <v>53</v>
      </c>
      <c r="D32" s="7">
        <v>6.2000211622E10</v>
      </c>
      <c r="E32" s="7">
        <v>6.2000211622E10</v>
      </c>
      <c r="F32" s="7" t="s">
        <v>22</v>
      </c>
      <c r="G32" s="7" t="s">
        <v>574</v>
      </c>
      <c r="H32" s="7"/>
      <c r="I32" s="7"/>
      <c r="J32" s="7"/>
      <c r="K32" s="7"/>
      <c r="L32" s="5">
        <v>14.0</v>
      </c>
      <c r="M32" s="7"/>
      <c r="N32" s="7"/>
      <c r="O32" s="7"/>
      <c r="P32" s="7">
        <f t="shared" si="1"/>
        <v>0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6"/>
      <c r="B33" s="7"/>
      <c r="C33" s="7" t="s">
        <v>53</v>
      </c>
      <c r="D33" s="7" t="s">
        <v>175</v>
      </c>
      <c r="E33" s="7" t="s">
        <v>176</v>
      </c>
      <c r="F33" s="7" t="s">
        <v>22</v>
      </c>
      <c r="G33" s="7"/>
      <c r="H33" s="7"/>
      <c r="I33" s="7"/>
      <c r="J33" s="7"/>
      <c r="K33" s="7"/>
      <c r="L33" s="7">
        <v>4.0</v>
      </c>
      <c r="M33" s="7"/>
      <c r="N33" s="7"/>
      <c r="O33" s="7"/>
      <c r="P33" s="7">
        <f t="shared" si="1"/>
        <v>0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6"/>
      <c r="B34" s="7"/>
      <c r="C34" s="7" t="s">
        <v>53</v>
      </c>
      <c r="D34" s="7" t="s">
        <v>54</v>
      </c>
      <c r="E34" s="7">
        <v>6.53102E11</v>
      </c>
      <c r="F34" s="7" t="s">
        <v>14</v>
      </c>
      <c r="G34" s="7" t="s">
        <v>54</v>
      </c>
      <c r="H34" s="7"/>
      <c r="I34" s="7"/>
      <c r="J34" s="7"/>
      <c r="K34" s="7"/>
      <c r="L34" s="7">
        <v>1.0</v>
      </c>
      <c r="M34" s="7"/>
      <c r="N34" s="7"/>
      <c r="O34" s="7"/>
      <c r="P34" s="7">
        <f t="shared" si="1"/>
        <v>0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6"/>
      <c r="B35" s="7"/>
      <c r="C35" s="7" t="s">
        <v>53</v>
      </c>
      <c r="D35" s="7" t="s">
        <v>57</v>
      </c>
      <c r="E35" s="7">
        <v>6.1900411121E10</v>
      </c>
      <c r="F35" s="7" t="s">
        <v>22</v>
      </c>
      <c r="G35" s="7" t="s">
        <v>57</v>
      </c>
      <c r="H35" s="7"/>
      <c r="I35" s="7"/>
      <c r="J35" s="7"/>
      <c r="K35" s="7"/>
      <c r="L35" s="7">
        <v>4.0</v>
      </c>
      <c r="M35" s="7"/>
      <c r="N35" s="7"/>
      <c r="O35" s="7"/>
      <c r="P35" s="7">
        <f t="shared" si="1"/>
        <v>0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6"/>
      <c r="B36" s="7"/>
      <c r="C36" s="7" t="s">
        <v>53</v>
      </c>
      <c r="D36" s="7" t="s">
        <v>62</v>
      </c>
      <c r="E36" s="7"/>
      <c r="F36" s="7" t="s">
        <v>22</v>
      </c>
      <c r="G36" s="7" t="s">
        <v>62</v>
      </c>
      <c r="H36" s="7"/>
      <c r="I36" s="7"/>
      <c r="J36" s="7"/>
      <c r="K36" s="7"/>
      <c r="L36" s="7">
        <v>2.0</v>
      </c>
      <c r="M36" s="7"/>
      <c r="N36" s="7"/>
      <c r="O36" s="7"/>
      <c r="P36" s="7">
        <f t="shared" si="1"/>
        <v>0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6"/>
      <c r="B37" s="7"/>
      <c r="C37" s="7" t="s">
        <v>53</v>
      </c>
      <c r="D37" s="7" t="s">
        <v>575</v>
      </c>
      <c r="E37" s="7">
        <v>6.2000811622E10</v>
      </c>
      <c r="F37" s="7" t="s">
        <v>22</v>
      </c>
      <c r="G37" s="7" t="s">
        <v>575</v>
      </c>
      <c r="H37" s="7"/>
      <c r="I37" s="7"/>
      <c r="J37" s="7"/>
      <c r="K37" s="7"/>
      <c r="L37" s="7">
        <v>4.0</v>
      </c>
      <c r="M37" s="7"/>
      <c r="N37" s="7"/>
      <c r="O37" s="7"/>
      <c r="P37" s="7">
        <f t="shared" si="1"/>
        <v>0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6"/>
      <c r="B38" s="7"/>
      <c r="C38" s="7" t="s">
        <v>53</v>
      </c>
      <c r="D38" s="7" t="s">
        <v>576</v>
      </c>
      <c r="E38" s="7" t="s">
        <v>577</v>
      </c>
      <c r="F38" s="7" t="s">
        <v>22</v>
      </c>
      <c r="G38" s="7" t="s">
        <v>78</v>
      </c>
      <c r="H38" s="7"/>
      <c r="I38" s="7"/>
      <c r="J38" s="7"/>
      <c r="K38" s="7"/>
      <c r="L38" s="7">
        <v>1.0</v>
      </c>
      <c r="M38" s="7"/>
      <c r="N38" s="7"/>
      <c r="O38" s="7"/>
      <c r="P38" s="7">
        <f t="shared" si="1"/>
        <v>0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6"/>
      <c r="B39" s="7"/>
      <c r="C39" s="7" t="s">
        <v>53</v>
      </c>
      <c r="D39" s="7" t="s">
        <v>578</v>
      </c>
      <c r="E39" s="7" t="s">
        <v>579</v>
      </c>
      <c r="F39" s="7" t="s">
        <v>22</v>
      </c>
      <c r="G39" s="7" t="s">
        <v>580</v>
      </c>
      <c r="H39" s="7"/>
      <c r="I39" s="7"/>
      <c r="J39" s="7"/>
      <c r="K39" s="7"/>
      <c r="L39" s="7">
        <v>1.0</v>
      </c>
      <c r="M39" s="7"/>
      <c r="N39" s="7"/>
      <c r="O39" s="7"/>
      <c r="P39" s="7">
        <f t="shared" si="1"/>
        <v>0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6"/>
      <c r="B40" s="7"/>
      <c r="C40" s="7" t="s">
        <v>53</v>
      </c>
      <c r="D40" s="7" t="s">
        <v>88</v>
      </c>
      <c r="E40" s="7">
        <v>6.2504021621E10</v>
      </c>
      <c r="F40" s="7" t="s">
        <v>22</v>
      </c>
      <c r="G40" s="7" t="s">
        <v>88</v>
      </c>
      <c r="H40" s="7"/>
      <c r="I40" s="7"/>
      <c r="J40" s="7"/>
      <c r="K40" s="7"/>
      <c r="L40" s="7">
        <v>1.0</v>
      </c>
      <c r="M40" s="7"/>
      <c r="N40" s="7"/>
      <c r="O40" s="7"/>
      <c r="P40" s="7">
        <f t="shared" si="1"/>
        <v>0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6"/>
      <c r="B41" s="7"/>
      <c r="C41" s="7" t="s">
        <v>53</v>
      </c>
      <c r="D41" s="7" t="s">
        <v>69</v>
      </c>
      <c r="E41" s="7"/>
      <c r="F41" s="7" t="s">
        <v>22</v>
      </c>
      <c r="G41" s="7" t="s">
        <v>71</v>
      </c>
      <c r="H41" s="7"/>
      <c r="I41" s="7"/>
      <c r="J41" s="7"/>
      <c r="K41" s="7"/>
      <c r="L41" s="7">
        <v>2.0</v>
      </c>
      <c r="M41" s="7"/>
      <c r="N41" s="7"/>
      <c r="O41" s="7"/>
      <c r="P41" s="7">
        <f t="shared" si="1"/>
        <v>0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6"/>
      <c r="B42" s="7"/>
      <c r="C42" s="7" t="s">
        <v>53</v>
      </c>
      <c r="D42" s="7" t="s">
        <v>362</v>
      </c>
      <c r="E42" s="7"/>
      <c r="F42" s="7" t="s">
        <v>22</v>
      </c>
      <c r="G42" s="7" t="s">
        <v>363</v>
      </c>
      <c r="H42" s="7"/>
      <c r="I42" s="7"/>
      <c r="J42" s="7"/>
      <c r="K42" s="7"/>
      <c r="L42" s="7">
        <v>1.0</v>
      </c>
      <c r="M42" s="7"/>
      <c r="N42" s="7"/>
      <c r="O42" s="7"/>
      <c r="P42" s="7">
        <f t="shared" si="1"/>
        <v>0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6"/>
      <c r="B43" s="7"/>
      <c r="C43" s="7" t="s">
        <v>53</v>
      </c>
      <c r="D43" s="7" t="s">
        <v>72</v>
      </c>
      <c r="E43" s="7"/>
      <c r="F43" s="7" t="s">
        <v>22</v>
      </c>
      <c r="G43" s="7" t="s">
        <v>74</v>
      </c>
      <c r="H43" s="7"/>
      <c r="I43" s="7"/>
      <c r="J43" s="7"/>
      <c r="K43" s="7"/>
      <c r="L43" s="7">
        <v>1.0</v>
      </c>
      <c r="M43" s="7"/>
      <c r="N43" s="7"/>
      <c r="O43" s="7"/>
      <c r="P43" s="7">
        <f t="shared" si="1"/>
        <v>0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6"/>
      <c r="B44" s="7"/>
      <c r="C44" s="7" t="s">
        <v>53</v>
      </c>
      <c r="D44" s="7" t="s">
        <v>86</v>
      </c>
      <c r="E44" s="7"/>
      <c r="F44" s="7" t="s">
        <v>22</v>
      </c>
      <c r="G44" s="7" t="s">
        <v>88</v>
      </c>
      <c r="H44" s="7"/>
      <c r="I44" s="7"/>
      <c r="J44" s="7"/>
      <c r="K44" s="7"/>
      <c r="L44" s="7">
        <v>3.0</v>
      </c>
      <c r="M44" s="7"/>
      <c r="N44" s="7"/>
      <c r="O44" s="7"/>
      <c r="P44" s="7">
        <f t="shared" si="1"/>
        <v>0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6"/>
      <c r="B45" s="7"/>
      <c r="C45" s="7" t="s">
        <v>53</v>
      </c>
      <c r="D45" s="7" t="s">
        <v>581</v>
      </c>
      <c r="E45" s="7" t="s">
        <v>581</v>
      </c>
      <c r="F45" s="7" t="s">
        <v>22</v>
      </c>
      <c r="G45" s="7" t="s">
        <v>581</v>
      </c>
      <c r="H45" s="7"/>
      <c r="I45" s="7"/>
      <c r="J45" s="7"/>
      <c r="K45" s="7"/>
      <c r="L45" s="7">
        <v>8.0</v>
      </c>
      <c r="M45" s="7"/>
      <c r="N45" s="7"/>
      <c r="O45" s="7"/>
      <c r="P45" s="7">
        <f t="shared" si="1"/>
        <v>0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6"/>
      <c r="B46" s="7"/>
      <c r="C46" s="7" t="s">
        <v>53</v>
      </c>
      <c r="D46" s="7" t="s">
        <v>581</v>
      </c>
      <c r="E46" s="7"/>
      <c r="F46" s="7" t="s">
        <v>22</v>
      </c>
      <c r="G46" s="7" t="s">
        <v>78</v>
      </c>
      <c r="H46" s="7"/>
      <c r="I46" s="7"/>
      <c r="J46" s="7"/>
      <c r="K46" s="7"/>
      <c r="L46" s="7">
        <v>2.0</v>
      </c>
      <c r="M46" s="7"/>
      <c r="N46" s="7"/>
      <c r="O46" s="7"/>
      <c r="P46" s="7">
        <f t="shared" si="1"/>
        <v>0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6"/>
      <c r="B47" s="7"/>
      <c r="C47" s="7" t="s">
        <v>53</v>
      </c>
      <c r="D47" s="7" t="s">
        <v>582</v>
      </c>
      <c r="E47" s="7"/>
      <c r="F47" s="7" t="s">
        <v>22</v>
      </c>
      <c r="G47" s="7" t="s">
        <v>583</v>
      </c>
      <c r="H47" s="7"/>
      <c r="I47" s="7"/>
      <c r="J47" s="7"/>
      <c r="K47" s="7"/>
      <c r="L47" s="7">
        <v>2.0</v>
      </c>
      <c r="M47" s="7"/>
      <c r="N47" s="7"/>
      <c r="O47" s="7"/>
      <c r="P47" s="7">
        <f t="shared" si="1"/>
        <v>0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6"/>
      <c r="B48" s="7"/>
      <c r="C48" s="7" t="s">
        <v>53</v>
      </c>
      <c r="D48" s="7" t="s">
        <v>80</v>
      </c>
      <c r="E48" s="7" t="s">
        <v>81</v>
      </c>
      <c r="F48" s="7" t="s">
        <v>22</v>
      </c>
      <c r="G48" s="7" t="s">
        <v>80</v>
      </c>
      <c r="H48" s="7"/>
      <c r="I48" s="7"/>
      <c r="J48" s="7"/>
      <c r="K48" s="7"/>
      <c r="L48" s="7">
        <v>10.0</v>
      </c>
      <c r="M48" s="7"/>
      <c r="N48" s="7"/>
      <c r="O48" s="7"/>
      <c r="P48" s="7">
        <f t="shared" si="1"/>
        <v>0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6"/>
      <c r="B49" s="7"/>
      <c r="C49" s="7" t="s">
        <v>53</v>
      </c>
      <c r="D49" s="7" t="s">
        <v>584</v>
      </c>
      <c r="E49" s="7"/>
      <c r="F49" s="7" t="s">
        <v>22</v>
      </c>
      <c r="G49" s="7" t="s">
        <v>83</v>
      </c>
      <c r="H49" s="7"/>
      <c r="I49" s="7"/>
      <c r="J49" s="7"/>
      <c r="K49" s="7"/>
      <c r="L49" s="7">
        <v>10.0</v>
      </c>
      <c r="M49" s="7"/>
      <c r="N49" s="7"/>
      <c r="O49" s="7"/>
      <c r="P49" s="7">
        <f t="shared" si="1"/>
        <v>0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6"/>
      <c r="B50" s="7"/>
      <c r="C50" s="7" t="s">
        <v>53</v>
      </c>
      <c r="D50" s="7" t="s">
        <v>83</v>
      </c>
      <c r="E50" s="7" t="s">
        <v>585</v>
      </c>
      <c r="F50" s="7" t="s">
        <v>22</v>
      </c>
      <c r="G50" s="7" t="s">
        <v>83</v>
      </c>
      <c r="H50" s="7"/>
      <c r="I50" s="7"/>
      <c r="J50" s="7"/>
      <c r="K50" s="7"/>
      <c r="L50" s="7">
        <v>1.0</v>
      </c>
      <c r="M50" s="7"/>
      <c r="N50" s="7"/>
      <c r="O50" s="7"/>
      <c r="P50" s="7">
        <f t="shared" si="1"/>
        <v>0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6"/>
      <c r="B51" s="7"/>
      <c r="C51" s="7" t="s">
        <v>53</v>
      </c>
      <c r="D51" s="7" t="s">
        <v>580</v>
      </c>
      <c r="E51" s="7"/>
      <c r="F51" s="7" t="s">
        <v>22</v>
      </c>
      <c r="G51" s="7" t="s">
        <v>586</v>
      </c>
      <c r="H51" s="7"/>
      <c r="I51" s="7"/>
      <c r="J51" s="7"/>
      <c r="K51" s="7"/>
      <c r="L51" s="7">
        <v>2.0</v>
      </c>
      <c r="M51" s="7"/>
      <c r="N51" s="7"/>
      <c r="O51" s="7"/>
      <c r="P51" s="7">
        <f t="shared" si="1"/>
        <v>0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6"/>
      <c r="B52" s="7"/>
      <c r="C52" s="7" t="s">
        <v>53</v>
      </c>
      <c r="D52" s="7" t="s">
        <v>179</v>
      </c>
      <c r="E52" s="7"/>
      <c r="F52" s="7" t="s">
        <v>22</v>
      </c>
      <c r="G52" s="7" t="s">
        <v>181</v>
      </c>
      <c r="H52" s="7"/>
      <c r="I52" s="7"/>
      <c r="J52" s="7"/>
      <c r="K52" s="7"/>
      <c r="L52" s="7">
        <v>1.0</v>
      </c>
      <c r="M52" s="7"/>
      <c r="N52" s="7"/>
      <c r="O52" s="7"/>
      <c r="P52" s="7">
        <f t="shared" si="1"/>
        <v>0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6"/>
      <c r="B53" s="7"/>
      <c r="C53" s="7" t="s">
        <v>53</v>
      </c>
      <c r="D53" s="7" t="s">
        <v>182</v>
      </c>
      <c r="E53" s="7"/>
      <c r="F53" s="7" t="s">
        <v>22</v>
      </c>
      <c r="G53" s="7" t="s">
        <v>587</v>
      </c>
      <c r="H53" s="7"/>
      <c r="I53" s="7"/>
      <c r="J53" s="7"/>
      <c r="K53" s="7"/>
      <c r="L53" s="7">
        <v>2.0</v>
      </c>
      <c r="M53" s="7"/>
      <c r="N53" s="7"/>
      <c r="O53" s="7"/>
      <c r="P53" s="7">
        <f t="shared" si="1"/>
        <v>0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6"/>
      <c r="B54" s="7"/>
      <c r="C54" s="7" t="s">
        <v>53</v>
      </c>
      <c r="D54" s="7" t="s">
        <v>182</v>
      </c>
      <c r="E54" s="7"/>
      <c r="F54" s="7" t="s">
        <v>22</v>
      </c>
      <c r="G54" s="7" t="s">
        <v>185</v>
      </c>
      <c r="H54" s="7"/>
      <c r="I54" s="7"/>
      <c r="J54" s="7"/>
      <c r="K54" s="7"/>
      <c r="L54" s="7">
        <v>2.0</v>
      </c>
      <c r="M54" s="7"/>
      <c r="N54" s="7"/>
      <c r="O54" s="7"/>
      <c r="P54" s="7">
        <f t="shared" si="1"/>
        <v>0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6"/>
      <c r="B55" s="7"/>
      <c r="C55" s="7" t="s">
        <v>53</v>
      </c>
      <c r="D55" s="7" t="s">
        <v>75</v>
      </c>
      <c r="E55" s="7" t="s">
        <v>588</v>
      </c>
      <c r="F55" s="7" t="s">
        <v>22</v>
      </c>
      <c r="G55" s="7" t="s">
        <v>580</v>
      </c>
      <c r="H55" s="7"/>
      <c r="I55" s="7"/>
      <c r="J55" s="7"/>
      <c r="K55" s="7"/>
      <c r="L55" s="7">
        <v>1.0</v>
      </c>
      <c r="M55" s="7"/>
      <c r="N55" s="7"/>
      <c r="O55" s="7"/>
      <c r="P55" s="7">
        <f t="shared" si="1"/>
        <v>0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6"/>
      <c r="B56" s="7"/>
      <c r="C56" s="7" t="s">
        <v>53</v>
      </c>
      <c r="D56" s="7" t="s">
        <v>75</v>
      </c>
      <c r="E56" s="7"/>
      <c r="F56" s="7" t="s">
        <v>22</v>
      </c>
      <c r="G56" s="7" t="s">
        <v>580</v>
      </c>
      <c r="H56" s="7"/>
      <c r="I56" s="7"/>
      <c r="J56" s="7"/>
      <c r="K56" s="7"/>
      <c r="L56" s="7">
        <v>1.0</v>
      </c>
      <c r="M56" s="7"/>
      <c r="N56" s="7"/>
      <c r="O56" s="7"/>
      <c r="P56" s="7">
        <f t="shared" si="1"/>
        <v>0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6"/>
      <c r="B57" s="7"/>
      <c r="C57" s="7" t="s">
        <v>53</v>
      </c>
      <c r="D57" s="7" t="s">
        <v>311</v>
      </c>
      <c r="E57" s="7"/>
      <c r="F57" s="7" t="s">
        <v>22</v>
      </c>
      <c r="G57" s="7" t="s">
        <v>314</v>
      </c>
      <c r="H57" s="7"/>
      <c r="I57" s="7"/>
      <c r="J57" s="7"/>
      <c r="K57" s="7"/>
      <c r="L57" s="7">
        <v>1.0</v>
      </c>
      <c r="M57" s="7"/>
      <c r="N57" s="7"/>
      <c r="O57" s="7"/>
      <c r="P57" s="7">
        <f t="shared" si="1"/>
        <v>0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6"/>
      <c r="B58" s="7"/>
      <c r="C58" s="7" t="s">
        <v>53</v>
      </c>
      <c r="D58" s="7" t="s">
        <v>188</v>
      </c>
      <c r="E58" s="7"/>
      <c r="F58" s="7" t="s">
        <v>22</v>
      </c>
      <c r="G58" s="7" t="s">
        <v>191</v>
      </c>
      <c r="H58" s="7"/>
      <c r="I58" s="7"/>
      <c r="J58" s="7"/>
      <c r="K58" s="7"/>
      <c r="L58" s="7">
        <v>3.0</v>
      </c>
      <c r="M58" s="7"/>
      <c r="N58" s="7"/>
      <c r="O58" s="7"/>
      <c r="P58" s="7">
        <f t="shared" si="1"/>
        <v>0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6"/>
      <c r="B59" s="7"/>
      <c r="C59" s="7" t="s">
        <v>53</v>
      </c>
      <c r="D59" s="7" t="s">
        <v>65</v>
      </c>
      <c r="E59" s="7"/>
      <c r="F59" s="7" t="s">
        <v>22</v>
      </c>
      <c r="G59" s="7" t="s">
        <v>194</v>
      </c>
      <c r="H59" s="7"/>
      <c r="I59" s="7"/>
      <c r="J59" s="7"/>
      <c r="K59" s="7"/>
      <c r="L59" s="7">
        <v>2.0</v>
      </c>
      <c r="M59" s="7"/>
      <c r="N59" s="7"/>
      <c r="O59" s="7"/>
      <c r="P59" s="7">
        <f t="shared" si="1"/>
        <v>0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6"/>
      <c r="B60" s="7"/>
      <c r="C60" s="7" t="s">
        <v>53</v>
      </c>
      <c r="D60" s="7" t="s">
        <v>65</v>
      </c>
      <c r="E60" s="7"/>
      <c r="F60" s="7" t="s">
        <v>22</v>
      </c>
      <c r="G60" s="7" t="s">
        <v>68</v>
      </c>
      <c r="H60" s="7"/>
      <c r="I60" s="7"/>
      <c r="J60" s="7"/>
      <c r="K60" s="7"/>
      <c r="L60" s="7">
        <v>6.0</v>
      </c>
      <c r="M60" s="7"/>
      <c r="N60" s="7"/>
      <c r="O60" s="7"/>
      <c r="P60" s="7">
        <f t="shared" si="1"/>
        <v>0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6"/>
      <c r="B61" s="7"/>
      <c r="C61" s="7" t="s">
        <v>53</v>
      </c>
      <c r="D61" s="7" t="s">
        <v>589</v>
      </c>
      <c r="E61" s="7">
        <v>6.1500814221E10</v>
      </c>
      <c r="F61" s="7" t="s">
        <v>22</v>
      </c>
      <c r="G61" s="7">
        <v>6.1500814221E10</v>
      </c>
      <c r="H61" s="7"/>
      <c r="I61" s="7"/>
      <c r="J61" s="7"/>
      <c r="K61" s="7"/>
      <c r="L61" s="7">
        <v>1.0</v>
      </c>
      <c r="M61" s="7"/>
      <c r="N61" s="7"/>
      <c r="O61" s="7"/>
      <c r="P61" s="7">
        <f t="shared" si="1"/>
        <v>0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6"/>
      <c r="B62" s="7"/>
      <c r="C62" s="7" t="s">
        <v>53</v>
      </c>
      <c r="D62" s="7" t="s">
        <v>590</v>
      </c>
      <c r="E62" s="7"/>
      <c r="F62" s="7" t="s">
        <v>22</v>
      </c>
      <c r="G62" s="7" t="s">
        <v>83</v>
      </c>
      <c r="H62" s="7"/>
      <c r="I62" s="7"/>
      <c r="J62" s="7"/>
      <c r="K62" s="7"/>
      <c r="L62" s="7">
        <v>4.0</v>
      </c>
      <c r="M62" s="7"/>
      <c r="N62" s="7"/>
      <c r="O62" s="7"/>
      <c r="P62" s="7">
        <f t="shared" si="1"/>
        <v>0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6"/>
      <c r="B63" s="7"/>
      <c r="C63" s="7" t="s">
        <v>53</v>
      </c>
      <c r="D63" s="7" t="s">
        <v>84</v>
      </c>
      <c r="E63" s="7"/>
      <c r="F63" s="7" t="s">
        <v>22</v>
      </c>
      <c r="G63" s="7"/>
      <c r="H63" s="7"/>
      <c r="I63" s="7"/>
      <c r="J63" s="7"/>
      <c r="K63" s="7"/>
      <c r="L63" s="7">
        <v>2.0</v>
      </c>
      <c r="M63" s="7"/>
      <c r="N63" s="7"/>
      <c r="O63" s="7"/>
      <c r="P63" s="7">
        <f t="shared" si="1"/>
        <v>0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6"/>
      <c r="B64" s="7"/>
      <c r="C64" s="7" t="s">
        <v>53</v>
      </c>
      <c r="D64" s="7" t="s">
        <v>367</v>
      </c>
      <c r="E64" s="7"/>
      <c r="F64" s="7" t="s">
        <v>22</v>
      </c>
      <c r="G64" s="7" t="s">
        <v>370</v>
      </c>
      <c r="H64" s="7"/>
      <c r="I64" s="7"/>
      <c r="J64" s="7"/>
      <c r="K64" s="7"/>
      <c r="L64" s="7">
        <v>3.0</v>
      </c>
      <c r="M64" s="7"/>
      <c r="N64" s="7"/>
      <c r="O64" s="7"/>
      <c r="P64" s="7">
        <f t="shared" si="1"/>
        <v>0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6"/>
      <c r="B65" s="7"/>
      <c r="C65" s="7" t="s">
        <v>53</v>
      </c>
      <c r="D65" s="7" t="s">
        <v>591</v>
      </c>
      <c r="E65" s="7"/>
      <c r="F65" s="7" t="s">
        <v>22</v>
      </c>
      <c r="G65" s="7" t="s">
        <v>88</v>
      </c>
      <c r="H65" s="7"/>
      <c r="I65" s="7"/>
      <c r="J65" s="7"/>
      <c r="K65" s="7"/>
      <c r="L65" s="7">
        <v>2.0</v>
      </c>
      <c r="M65" s="7"/>
      <c r="N65" s="7"/>
      <c r="O65" s="7"/>
      <c r="P65" s="7">
        <f t="shared" si="1"/>
        <v>0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6"/>
      <c r="B66" s="7"/>
      <c r="C66" s="7" t="s">
        <v>53</v>
      </c>
      <c r="D66" s="7" t="s">
        <v>89</v>
      </c>
      <c r="E66" s="7"/>
      <c r="F66" s="7" t="s">
        <v>14</v>
      </c>
      <c r="G66" s="7" t="s">
        <v>91</v>
      </c>
      <c r="H66" s="7"/>
      <c r="I66" s="7"/>
      <c r="J66" s="7"/>
      <c r="K66" s="7"/>
      <c r="L66" s="7">
        <v>2.0</v>
      </c>
      <c r="M66" s="7"/>
      <c r="N66" s="7"/>
      <c r="O66" s="7"/>
      <c r="P66" s="7">
        <f t="shared" si="1"/>
        <v>0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6"/>
      <c r="B67" s="7"/>
      <c r="C67" s="7" t="s">
        <v>92</v>
      </c>
      <c r="D67" s="7" t="s">
        <v>592</v>
      </c>
      <c r="E67" s="5">
        <v>8.30010043E8</v>
      </c>
      <c r="F67" s="7" t="s">
        <v>14</v>
      </c>
      <c r="G67" s="7" t="s">
        <v>95</v>
      </c>
      <c r="H67" s="7"/>
      <c r="I67" s="7"/>
      <c r="J67" s="7"/>
      <c r="K67" s="7"/>
      <c r="L67" s="7">
        <v>2.0</v>
      </c>
      <c r="M67" s="7"/>
      <c r="N67" s="7"/>
      <c r="O67" s="7"/>
      <c r="P67" s="7">
        <f t="shared" si="1"/>
        <v>0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6"/>
      <c r="B68" s="7"/>
      <c r="C68" s="7" t="s">
        <v>92</v>
      </c>
      <c r="D68" s="7" t="s">
        <v>593</v>
      </c>
      <c r="E68" s="5">
        <v>8.30054555E8</v>
      </c>
      <c r="F68" s="7" t="s">
        <v>14</v>
      </c>
      <c r="G68" s="7" t="s">
        <v>95</v>
      </c>
      <c r="H68" s="7"/>
      <c r="I68" s="7"/>
      <c r="J68" s="7"/>
      <c r="K68" s="7"/>
      <c r="L68" s="7">
        <v>2.0</v>
      </c>
      <c r="M68" s="7"/>
      <c r="N68" s="7"/>
      <c r="O68" s="7"/>
      <c r="P68" s="7">
        <f t="shared" si="1"/>
        <v>0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6"/>
      <c r="B69" s="7"/>
      <c r="C69" s="7" t="s">
        <v>92</v>
      </c>
      <c r="D69" s="7" t="s">
        <v>594</v>
      </c>
      <c r="E69" s="5">
        <v>8.30003058E8</v>
      </c>
      <c r="F69" s="7" t="s">
        <v>14</v>
      </c>
      <c r="G69" s="7" t="s">
        <v>95</v>
      </c>
      <c r="H69" s="7"/>
      <c r="I69" s="7"/>
      <c r="J69" s="7"/>
      <c r="K69" s="7"/>
      <c r="L69" s="7">
        <v>4.0</v>
      </c>
      <c r="M69" s="7"/>
      <c r="N69" s="7"/>
      <c r="O69" s="7"/>
      <c r="P69" s="7">
        <f t="shared" si="1"/>
        <v>0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92">
        <v>150.0</v>
      </c>
      <c r="B70" s="7"/>
      <c r="C70" s="7" t="s">
        <v>98</v>
      </c>
      <c r="D70" s="7">
        <v>4148.0</v>
      </c>
      <c r="E70" s="7">
        <v>4148.0</v>
      </c>
      <c r="F70" s="7" t="s">
        <v>14</v>
      </c>
      <c r="G70" s="7" t="s">
        <v>377</v>
      </c>
      <c r="H70" s="7">
        <f t="shared" ref="H70:H77" si="2">L70*A70</f>
        <v>450</v>
      </c>
      <c r="I70" s="7"/>
      <c r="J70" s="7"/>
      <c r="K70" s="7">
        <f t="shared" ref="K70:K77" si="3">J70*H70</f>
        <v>0</v>
      </c>
      <c r="L70" s="7">
        <v>3.0</v>
      </c>
      <c r="M70" s="7"/>
      <c r="N70" s="7"/>
      <c r="O70" s="7"/>
      <c r="P70" s="7">
        <f t="shared" si="1"/>
        <v>0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92">
        <v>150.0</v>
      </c>
      <c r="B71" s="7"/>
      <c r="C71" s="7" t="s">
        <v>98</v>
      </c>
      <c r="D71" s="7" t="s">
        <v>99</v>
      </c>
      <c r="E71" s="7" t="s">
        <v>99</v>
      </c>
      <c r="F71" s="7" t="s">
        <v>14</v>
      </c>
      <c r="G71" s="7" t="s">
        <v>102</v>
      </c>
      <c r="H71" s="7">
        <f t="shared" si="2"/>
        <v>450</v>
      </c>
      <c r="I71" s="7"/>
      <c r="J71" s="7"/>
      <c r="K71" s="7">
        <f t="shared" si="3"/>
        <v>0</v>
      </c>
      <c r="L71" s="7">
        <v>3.0</v>
      </c>
      <c r="M71" s="5" t="s">
        <v>595</v>
      </c>
      <c r="N71" s="7"/>
      <c r="O71" s="7"/>
      <c r="P71" s="7">
        <f t="shared" si="1"/>
        <v>0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92">
        <v>150.0</v>
      </c>
      <c r="B72" s="7"/>
      <c r="C72" s="7" t="s">
        <v>98</v>
      </c>
      <c r="D72" s="7" t="s">
        <v>103</v>
      </c>
      <c r="E72" s="7" t="s">
        <v>103</v>
      </c>
      <c r="F72" s="7" t="s">
        <v>14</v>
      </c>
      <c r="G72" s="7" t="s">
        <v>105</v>
      </c>
      <c r="H72" s="7">
        <f t="shared" si="2"/>
        <v>600</v>
      </c>
      <c r="I72" s="5"/>
      <c r="J72" s="5"/>
      <c r="K72" s="7">
        <f t="shared" si="3"/>
        <v>0</v>
      </c>
      <c r="L72" s="5">
        <v>4.0</v>
      </c>
      <c r="M72" s="7"/>
      <c r="N72" s="7"/>
      <c r="O72" s="7"/>
      <c r="P72" s="7">
        <f t="shared" si="1"/>
        <v>0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92">
        <v>150.0</v>
      </c>
      <c r="B73" s="7"/>
      <c r="C73" s="7" t="s">
        <v>98</v>
      </c>
      <c r="D73" s="7" t="s">
        <v>380</v>
      </c>
      <c r="E73" s="7" t="s">
        <v>380</v>
      </c>
      <c r="F73" s="7" t="s">
        <v>14</v>
      </c>
      <c r="G73" s="7" t="s">
        <v>377</v>
      </c>
      <c r="H73" s="7">
        <f t="shared" si="2"/>
        <v>900</v>
      </c>
      <c r="I73" s="7"/>
      <c r="J73" s="7"/>
      <c r="K73" s="7">
        <f t="shared" si="3"/>
        <v>0</v>
      </c>
      <c r="L73" s="7">
        <v>6.0</v>
      </c>
      <c r="M73" s="5" t="s">
        <v>596</v>
      </c>
      <c r="N73" s="7"/>
      <c r="O73" s="7"/>
      <c r="P73" s="7">
        <f t="shared" si="1"/>
        <v>0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92">
        <v>150.0</v>
      </c>
      <c r="B74" s="7"/>
      <c r="C74" s="7" t="s">
        <v>98</v>
      </c>
      <c r="D74" s="7" t="s">
        <v>196</v>
      </c>
      <c r="E74" s="7" t="s">
        <v>597</v>
      </c>
      <c r="F74" s="7" t="s">
        <v>14</v>
      </c>
      <c r="G74" s="7" t="s">
        <v>198</v>
      </c>
      <c r="H74" s="7">
        <f t="shared" si="2"/>
        <v>600</v>
      </c>
      <c r="I74" s="5"/>
      <c r="J74" s="5"/>
      <c r="K74" s="7">
        <f t="shared" si="3"/>
        <v>0</v>
      </c>
      <c r="L74" s="5">
        <v>4.0</v>
      </c>
      <c r="M74" s="5" t="s">
        <v>598</v>
      </c>
      <c r="N74" s="7"/>
      <c r="O74" s="7"/>
      <c r="P74" s="7">
        <f t="shared" si="1"/>
        <v>0</v>
      </c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92">
        <v>150.0</v>
      </c>
      <c r="B75" s="7"/>
      <c r="C75" s="7" t="s">
        <v>98</v>
      </c>
      <c r="D75" s="7" t="s">
        <v>468</v>
      </c>
      <c r="E75" s="7" t="s">
        <v>468</v>
      </c>
      <c r="F75" s="7" t="s">
        <v>14</v>
      </c>
      <c r="G75" s="7" t="s">
        <v>470</v>
      </c>
      <c r="H75" s="7">
        <f t="shared" si="2"/>
        <v>450</v>
      </c>
      <c r="I75" s="7"/>
      <c r="J75" s="7"/>
      <c r="K75" s="7">
        <f t="shared" si="3"/>
        <v>0</v>
      </c>
      <c r="L75" s="7">
        <v>3.0</v>
      </c>
      <c r="M75" s="7"/>
      <c r="N75" s="7"/>
      <c r="O75" s="7"/>
      <c r="P75" s="7">
        <f t="shared" si="1"/>
        <v>0</v>
      </c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92">
        <v>150.0</v>
      </c>
      <c r="B76" s="7"/>
      <c r="C76" s="7" t="s">
        <v>98</v>
      </c>
      <c r="D76" s="7" t="s">
        <v>200</v>
      </c>
      <c r="E76" s="7" t="s">
        <v>599</v>
      </c>
      <c r="F76" s="7" t="s">
        <v>14</v>
      </c>
      <c r="G76" s="7" t="s">
        <v>203</v>
      </c>
      <c r="H76" s="7">
        <f t="shared" si="2"/>
        <v>750</v>
      </c>
      <c r="I76" s="7"/>
      <c r="J76" s="7"/>
      <c r="K76" s="7">
        <f t="shared" si="3"/>
        <v>0</v>
      </c>
      <c r="L76" s="7">
        <v>5.0</v>
      </c>
      <c r="M76" s="7"/>
      <c r="N76" s="7"/>
      <c r="O76" s="7"/>
      <c r="P76" s="7">
        <f t="shared" si="1"/>
        <v>0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92">
        <v>150.0</v>
      </c>
      <c r="B77" s="7"/>
      <c r="C77" s="7" t="s">
        <v>98</v>
      </c>
      <c r="D77" s="7" t="s">
        <v>318</v>
      </c>
      <c r="E77" s="7" t="s">
        <v>600</v>
      </c>
      <c r="F77" s="7" t="s">
        <v>14</v>
      </c>
      <c r="G77" s="7">
        <v>201.0</v>
      </c>
      <c r="H77" s="7">
        <f t="shared" si="2"/>
        <v>300</v>
      </c>
      <c r="I77" s="7"/>
      <c r="J77" s="5">
        <v>9.4</v>
      </c>
      <c r="K77" s="7">
        <f t="shared" si="3"/>
        <v>2820</v>
      </c>
      <c r="L77" s="7">
        <v>2.0</v>
      </c>
      <c r="M77" s="5" t="s">
        <v>601</v>
      </c>
      <c r="N77" s="5" t="s">
        <v>602</v>
      </c>
      <c r="O77" s="7"/>
      <c r="P77" s="7">
        <f t="shared" si="1"/>
        <v>0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6"/>
      <c r="B78" s="7"/>
      <c r="C78" s="7" t="s">
        <v>106</v>
      </c>
      <c r="D78" s="7" t="s">
        <v>472</v>
      </c>
      <c r="E78" s="7">
        <v>7.42792117E8</v>
      </c>
      <c r="F78" s="7" t="s">
        <v>14</v>
      </c>
      <c r="G78" s="7" t="s">
        <v>474</v>
      </c>
      <c r="H78" s="7"/>
      <c r="I78" s="7"/>
      <c r="J78" s="7"/>
      <c r="K78" s="7"/>
      <c r="L78" s="7">
        <v>2.0</v>
      </c>
      <c r="M78" s="7"/>
      <c r="N78" s="7"/>
      <c r="O78" s="7"/>
      <c r="P78" s="7">
        <f t="shared" si="1"/>
        <v>0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6"/>
      <c r="B79" s="7"/>
      <c r="C79" s="7" t="s">
        <v>106</v>
      </c>
      <c r="D79" s="7" t="s">
        <v>204</v>
      </c>
      <c r="E79" s="7" t="s">
        <v>205</v>
      </c>
      <c r="F79" s="7" t="s">
        <v>14</v>
      </c>
      <c r="G79" s="7" t="s">
        <v>109</v>
      </c>
      <c r="H79" s="7"/>
      <c r="I79" s="7"/>
      <c r="J79" s="7"/>
      <c r="K79" s="7"/>
      <c r="L79" s="7">
        <v>2.0</v>
      </c>
      <c r="M79" s="7"/>
      <c r="N79" s="7"/>
      <c r="O79" s="7"/>
      <c r="P79" s="7">
        <f t="shared" si="1"/>
        <v>0</v>
      </c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6"/>
      <c r="B80" s="7"/>
      <c r="C80" s="7" t="s">
        <v>106</v>
      </c>
      <c r="D80" s="7" t="s">
        <v>107</v>
      </c>
      <c r="E80" s="7">
        <v>7.42792023E8</v>
      </c>
      <c r="F80" s="7" t="s">
        <v>14</v>
      </c>
      <c r="G80" s="7" t="s">
        <v>109</v>
      </c>
      <c r="H80" s="7"/>
      <c r="I80" s="7"/>
      <c r="J80" s="7"/>
      <c r="K80" s="7"/>
      <c r="L80" s="5">
        <v>10.0</v>
      </c>
      <c r="M80" s="7"/>
      <c r="N80" s="7"/>
      <c r="O80" s="7"/>
      <c r="P80" s="7">
        <f t="shared" si="1"/>
        <v>0</v>
      </c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92">
        <v>150.0</v>
      </c>
      <c r="B81" s="7"/>
      <c r="C81" s="7" t="s">
        <v>110</v>
      </c>
      <c r="D81" s="5" t="s">
        <v>603</v>
      </c>
      <c r="E81" s="7" t="s">
        <v>112</v>
      </c>
      <c r="F81" s="7" t="s">
        <v>14</v>
      </c>
      <c r="G81" s="7" t="s">
        <v>114</v>
      </c>
      <c r="H81" s="7">
        <f t="shared" ref="H81:H101" si="4">L81*A81</f>
        <v>300</v>
      </c>
      <c r="I81" s="7"/>
      <c r="J81" s="5"/>
      <c r="K81" s="7">
        <f t="shared" ref="K81:K108" si="5">J81*H81</f>
        <v>0</v>
      </c>
      <c r="L81" s="7">
        <v>2.0</v>
      </c>
      <c r="M81" s="5" t="s">
        <v>464</v>
      </c>
      <c r="N81" s="7"/>
      <c r="O81" s="7"/>
      <c r="P81" s="7">
        <f t="shared" si="1"/>
        <v>0</v>
      </c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92">
        <v>250.0</v>
      </c>
      <c r="B82" s="7"/>
      <c r="C82" s="7" t="s">
        <v>110</v>
      </c>
      <c r="D82" s="7" t="s">
        <v>383</v>
      </c>
      <c r="E82" s="7" t="s">
        <v>383</v>
      </c>
      <c r="F82" s="7" t="s">
        <v>14</v>
      </c>
      <c r="G82" s="7" t="s">
        <v>384</v>
      </c>
      <c r="H82" s="7">
        <f t="shared" si="4"/>
        <v>500</v>
      </c>
      <c r="I82" s="7"/>
      <c r="J82" s="5">
        <v>6.25</v>
      </c>
      <c r="K82" s="7">
        <f t="shared" si="5"/>
        <v>3125</v>
      </c>
      <c r="L82" s="7">
        <v>2.0</v>
      </c>
      <c r="M82" s="5" t="s">
        <v>604</v>
      </c>
      <c r="N82" s="5" t="s">
        <v>602</v>
      </c>
      <c r="O82" s="7"/>
      <c r="P82" s="7">
        <f t="shared" si="1"/>
        <v>0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92">
        <v>250.0</v>
      </c>
      <c r="B83" s="7"/>
      <c r="C83" s="7" t="s">
        <v>110</v>
      </c>
      <c r="D83" s="7" t="s">
        <v>385</v>
      </c>
      <c r="E83" s="7" t="s">
        <v>385</v>
      </c>
      <c r="F83" s="7" t="s">
        <v>14</v>
      </c>
      <c r="G83" s="7" t="s">
        <v>384</v>
      </c>
      <c r="H83" s="7">
        <f t="shared" si="4"/>
        <v>500</v>
      </c>
      <c r="I83" s="7"/>
      <c r="J83" s="5">
        <v>6.25</v>
      </c>
      <c r="K83" s="7">
        <f t="shared" si="5"/>
        <v>3125</v>
      </c>
      <c r="L83" s="7">
        <v>2.0</v>
      </c>
      <c r="M83" s="5" t="s">
        <v>604</v>
      </c>
      <c r="N83" s="5" t="s">
        <v>602</v>
      </c>
      <c r="O83" s="7"/>
      <c r="P83" s="7">
        <f t="shared" si="1"/>
        <v>0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92">
        <v>250.0</v>
      </c>
      <c r="B84" s="7"/>
      <c r="C84" s="7" t="s">
        <v>110</v>
      </c>
      <c r="D84" s="7" t="s">
        <v>386</v>
      </c>
      <c r="E84" s="7" t="s">
        <v>386</v>
      </c>
      <c r="F84" s="7" t="s">
        <v>22</v>
      </c>
      <c r="G84" s="7" t="s">
        <v>388</v>
      </c>
      <c r="H84" s="7">
        <f t="shared" si="4"/>
        <v>750</v>
      </c>
      <c r="I84" s="7"/>
      <c r="J84" s="5">
        <v>3.06</v>
      </c>
      <c r="K84" s="7">
        <f t="shared" si="5"/>
        <v>2295</v>
      </c>
      <c r="L84" s="7">
        <v>3.0</v>
      </c>
      <c r="M84" s="5" t="s">
        <v>605</v>
      </c>
      <c r="N84" s="5" t="s">
        <v>602</v>
      </c>
      <c r="O84" s="7"/>
      <c r="P84" s="7">
        <f t="shared" si="1"/>
        <v>0</v>
      </c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92">
        <v>250.0</v>
      </c>
      <c r="B85" s="7"/>
      <c r="C85" s="7" t="s">
        <v>110</v>
      </c>
      <c r="D85" s="5" t="s">
        <v>606</v>
      </c>
      <c r="E85" s="7" t="s">
        <v>115</v>
      </c>
      <c r="F85" s="7" t="s">
        <v>14</v>
      </c>
      <c r="G85" s="7" t="s">
        <v>117</v>
      </c>
      <c r="H85" s="7">
        <f t="shared" si="4"/>
        <v>250</v>
      </c>
      <c r="I85" s="7"/>
      <c r="J85" s="5">
        <v>145.0</v>
      </c>
      <c r="K85" s="7">
        <f t="shared" si="5"/>
        <v>36250</v>
      </c>
      <c r="L85" s="7">
        <v>1.0</v>
      </c>
      <c r="M85" s="5" t="s">
        <v>607</v>
      </c>
      <c r="N85" s="5" t="s">
        <v>602</v>
      </c>
      <c r="O85" s="7"/>
      <c r="P85" s="7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92">
        <v>250.0</v>
      </c>
      <c r="B86" s="7"/>
      <c r="C86" s="7" t="s">
        <v>110</v>
      </c>
      <c r="D86" s="7" t="s">
        <v>119</v>
      </c>
      <c r="E86" s="7" t="s">
        <v>210</v>
      </c>
      <c r="F86" s="7" t="s">
        <v>14</v>
      </c>
      <c r="G86" s="7" t="s">
        <v>212</v>
      </c>
      <c r="H86" s="7">
        <f t="shared" si="4"/>
        <v>1000</v>
      </c>
      <c r="I86" s="7"/>
      <c r="J86" s="5">
        <v>7.5</v>
      </c>
      <c r="K86" s="7">
        <f t="shared" si="5"/>
        <v>7500</v>
      </c>
      <c r="L86" s="7">
        <v>4.0</v>
      </c>
      <c r="M86" s="7"/>
      <c r="N86" s="5" t="s">
        <v>602</v>
      </c>
      <c r="O86" s="7"/>
      <c r="P86" s="7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92">
        <v>250.0</v>
      </c>
      <c r="B87" s="7"/>
      <c r="C87" s="7" t="s">
        <v>110</v>
      </c>
      <c r="D87" s="7" t="s">
        <v>119</v>
      </c>
      <c r="E87" s="7" t="s">
        <v>120</v>
      </c>
      <c r="F87" s="7" t="s">
        <v>14</v>
      </c>
      <c r="G87" s="7" t="s">
        <v>608</v>
      </c>
      <c r="H87" s="7">
        <f t="shared" si="4"/>
        <v>2500</v>
      </c>
      <c r="I87" s="5"/>
      <c r="J87" s="5">
        <v>2.25</v>
      </c>
      <c r="K87" s="7">
        <f t="shared" si="5"/>
        <v>5625</v>
      </c>
      <c r="L87" s="5">
        <v>10.0</v>
      </c>
      <c r="M87" s="5" t="s">
        <v>123</v>
      </c>
      <c r="N87" s="5" t="s">
        <v>602</v>
      </c>
      <c r="O87" s="7"/>
      <c r="P87" s="7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92">
        <v>250.0</v>
      </c>
      <c r="B88" s="7"/>
      <c r="C88" s="7" t="s">
        <v>110</v>
      </c>
      <c r="D88" s="7" t="s">
        <v>609</v>
      </c>
      <c r="E88" s="7" t="s">
        <v>610</v>
      </c>
      <c r="F88" s="7" t="s">
        <v>14</v>
      </c>
      <c r="G88" s="7" t="s">
        <v>327</v>
      </c>
      <c r="H88" s="7">
        <f t="shared" si="4"/>
        <v>500</v>
      </c>
      <c r="I88" s="7"/>
      <c r="J88" s="5">
        <v>88.75</v>
      </c>
      <c r="K88" s="7">
        <f t="shared" si="5"/>
        <v>44375</v>
      </c>
      <c r="L88" s="7">
        <v>2.0</v>
      </c>
      <c r="M88" s="5" t="s">
        <v>611</v>
      </c>
      <c r="N88" s="5" t="s">
        <v>602</v>
      </c>
      <c r="O88" s="7"/>
      <c r="P88" s="7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92">
        <v>250.0</v>
      </c>
      <c r="B89" s="7"/>
      <c r="C89" s="7" t="s">
        <v>110</v>
      </c>
      <c r="D89" s="5" t="s">
        <v>612</v>
      </c>
      <c r="E89" s="7" t="s">
        <v>390</v>
      </c>
      <c r="F89" s="7" t="s">
        <v>22</v>
      </c>
      <c r="G89" s="7" t="s">
        <v>392</v>
      </c>
      <c r="H89" s="7">
        <f t="shared" si="4"/>
        <v>2000</v>
      </c>
      <c r="I89" s="5"/>
      <c r="J89" s="5">
        <v>11.875</v>
      </c>
      <c r="K89" s="7">
        <f t="shared" si="5"/>
        <v>23750</v>
      </c>
      <c r="L89" s="5">
        <v>8.0</v>
      </c>
      <c r="M89" s="7"/>
      <c r="N89" s="5" t="s">
        <v>602</v>
      </c>
      <c r="O89" s="7"/>
      <c r="P89" s="7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92">
        <v>250.0</v>
      </c>
      <c r="B90" s="7"/>
      <c r="C90" s="7" t="s">
        <v>110</v>
      </c>
      <c r="D90" s="5" t="s">
        <v>613</v>
      </c>
      <c r="E90" s="7" t="s">
        <v>396</v>
      </c>
      <c r="F90" s="7" t="s">
        <v>14</v>
      </c>
      <c r="G90" s="7" t="s">
        <v>398</v>
      </c>
      <c r="H90" s="7">
        <f t="shared" si="4"/>
        <v>1000</v>
      </c>
      <c r="I90" s="7"/>
      <c r="J90" s="5">
        <v>25.0</v>
      </c>
      <c r="K90" s="7">
        <f t="shared" si="5"/>
        <v>25000</v>
      </c>
      <c r="L90" s="7">
        <v>4.0</v>
      </c>
      <c r="M90" s="5" t="s">
        <v>614</v>
      </c>
      <c r="N90" s="5" t="s">
        <v>602</v>
      </c>
      <c r="O90" s="7"/>
      <c r="P90" s="7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92">
        <v>250.0</v>
      </c>
      <c r="B91" s="7"/>
      <c r="C91" s="7" t="s">
        <v>110</v>
      </c>
      <c r="D91" s="5" t="s">
        <v>615</v>
      </c>
      <c r="E91" s="7" t="s">
        <v>125</v>
      </c>
      <c r="F91" s="7" t="s">
        <v>14</v>
      </c>
      <c r="G91" s="7" t="s">
        <v>127</v>
      </c>
      <c r="H91" s="7">
        <f t="shared" si="4"/>
        <v>500</v>
      </c>
      <c r="I91" s="7"/>
      <c r="J91" s="5">
        <v>96.0</v>
      </c>
      <c r="K91" s="7">
        <f t="shared" si="5"/>
        <v>48000</v>
      </c>
      <c r="L91" s="7">
        <v>2.0</v>
      </c>
      <c r="M91" s="5" t="s">
        <v>616</v>
      </c>
      <c r="N91" s="5" t="s">
        <v>602</v>
      </c>
      <c r="O91" s="7"/>
      <c r="P91" s="7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92">
        <v>250.0</v>
      </c>
      <c r="B92" s="7"/>
      <c r="C92" s="7" t="s">
        <v>110</v>
      </c>
      <c r="D92" s="5" t="s">
        <v>617</v>
      </c>
      <c r="E92" s="7" t="s">
        <v>618</v>
      </c>
      <c r="F92" s="7" t="s">
        <v>14</v>
      </c>
      <c r="G92" s="7" t="s">
        <v>132</v>
      </c>
      <c r="H92" s="7">
        <f t="shared" si="4"/>
        <v>500</v>
      </c>
      <c r="I92" s="7"/>
      <c r="J92" s="5">
        <v>15.0</v>
      </c>
      <c r="K92" s="7">
        <f t="shared" si="5"/>
        <v>7500</v>
      </c>
      <c r="L92" s="7">
        <v>2.0</v>
      </c>
      <c r="M92" s="7"/>
      <c r="N92" s="5" t="s">
        <v>602</v>
      </c>
      <c r="O92" s="7"/>
      <c r="P92" s="7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92">
        <v>250.0</v>
      </c>
      <c r="B93" s="7"/>
      <c r="C93" s="7" t="s">
        <v>110</v>
      </c>
      <c r="D93" s="7" t="s">
        <v>399</v>
      </c>
      <c r="E93" s="7" t="s">
        <v>399</v>
      </c>
      <c r="F93" s="7" t="s">
        <v>14</v>
      </c>
      <c r="G93" s="7" t="s">
        <v>401</v>
      </c>
      <c r="H93" s="7">
        <f t="shared" si="4"/>
        <v>750</v>
      </c>
      <c r="I93" s="5"/>
      <c r="J93" s="5">
        <v>7.0</v>
      </c>
      <c r="K93" s="7">
        <f t="shared" si="5"/>
        <v>5250</v>
      </c>
      <c r="L93" s="5">
        <v>3.0</v>
      </c>
      <c r="M93" s="93" t="s">
        <v>224</v>
      </c>
      <c r="N93" s="5" t="s">
        <v>602</v>
      </c>
      <c r="O93" s="7"/>
      <c r="P93" s="7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92">
        <v>250.0</v>
      </c>
      <c r="B94" s="7"/>
      <c r="C94" s="7" t="s">
        <v>110</v>
      </c>
      <c r="D94" s="7" t="s">
        <v>402</v>
      </c>
      <c r="E94" s="7" t="s">
        <v>402</v>
      </c>
      <c r="F94" s="7" t="s">
        <v>22</v>
      </c>
      <c r="G94" s="7" t="s">
        <v>404</v>
      </c>
      <c r="H94" s="7">
        <f t="shared" si="4"/>
        <v>500</v>
      </c>
      <c r="I94" s="7"/>
      <c r="J94" s="5">
        <v>30.0</v>
      </c>
      <c r="K94" s="7">
        <f t="shared" si="5"/>
        <v>15000</v>
      </c>
      <c r="L94" s="7">
        <v>2.0</v>
      </c>
      <c r="M94" s="7"/>
      <c r="N94" s="5" t="s">
        <v>602</v>
      </c>
      <c r="O94" s="7"/>
      <c r="P94" s="7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92">
        <v>250.0</v>
      </c>
      <c r="B95" s="7"/>
      <c r="C95" s="7" t="s">
        <v>110</v>
      </c>
      <c r="D95" s="7" t="s">
        <v>134</v>
      </c>
      <c r="E95" s="7" t="s">
        <v>134</v>
      </c>
      <c r="F95" s="7" t="s">
        <v>14</v>
      </c>
      <c r="G95" s="7" t="s">
        <v>136</v>
      </c>
      <c r="H95" s="7">
        <f t="shared" si="4"/>
        <v>500</v>
      </c>
      <c r="I95" s="7"/>
      <c r="J95" s="5">
        <v>974.0</v>
      </c>
      <c r="K95" s="7">
        <f t="shared" si="5"/>
        <v>487000</v>
      </c>
      <c r="L95" s="7">
        <v>2.0</v>
      </c>
      <c r="M95" s="5" t="s">
        <v>619</v>
      </c>
      <c r="N95" s="5" t="s">
        <v>602</v>
      </c>
      <c r="O95" s="7"/>
      <c r="P95" s="7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92">
        <v>250.0</v>
      </c>
      <c r="B96" s="7"/>
      <c r="C96" s="7" t="s">
        <v>110</v>
      </c>
      <c r="D96" s="7" t="s">
        <v>476</v>
      </c>
      <c r="E96" s="7" t="s">
        <v>476</v>
      </c>
      <c r="F96" s="7" t="s">
        <v>14</v>
      </c>
      <c r="G96" s="7" t="s">
        <v>478</v>
      </c>
      <c r="H96" s="7">
        <f t="shared" si="4"/>
        <v>250</v>
      </c>
      <c r="I96" s="7"/>
      <c r="J96" s="5">
        <v>73.0</v>
      </c>
      <c r="K96" s="7">
        <f t="shared" si="5"/>
        <v>18250</v>
      </c>
      <c r="L96" s="7">
        <v>1.0</v>
      </c>
      <c r="M96" s="93" t="s">
        <v>620</v>
      </c>
      <c r="N96" s="5" t="s">
        <v>602</v>
      </c>
      <c r="O96" s="7"/>
      <c r="P96" s="7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92">
        <v>250.0</v>
      </c>
      <c r="B97" s="7"/>
      <c r="C97" s="7" t="s">
        <v>110</v>
      </c>
      <c r="D97" s="5" t="s">
        <v>621</v>
      </c>
      <c r="E97" s="7" t="s">
        <v>214</v>
      </c>
      <c r="F97" s="7" t="s">
        <v>14</v>
      </c>
      <c r="G97" s="7" t="s">
        <v>216</v>
      </c>
      <c r="H97" s="7">
        <f t="shared" si="4"/>
        <v>500</v>
      </c>
      <c r="I97" s="7"/>
      <c r="J97" s="5">
        <v>155.0</v>
      </c>
      <c r="K97" s="7">
        <f t="shared" si="5"/>
        <v>77500</v>
      </c>
      <c r="L97" s="7">
        <v>2.0</v>
      </c>
      <c r="M97" s="5" t="s">
        <v>123</v>
      </c>
      <c r="N97" s="5" t="s">
        <v>602</v>
      </c>
      <c r="O97" s="7"/>
      <c r="P97" s="7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92">
        <v>250.0</v>
      </c>
      <c r="B98" s="7"/>
      <c r="C98" s="7" t="s">
        <v>110</v>
      </c>
      <c r="D98" s="7" t="s">
        <v>622</v>
      </c>
      <c r="E98" s="7" t="s">
        <v>330</v>
      </c>
      <c r="F98" s="7" t="s">
        <v>14</v>
      </c>
      <c r="G98" s="7" t="s">
        <v>332</v>
      </c>
      <c r="H98" s="7">
        <f t="shared" si="4"/>
        <v>500</v>
      </c>
      <c r="I98" s="7"/>
      <c r="J98" s="5">
        <v>66.25</v>
      </c>
      <c r="K98" s="7">
        <f t="shared" si="5"/>
        <v>33125</v>
      </c>
      <c r="L98" s="7">
        <v>2.0</v>
      </c>
      <c r="M98" s="5" t="s">
        <v>607</v>
      </c>
      <c r="N98" s="5" t="s">
        <v>602</v>
      </c>
      <c r="O98" s="7"/>
      <c r="P98" s="7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92">
        <v>250.0</v>
      </c>
      <c r="B99" s="7"/>
      <c r="C99" s="7" t="s">
        <v>110</v>
      </c>
      <c r="D99" s="7" t="s">
        <v>217</v>
      </c>
      <c r="E99" s="7" t="s">
        <v>218</v>
      </c>
      <c r="F99" s="7" t="s">
        <v>14</v>
      </c>
      <c r="G99" s="7" t="s">
        <v>219</v>
      </c>
      <c r="H99" s="7">
        <f t="shared" si="4"/>
        <v>500</v>
      </c>
      <c r="I99" s="7"/>
      <c r="J99" s="5">
        <v>14.4</v>
      </c>
      <c r="K99" s="7">
        <f t="shared" si="5"/>
        <v>7200</v>
      </c>
      <c r="L99" s="7">
        <v>2.0</v>
      </c>
      <c r="M99" s="7"/>
      <c r="N99" s="5" t="s">
        <v>602</v>
      </c>
      <c r="O99" s="7"/>
      <c r="P99" s="7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92">
        <v>250.0</v>
      </c>
      <c r="B100" s="7"/>
      <c r="C100" s="7" t="s">
        <v>110</v>
      </c>
      <c r="D100" s="7" t="s">
        <v>481</v>
      </c>
      <c r="E100" s="7" t="s">
        <v>481</v>
      </c>
      <c r="F100" s="7" t="s">
        <v>14</v>
      </c>
      <c r="G100" s="7" t="s">
        <v>483</v>
      </c>
      <c r="H100" s="7">
        <f t="shared" si="4"/>
        <v>1000</v>
      </c>
      <c r="I100" s="7"/>
      <c r="J100" s="5">
        <v>236.0</v>
      </c>
      <c r="K100" s="7">
        <f t="shared" si="5"/>
        <v>236000</v>
      </c>
      <c r="L100" s="7">
        <v>4.0</v>
      </c>
      <c r="M100" s="43" t="s">
        <v>623</v>
      </c>
      <c r="N100" s="5" t="s">
        <v>624</v>
      </c>
      <c r="O100" s="7"/>
      <c r="P100" s="7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92">
        <v>250.0</v>
      </c>
      <c r="B101" s="7"/>
      <c r="C101" s="7" t="s">
        <v>110</v>
      </c>
      <c r="D101" s="7" t="s">
        <v>138</v>
      </c>
      <c r="E101" s="7" t="s">
        <v>138</v>
      </c>
      <c r="F101" s="7" t="s">
        <v>14</v>
      </c>
      <c r="G101" s="7" t="s">
        <v>140</v>
      </c>
      <c r="H101" s="7">
        <f t="shared" si="4"/>
        <v>500</v>
      </c>
      <c r="I101" s="7"/>
      <c r="J101" s="5">
        <v>58.0</v>
      </c>
      <c r="K101" s="7">
        <f t="shared" si="5"/>
        <v>29000</v>
      </c>
      <c r="L101" s="7">
        <v>2.0</v>
      </c>
      <c r="M101" s="5" t="s">
        <v>141</v>
      </c>
      <c r="N101" s="5" t="s">
        <v>602</v>
      </c>
      <c r="O101" s="7"/>
      <c r="P101" s="7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92">
        <v>250.0</v>
      </c>
      <c r="B102" s="7"/>
      <c r="C102" s="7" t="s">
        <v>110</v>
      </c>
      <c r="D102" s="7" t="s">
        <v>405</v>
      </c>
      <c r="E102" s="7" t="s">
        <v>405</v>
      </c>
      <c r="F102" s="7" t="s">
        <v>22</v>
      </c>
      <c r="G102" s="7" t="s">
        <v>407</v>
      </c>
      <c r="H102" s="5">
        <v>2000.0</v>
      </c>
      <c r="I102" s="7"/>
      <c r="J102" s="5">
        <v>85.0</v>
      </c>
      <c r="K102" s="7">
        <f t="shared" si="5"/>
        <v>170000</v>
      </c>
      <c r="L102" s="7">
        <v>6.0</v>
      </c>
      <c r="M102" s="7"/>
      <c r="N102" s="5" t="s">
        <v>524</v>
      </c>
      <c r="O102" s="7"/>
      <c r="P102" s="7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92">
        <v>250.0</v>
      </c>
      <c r="B103" s="7"/>
      <c r="C103" s="7" t="s">
        <v>110</v>
      </c>
      <c r="D103" s="7" t="s">
        <v>408</v>
      </c>
      <c r="E103" s="7" t="s">
        <v>408</v>
      </c>
      <c r="F103" s="7" t="s">
        <v>14</v>
      </c>
      <c r="G103" s="7" t="s">
        <v>401</v>
      </c>
      <c r="H103" s="7">
        <f t="shared" ref="H103:H108" si="6">L103*A103</f>
        <v>500</v>
      </c>
      <c r="I103" s="7"/>
      <c r="J103" s="5">
        <v>24.0</v>
      </c>
      <c r="K103" s="7">
        <f t="shared" si="5"/>
        <v>12000</v>
      </c>
      <c r="L103" s="7">
        <v>2.0</v>
      </c>
      <c r="M103" s="5" t="s">
        <v>224</v>
      </c>
      <c r="N103" s="5" t="s">
        <v>602</v>
      </c>
      <c r="O103" s="7"/>
      <c r="P103" s="7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92">
        <v>250.0</v>
      </c>
      <c r="B104" s="7"/>
      <c r="C104" s="7" t="s">
        <v>110</v>
      </c>
      <c r="D104" s="7" t="s">
        <v>625</v>
      </c>
      <c r="E104" s="7" t="s">
        <v>221</v>
      </c>
      <c r="F104" s="7" t="s">
        <v>14</v>
      </c>
      <c r="G104" s="7" t="s">
        <v>223</v>
      </c>
      <c r="H104" s="7">
        <f t="shared" si="6"/>
        <v>750</v>
      </c>
      <c r="I104" s="7"/>
      <c r="J104" s="5">
        <v>55.0</v>
      </c>
      <c r="K104" s="7">
        <f t="shared" si="5"/>
        <v>41250</v>
      </c>
      <c r="L104" s="7">
        <v>3.0</v>
      </c>
      <c r="M104" s="93" t="s">
        <v>224</v>
      </c>
      <c r="N104" s="5" t="s">
        <v>602</v>
      </c>
      <c r="O104" s="7"/>
      <c r="P104" s="7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92">
        <v>250.0</v>
      </c>
      <c r="B105" s="7"/>
      <c r="C105" s="7" t="s">
        <v>110</v>
      </c>
      <c r="D105" s="5" t="s">
        <v>626</v>
      </c>
      <c r="E105" s="5" t="s">
        <v>226</v>
      </c>
      <c r="F105" s="7" t="s">
        <v>14</v>
      </c>
      <c r="G105" s="5"/>
      <c r="H105" s="7">
        <f t="shared" si="6"/>
        <v>250</v>
      </c>
      <c r="I105" s="7"/>
      <c r="J105" s="5">
        <v>52.5</v>
      </c>
      <c r="K105" s="7">
        <f t="shared" si="5"/>
        <v>13125</v>
      </c>
      <c r="L105" s="7">
        <v>1.0</v>
      </c>
      <c r="M105" s="5" t="s">
        <v>627</v>
      </c>
      <c r="N105" s="5" t="s">
        <v>602</v>
      </c>
      <c r="O105" s="7"/>
      <c r="P105" s="7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92">
        <v>250.0</v>
      </c>
      <c r="B106" s="7"/>
      <c r="C106" s="7" t="s">
        <v>110</v>
      </c>
      <c r="D106" s="7" t="s">
        <v>143</v>
      </c>
      <c r="E106" s="7" t="s">
        <v>143</v>
      </c>
      <c r="F106" s="7" t="s">
        <v>14</v>
      </c>
      <c r="G106" s="7" t="s">
        <v>145</v>
      </c>
      <c r="H106" s="7">
        <f t="shared" si="6"/>
        <v>500</v>
      </c>
      <c r="I106" s="7"/>
      <c r="J106" s="5">
        <v>18.75</v>
      </c>
      <c r="K106" s="7">
        <f t="shared" si="5"/>
        <v>9375</v>
      </c>
      <c r="L106" s="7">
        <v>2.0</v>
      </c>
      <c r="M106" s="5" t="s">
        <v>123</v>
      </c>
      <c r="N106" s="5" t="s">
        <v>602</v>
      </c>
      <c r="O106" s="7"/>
      <c r="P106" s="7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92">
        <v>250.0</v>
      </c>
      <c r="B107" s="7"/>
      <c r="C107" s="7" t="s">
        <v>110</v>
      </c>
      <c r="D107" s="7" t="s">
        <v>230</v>
      </c>
      <c r="E107" s="7" t="s">
        <v>231</v>
      </c>
      <c r="F107" s="7" t="s">
        <v>14</v>
      </c>
      <c r="G107" s="7" t="s">
        <v>233</v>
      </c>
      <c r="H107" s="7">
        <f t="shared" si="6"/>
        <v>1750</v>
      </c>
      <c r="I107" s="7"/>
      <c r="J107" s="5">
        <v>1.125</v>
      </c>
      <c r="K107" s="7">
        <f t="shared" si="5"/>
        <v>1968.75</v>
      </c>
      <c r="L107" s="7">
        <v>7.0</v>
      </c>
      <c r="M107" s="7"/>
      <c r="N107" s="5" t="s">
        <v>602</v>
      </c>
      <c r="O107" s="7"/>
      <c r="P107" s="7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92">
        <v>250.0</v>
      </c>
      <c r="B108" s="7"/>
      <c r="C108" s="7" t="s">
        <v>110</v>
      </c>
      <c r="D108" s="7" t="s">
        <v>147</v>
      </c>
      <c r="E108" s="7" t="s">
        <v>147</v>
      </c>
      <c r="F108" s="7" t="s">
        <v>14</v>
      </c>
      <c r="G108" s="7" t="s">
        <v>149</v>
      </c>
      <c r="H108" s="7">
        <f t="shared" si="6"/>
        <v>500</v>
      </c>
      <c r="I108" s="7"/>
      <c r="J108" s="5">
        <v>5.125</v>
      </c>
      <c r="K108" s="7">
        <f t="shared" si="5"/>
        <v>2562.5</v>
      </c>
      <c r="L108" s="7">
        <v>2.0</v>
      </c>
      <c r="M108" s="5" t="s">
        <v>123</v>
      </c>
      <c r="N108" s="5" t="s">
        <v>602</v>
      </c>
      <c r="O108" s="7"/>
      <c r="P108" s="7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6"/>
      <c r="B109" s="7"/>
      <c r="C109" s="7" t="s">
        <v>150</v>
      </c>
      <c r="D109" s="7" t="s">
        <v>235</v>
      </c>
      <c r="E109" s="7"/>
      <c r="F109" s="7" t="s">
        <v>22</v>
      </c>
      <c r="G109" s="7" t="s">
        <v>237</v>
      </c>
      <c r="H109" s="7"/>
      <c r="I109" s="7"/>
      <c r="J109" s="7"/>
      <c r="K109" s="7"/>
      <c r="L109" s="7">
        <v>4.0</v>
      </c>
      <c r="M109" s="7"/>
      <c r="N109" s="7"/>
      <c r="O109" s="7"/>
      <c r="P109" s="7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6"/>
      <c r="B110" s="7"/>
      <c r="C110" s="7" t="s">
        <v>150</v>
      </c>
      <c r="D110" s="7" t="s">
        <v>628</v>
      </c>
      <c r="E110" s="7" t="s">
        <v>152</v>
      </c>
      <c r="F110" s="7" t="s">
        <v>14</v>
      </c>
      <c r="G110" s="7" t="s">
        <v>36</v>
      </c>
      <c r="H110" s="7"/>
      <c r="I110" s="7"/>
      <c r="J110" s="7"/>
      <c r="K110" s="7"/>
      <c r="L110" s="7">
        <v>7.0</v>
      </c>
      <c r="M110" s="7"/>
      <c r="N110" s="7"/>
      <c r="O110" s="7"/>
      <c r="P110" s="7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6"/>
      <c r="B111" s="7"/>
      <c r="C111" s="7" t="s">
        <v>150</v>
      </c>
      <c r="D111" s="7" t="s">
        <v>629</v>
      </c>
      <c r="E111" s="7"/>
      <c r="F111" s="7" t="s">
        <v>14</v>
      </c>
      <c r="G111" s="7" t="s">
        <v>629</v>
      </c>
      <c r="H111" s="7"/>
      <c r="I111" s="7"/>
      <c r="J111" s="7"/>
      <c r="K111" s="7"/>
      <c r="L111" s="7">
        <v>8.0</v>
      </c>
      <c r="M111" s="7"/>
      <c r="N111" s="7"/>
      <c r="O111" s="7"/>
      <c r="P111" s="7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6"/>
      <c r="B112" s="7"/>
      <c r="C112" s="7" t="s">
        <v>150</v>
      </c>
      <c r="D112" s="7" t="s">
        <v>630</v>
      </c>
      <c r="E112" s="7" t="s">
        <v>152</v>
      </c>
      <c r="F112" s="7" t="s">
        <v>14</v>
      </c>
      <c r="G112" s="7" t="s">
        <v>36</v>
      </c>
      <c r="H112" s="7"/>
      <c r="I112" s="7"/>
      <c r="J112" s="7"/>
      <c r="K112" s="7"/>
      <c r="L112" s="7">
        <v>4.0</v>
      </c>
      <c r="M112" s="7"/>
      <c r="N112" s="7"/>
      <c r="O112" s="7"/>
      <c r="P112" s="7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92">
        <v>150.0</v>
      </c>
      <c r="B113" s="7"/>
      <c r="C113" s="7" t="s">
        <v>269</v>
      </c>
      <c r="D113" s="7" t="s">
        <v>631</v>
      </c>
      <c r="E113" s="7" t="s">
        <v>632</v>
      </c>
      <c r="F113" s="7" t="s">
        <v>14</v>
      </c>
      <c r="G113" s="7" t="s">
        <v>633</v>
      </c>
      <c r="H113" s="7">
        <f t="shared" ref="H113:H116" si="7">L113*A113</f>
        <v>150</v>
      </c>
      <c r="I113" s="7"/>
      <c r="J113" s="5">
        <v>93.75</v>
      </c>
      <c r="K113" s="7">
        <f t="shared" ref="K113:K116" si="8">J113*H113</f>
        <v>14062.5</v>
      </c>
      <c r="L113" s="7">
        <v>1.0</v>
      </c>
      <c r="M113" s="7"/>
      <c r="N113" s="5" t="s">
        <v>602</v>
      </c>
      <c r="O113" s="7"/>
      <c r="P113" s="7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92">
        <v>150.0</v>
      </c>
      <c r="B114" s="7"/>
      <c r="C114" s="7" t="s">
        <v>269</v>
      </c>
      <c r="D114" s="7" t="s">
        <v>634</v>
      </c>
      <c r="E114" s="7" t="s">
        <v>635</v>
      </c>
      <c r="F114" s="7" t="s">
        <v>14</v>
      </c>
      <c r="G114" s="7" t="s">
        <v>233</v>
      </c>
      <c r="H114" s="7">
        <f t="shared" si="7"/>
        <v>150</v>
      </c>
      <c r="I114" s="7"/>
      <c r="J114" s="5">
        <v>6.25</v>
      </c>
      <c r="K114" s="7">
        <f t="shared" si="8"/>
        <v>937.5</v>
      </c>
      <c r="L114" s="7">
        <v>1.0</v>
      </c>
      <c r="M114" s="7"/>
      <c r="N114" s="5"/>
      <c r="O114" s="7"/>
      <c r="P114" s="7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92">
        <v>150.0</v>
      </c>
      <c r="B115" s="7"/>
      <c r="C115" s="7" t="s">
        <v>409</v>
      </c>
      <c r="D115" s="7" t="s">
        <v>411</v>
      </c>
      <c r="E115" s="7" t="s">
        <v>411</v>
      </c>
      <c r="F115" s="7" t="s">
        <v>22</v>
      </c>
      <c r="G115" s="7" t="s">
        <v>413</v>
      </c>
      <c r="H115" s="7">
        <f t="shared" si="7"/>
        <v>450</v>
      </c>
      <c r="I115" s="7"/>
      <c r="J115" s="7"/>
      <c r="K115" s="7">
        <f t="shared" si="8"/>
        <v>0</v>
      </c>
      <c r="L115" s="7">
        <v>3.0</v>
      </c>
      <c r="M115" s="7"/>
      <c r="N115" s="7"/>
      <c r="O115" s="7"/>
      <c r="P115" s="7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92">
        <v>150.0</v>
      </c>
      <c r="B116" s="7"/>
      <c r="C116" s="7" t="s">
        <v>409</v>
      </c>
      <c r="D116" s="7" t="s">
        <v>490</v>
      </c>
      <c r="E116" s="7">
        <v>8.25515E7</v>
      </c>
      <c r="F116" s="7" t="s">
        <v>14</v>
      </c>
      <c r="G116" s="7" t="s">
        <v>308</v>
      </c>
      <c r="H116" s="7">
        <f t="shared" si="7"/>
        <v>750</v>
      </c>
      <c r="I116" s="7"/>
      <c r="J116" s="7"/>
      <c r="K116" s="7">
        <f t="shared" si="8"/>
        <v>0</v>
      </c>
      <c r="L116" s="7">
        <v>5.0</v>
      </c>
      <c r="M116" s="5" t="s">
        <v>464</v>
      </c>
      <c r="N116" s="7"/>
      <c r="O116" s="7"/>
      <c r="P116" s="7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6"/>
      <c r="B117" s="7"/>
      <c r="C117" s="7" t="s">
        <v>32</v>
      </c>
      <c r="D117" s="7" t="s">
        <v>33</v>
      </c>
      <c r="E117" s="7"/>
      <c r="F117" s="7" t="s">
        <v>14</v>
      </c>
      <c r="G117" s="7" t="s">
        <v>36</v>
      </c>
      <c r="H117" s="7"/>
      <c r="I117" s="7"/>
      <c r="J117" s="7"/>
      <c r="K117" s="7"/>
      <c r="L117" s="5">
        <v>84.0</v>
      </c>
      <c r="M117" s="7"/>
      <c r="N117" s="7"/>
      <c r="O117" s="7"/>
      <c r="P117" s="7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6"/>
      <c r="B118" s="7"/>
      <c r="C118" s="7" t="s">
        <v>32</v>
      </c>
      <c r="D118" s="7" t="s">
        <v>240</v>
      </c>
      <c r="E118" s="7"/>
      <c r="F118" s="7" t="s">
        <v>14</v>
      </c>
      <c r="G118" s="7" t="s">
        <v>36</v>
      </c>
      <c r="H118" s="7"/>
      <c r="I118" s="7"/>
      <c r="J118" s="7"/>
      <c r="K118" s="7"/>
      <c r="L118" s="7">
        <v>5.0</v>
      </c>
      <c r="M118" s="7"/>
      <c r="N118" s="7"/>
      <c r="O118" s="7"/>
      <c r="P118" s="7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6"/>
      <c r="B119" s="7"/>
      <c r="C119" s="7" t="s">
        <v>32</v>
      </c>
      <c r="D119" s="7" t="s">
        <v>341</v>
      </c>
      <c r="E119" s="7"/>
      <c r="F119" s="7" t="s">
        <v>14</v>
      </c>
      <c r="G119" s="7" t="s">
        <v>36</v>
      </c>
      <c r="H119" s="7"/>
      <c r="I119" s="7"/>
      <c r="J119" s="7"/>
      <c r="K119" s="7"/>
      <c r="L119" s="7">
        <v>12.0</v>
      </c>
      <c r="M119" s="7"/>
      <c r="N119" s="7"/>
      <c r="O119" s="7"/>
      <c r="P119" s="7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6"/>
      <c r="B120" s="7"/>
      <c r="C120" s="7" t="s">
        <v>32</v>
      </c>
      <c r="D120" s="7" t="s">
        <v>636</v>
      </c>
      <c r="E120" s="7"/>
      <c r="F120" s="7" t="s">
        <v>22</v>
      </c>
      <c r="G120" s="7" t="s">
        <v>418</v>
      </c>
      <c r="H120" s="7"/>
      <c r="I120" s="7"/>
      <c r="J120" s="7"/>
      <c r="K120" s="7"/>
      <c r="L120" s="5">
        <v>2.0</v>
      </c>
      <c r="M120" s="7"/>
      <c r="N120" s="7"/>
      <c r="O120" s="7"/>
      <c r="P120" s="7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6"/>
      <c r="B121" s="7"/>
      <c r="C121" s="7" t="s">
        <v>32</v>
      </c>
      <c r="D121" s="7" t="s">
        <v>242</v>
      </c>
      <c r="E121" s="7"/>
      <c r="F121" s="7" t="s">
        <v>14</v>
      </c>
      <c r="G121" s="7" t="s">
        <v>36</v>
      </c>
      <c r="H121" s="7"/>
      <c r="I121" s="7"/>
      <c r="J121" s="7"/>
      <c r="K121" s="7"/>
      <c r="L121" s="7">
        <v>5.0</v>
      </c>
      <c r="M121" s="7"/>
      <c r="N121" s="7"/>
      <c r="O121" s="7"/>
      <c r="P121" s="7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6"/>
      <c r="B122" s="7"/>
      <c r="C122" s="7" t="s">
        <v>32</v>
      </c>
      <c r="D122" s="7" t="s">
        <v>37</v>
      </c>
      <c r="E122" s="7"/>
      <c r="F122" s="7" t="s">
        <v>14</v>
      </c>
      <c r="G122" s="7" t="s">
        <v>36</v>
      </c>
      <c r="H122" s="7"/>
      <c r="I122" s="7"/>
      <c r="J122" s="7"/>
      <c r="K122" s="7"/>
      <c r="L122" s="7">
        <v>63.0</v>
      </c>
      <c r="M122" s="7"/>
      <c r="N122" s="7"/>
      <c r="O122" s="7"/>
      <c r="P122" s="7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6"/>
      <c r="B123" s="7"/>
      <c r="C123" s="7" t="s">
        <v>32</v>
      </c>
      <c r="D123" s="7" t="s">
        <v>39</v>
      </c>
      <c r="E123" s="7"/>
      <c r="F123" s="7" t="s">
        <v>14</v>
      </c>
      <c r="G123" s="7" t="s">
        <v>36</v>
      </c>
      <c r="H123" s="7"/>
      <c r="I123" s="7"/>
      <c r="J123" s="7"/>
      <c r="K123" s="7"/>
      <c r="L123" s="7">
        <v>4.0</v>
      </c>
      <c r="M123" s="7"/>
      <c r="N123" s="7"/>
      <c r="O123" s="7"/>
      <c r="P123" s="7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6"/>
      <c r="B124" s="7"/>
      <c r="C124" s="7" t="s">
        <v>32</v>
      </c>
      <c r="D124" s="7" t="s">
        <v>41</v>
      </c>
      <c r="E124" s="7" t="s">
        <v>34</v>
      </c>
      <c r="F124" s="7" t="s">
        <v>14</v>
      </c>
      <c r="G124" s="7" t="s">
        <v>36</v>
      </c>
      <c r="H124" s="7"/>
      <c r="I124" s="7"/>
      <c r="J124" s="7"/>
      <c r="K124" s="7"/>
      <c r="L124" s="5">
        <v>107.0</v>
      </c>
      <c r="M124" s="7"/>
      <c r="N124" s="7"/>
      <c r="O124" s="7"/>
      <c r="P124" s="7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6"/>
      <c r="B125" s="7"/>
      <c r="C125" s="7" t="s">
        <v>32</v>
      </c>
      <c r="D125" s="7" t="s">
        <v>294</v>
      </c>
      <c r="E125" s="7"/>
      <c r="F125" s="7" t="s">
        <v>14</v>
      </c>
      <c r="G125" s="7" t="s">
        <v>36</v>
      </c>
      <c r="H125" s="7"/>
      <c r="I125" s="7"/>
      <c r="J125" s="7"/>
      <c r="K125" s="7"/>
      <c r="L125" s="7">
        <v>4.0</v>
      </c>
      <c r="M125" s="7"/>
      <c r="N125" s="7"/>
      <c r="O125" s="7"/>
      <c r="P125" s="7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6"/>
      <c r="B126" s="7"/>
      <c r="C126" s="7" t="s">
        <v>32</v>
      </c>
      <c r="D126" s="7" t="s">
        <v>43</v>
      </c>
      <c r="E126" s="7"/>
      <c r="F126" s="7" t="s">
        <v>14</v>
      </c>
      <c r="G126" s="7" t="s">
        <v>36</v>
      </c>
      <c r="H126" s="7"/>
      <c r="I126" s="7"/>
      <c r="J126" s="7"/>
      <c r="K126" s="7"/>
      <c r="L126" s="7">
        <v>20.0</v>
      </c>
      <c r="M126" s="7"/>
      <c r="N126" s="7"/>
      <c r="O126" s="7"/>
      <c r="P126" s="7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6"/>
      <c r="B127" s="7"/>
      <c r="C127" s="7" t="s">
        <v>32</v>
      </c>
      <c r="D127" s="7" t="s">
        <v>246</v>
      </c>
      <c r="E127" s="7"/>
      <c r="F127" s="7" t="s">
        <v>14</v>
      </c>
      <c r="G127" s="7" t="s">
        <v>36</v>
      </c>
      <c r="H127" s="7"/>
      <c r="I127" s="7"/>
      <c r="J127" s="7"/>
      <c r="K127" s="7"/>
      <c r="L127" s="7">
        <v>6.0</v>
      </c>
      <c r="M127" s="7"/>
      <c r="N127" s="7"/>
      <c r="O127" s="7"/>
      <c r="P127" s="7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6"/>
      <c r="B128" s="7"/>
      <c r="C128" s="7" t="s">
        <v>32</v>
      </c>
      <c r="D128" s="7" t="s">
        <v>45</v>
      </c>
      <c r="E128" s="7"/>
      <c r="F128" s="7" t="s">
        <v>14</v>
      </c>
      <c r="G128" s="7" t="s">
        <v>36</v>
      </c>
      <c r="H128" s="7"/>
      <c r="I128" s="7"/>
      <c r="J128" s="7"/>
      <c r="K128" s="7"/>
      <c r="L128" s="7">
        <v>4.0</v>
      </c>
      <c r="M128" s="7"/>
      <c r="N128" s="7"/>
      <c r="O128" s="7"/>
      <c r="P128" s="7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6"/>
      <c r="B129" s="7"/>
      <c r="C129" s="7" t="s">
        <v>32</v>
      </c>
      <c r="D129" s="7" t="s">
        <v>421</v>
      </c>
      <c r="E129" s="7"/>
      <c r="F129" s="7" t="s">
        <v>14</v>
      </c>
      <c r="G129" s="7" t="s">
        <v>423</v>
      </c>
      <c r="H129" s="7"/>
      <c r="I129" s="7"/>
      <c r="J129" s="7"/>
      <c r="K129" s="7"/>
      <c r="L129" s="7">
        <v>6.0</v>
      </c>
      <c r="M129" s="7"/>
      <c r="N129" s="7"/>
      <c r="O129" s="7"/>
      <c r="P129" s="7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6"/>
      <c r="B130" s="7"/>
      <c r="C130" s="7" t="s">
        <v>32</v>
      </c>
      <c r="D130" s="7" t="s">
        <v>348</v>
      </c>
      <c r="E130" s="7"/>
      <c r="F130" s="7" t="s">
        <v>14</v>
      </c>
      <c r="G130" s="7" t="s">
        <v>36</v>
      </c>
      <c r="H130" s="7"/>
      <c r="I130" s="7"/>
      <c r="J130" s="7"/>
      <c r="K130" s="7"/>
      <c r="L130" s="7">
        <v>4.0</v>
      </c>
      <c r="M130" s="7"/>
      <c r="N130" s="7"/>
      <c r="O130" s="7"/>
      <c r="P130" s="7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6"/>
      <c r="B131" s="7"/>
      <c r="C131" s="7" t="s">
        <v>32</v>
      </c>
      <c r="D131" s="7" t="s">
        <v>424</v>
      </c>
      <c r="E131" s="7"/>
      <c r="F131" s="7" t="s">
        <v>14</v>
      </c>
      <c r="G131" s="7" t="s">
        <v>36</v>
      </c>
      <c r="H131" s="7"/>
      <c r="I131" s="7"/>
      <c r="J131" s="7"/>
      <c r="K131" s="7"/>
      <c r="L131" s="7">
        <v>4.0</v>
      </c>
      <c r="M131" s="7"/>
      <c r="N131" s="7"/>
      <c r="O131" s="7"/>
      <c r="P131" s="7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6"/>
      <c r="B132" s="7"/>
      <c r="C132" s="7" t="s">
        <v>32</v>
      </c>
      <c r="D132" s="7" t="s">
        <v>248</v>
      </c>
      <c r="E132" s="7"/>
      <c r="F132" s="7" t="s">
        <v>14</v>
      </c>
      <c r="G132" s="7" t="s">
        <v>36</v>
      </c>
      <c r="H132" s="7"/>
      <c r="I132" s="7"/>
      <c r="J132" s="7"/>
      <c r="K132" s="7"/>
      <c r="L132" s="7">
        <v>7.0</v>
      </c>
      <c r="M132" s="7"/>
      <c r="N132" s="7"/>
      <c r="O132" s="7"/>
      <c r="P132" s="7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6"/>
      <c r="B133" s="7"/>
      <c r="C133" s="7" t="s">
        <v>32</v>
      </c>
      <c r="D133" s="7" t="s">
        <v>250</v>
      </c>
      <c r="E133" s="7"/>
      <c r="F133" s="7" t="s">
        <v>14</v>
      </c>
      <c r="G133" s="7" t="s">
        <v>36</v>
      </c>
      <c r="H133" s="7"/>
      <c r="I133" s="7"/>
      <c r="J133" s="7"/>
      <c r="K133" s="7"/>
      <c r="L133" s="7">
        <v>3.0</v>
      </c>
      <c r="M133" s="7"/>
      <c r="N133" s="7"/>
      <c r="O133" s="7"/>
      <c r="P133" s="7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6"/>
      <c r="B134" s="7"/>
      <c r="C134" s="7" t="s">
        <v>32</v>
      </c>
      <c r="D134" s="7" t="s">
        <v>47</v>
      </c>
      <c r="E134" s="7"/>
      <c r="F134" s="7" t="s">
        <v>14</v>
      </c>
      <c r="G134" s="7" t="s">
        <v>36</v>
      </c>
      <c r="H134" s="7"/>
      <c r="I134" s="7"/>
      <c r="J134" s="7"/>
      <c r="K134" s="7"/>
      <c r="L134" s="5">
        <v>31.0</v>
      </c>
      <c r="M134" s="7"/>
      <c r="N134" s="7"/>
      <c r="O134" s="7"/>
      <c r="P134" s="7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6"/>
      <c r="B135" s="7"/>
      <c r="C135" s="7" t="s">
        <v>32</v>
      </c>
      <c r="D135" s="7" t="s">
        <v>426</v>
      </c>
      <c r="E135" s="7"/>
      <c r="F135" s="7" t="s">
        <v>14</v>
      </c>
      <c r="G135" s="7" t="s">
        <v>36</v>
      </c>
      <c r="H135" s="7"/>
      <c r="I135" s="7"/>
      <c r="J135" s="7"/>
      <c r="K135" s="7"/>
      <c r="L135" s="7">
        <v>2.0</v>
      </c>
      <c r="M135" s="7"/>
      <c r="N135" s="7"/>
      <c r="O135" s="7"/>
      <c r="P135" s="7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6"/>
      <c r="B136" s="7"/>
      <c r="C136" s="7" t="s">
        <v>32</v>
      </c>
      <c r="D136" s="7" t="s">
        <v>428</v>
      </c>
      <c r="E136" s="7"/>
      <c r="F136" s="7" t="s">
        <v>14</v>
      </c>
      <c r="G136" s="7" t="s">
        <v>36</v>
      </c>
      <c r="H136" s="7"/>
      <c r="I136" s="7"/>
      <c r="J136" s="7"/>
      <c r="K136" s="7"/>
      <c r="L136" s="5">
        <v>7.0</v>
      </c>
      <c r="M136" s="7"/>
      <c r="N136" s="7"/>
      <c r="O136" s="7"/>
      <c r="P136" s="7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6"/>
      <c r="B137" s="7"/>
      <c r="C137" s="7" t="s">
        <v>32</v>
      </c>
      <c r="D137" s="7" t="s">
        <v>253</v>
      </c>
      <c r="E137" s="7"/>
      <c r="F137" s="7" t="s">
        <v>14</v>
      </c>
      <c r="G137" s="7" t="s">
        <v>36</v>
      </c>
      <c r="H137" s="7"/>
      <c r="I137" s="7"/>
      <c r="J137" s="7"/>
      <c r="K137" s="7"/>
      <c r="L137" s="7">
        <v>2.0</v>
      </c>
      <c r="M137" s="7"/>
      <c r="N137" s="7"/>
      <c r="O137" s="7"/>
      <c r="P137" s="7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6"/>
      <c r="B138" s="7"/>
      <c r="C138" s="7" t="s">
        <v>32</v>
      </c>
      <c r="D138" s="7" t="s">
        <v>49</v>
      </c>
      <c r="E138" s="7"/>
      <c r="F138" s="7" t="s">
        <v>14</v>
      </c>
      <c r="G138" s="7" t="s">
        <v>36</v>
      </c>
      <c r="H138" s="7"/>
      <c r="I138" s="7"/>
      <c r="J138" s="7"/>
      <c r="K138" s="7"/>
      <c r="L138" s="7">
        <v>8.0</v>
      </c>
      <c r="M138" s="7"/>
      <c r="N138" s="7"/>
      <c r="O138" s="7"/>
      <c r="P138" s="7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6"/>
      <c r="B139" s="7"/>
      <c r="C139" s="7" t="s">
        <v>32</v>
      </c>
      <c r="D139" s="7" t="s">
        <v>255</v>
      </c>
      <c r="E139" s="7"/>
      <c r="F139" s="7" t="s">
        <v>14</v>
      </c>
      <c r="G139" s="7" t="s">
        <v>36</v>
      </c>
      <c r="H139" s="7"/>
      <c r="I139" s="7"/>
      <c r="J139" s="7"/>
      <c r="K139" s="7"/>
      <c r="L139" s="7">
        <v>8.0</v>
      </c>
      <c r="M139" s="7"/>
      <c r="N139" s="7"/>
      <c r="O139" s="7"/>
      <c r="P139" s="7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6"/>
      <c r="B140" s="7"/>
      <c r="C140" s="7" t="s">
        <v>32</v>
      </c>
      <c r="D140" s="7" t="s">
        <v>496</v>
      </c>
      <c r="E140" s="7" t="s">
        <v>34</v>
      </c>
      <c r="F140" s="7" t="s">
        <v>14</v>
      </c>
      <c r="G140" s="7" t="s">
        <v>36</v>
      </c>
      <c r="H140" s="7"/>
      <c r="I140" s="7"/>
      <c r="J140" s="7"/>
      <c r="K140" s="7"/>
      <c r="L140" s="7">
        <v>1.0</v>
      </c>
      <c r="M140" s="7"/>
      <c r="N140" s="7"/>
      <c r="O140" s="7"/>
      <c r="P140" s="7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6"/>
      <c r="B141" s="7"/>
      <c r="C141" s="7" t="s">
        <v>32</v>
      </c>
      <c r="D141" s="7" t="s">
        <v>51</v>
      </c>
      <c r="E141" s="7"/>
      <c r="F141" s="7" t="s">
        <v>14</v>
      </c>
      <c r="G141" s="7" t="s">
        <v>36</v>
      </c>
      <c r="H141" s="7"/>
      <c r="I141" s="7"/>
      <c r="J141" s="7"/>
      <c r="K141" s="7"/>
      <c r="L141" s="7">
        <v>4.0</v>
      </c>
      <c r="M141" s="7"/>
      <c r="N141" s="7"/>
      <c r="O141" s="7"/>
      <c r="P141" s="7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6"/>
      <c r="B142" s="7"/>
      <c r="C142" s="7" t="s">
        <v>32</v>
      </c>
      <c r="D142" s="7" t="s">
        <v>498</v>
      </c>
      <c r="E142" s="7">
        <v>5.6011E11</v>
      </c>
      <c r="F142" s="7" t="s">
        <v>14</v>
      </c>
      <c r="G142" s="7" t="s">
        <v>36</v>
      </c>
      <c r="H142" s="7"/>
      <c r="I142" s="7"/>
      <c r="J142" s="7"/>
      <c r="K142" s="7"/>
      <c r="L142" s="7">
        <v>4.0</v>
      </c>
      <c r="M142" s="7"/>
      <c r="N142" s="7"/>
      <c r="O142" s="7"/>
      <c r="P142" s="7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6"/>
      <c r="B143" s="7"/>
      <c r="C143" s="7" t="s">
        <v>431</v>
      </c>
      <c r="D143" s="7" t="s">
        <v>432</v>
      </c>
      <c r="E143" s="7"/>
      <c r="F143" s="7" t="s">
        <v>22</v>
      </c>
      <c r="G143" s="7" t="s">
        <v>434</v>
      </c>
      <c r="H143" s="7"/>
      <c r="I143" s="7"/>
      <c r="J143" s="7"/>
      <c r="K143" s="7"/>
      <c r="L143" s="7">
        <v>3.0</v>
      </c>
      <c r="M143" s="7"/>
      <c r="N143" s="7"/>
      <c r="O143" s="7"/>
      <c r="P143" s="7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6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6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6"/>
      <c r="B146" s="7"/>
      <c r="C146" s="7"/>
      <c r="D146" s="7"/>
      <c r="E146" s="5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6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6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6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6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6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6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6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6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6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6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6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6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6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6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6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6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6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6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6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6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6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6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6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6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6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6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6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6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6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6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6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6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6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6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6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6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6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6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6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6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6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6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6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6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6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6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6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6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6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6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6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6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6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6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6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6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6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6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6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6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6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6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6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6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6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6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6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6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6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6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6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6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6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6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6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6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6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6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6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6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6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6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6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6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6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6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6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6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6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6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6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6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6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6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6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6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6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6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6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6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6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6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6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6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6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6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6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6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6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6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6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6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6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6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6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6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6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6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6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6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6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6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6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6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6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6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6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6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6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6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6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6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6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6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6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6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6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6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6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6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6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6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6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6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6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6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6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6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6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6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6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6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6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6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6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6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6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6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6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6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6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6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6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6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6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6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6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6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6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6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6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6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6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6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6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6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6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6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6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6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6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6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6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6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6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6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6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6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6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6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6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6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6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6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6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6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6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6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6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6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6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6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6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6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6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6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6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6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6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6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6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6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6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6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6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6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6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6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6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6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6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6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6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6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6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6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6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6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6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6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6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6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6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6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6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6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6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6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6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6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6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6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6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6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6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6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6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6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6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6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6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6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6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6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6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6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6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6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6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6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6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6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6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6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6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6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6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6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6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6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6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6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6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6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6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6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6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6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6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6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6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6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6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6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6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6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6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6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6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6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6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6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6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6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6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6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6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6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6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6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6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6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6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6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6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6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6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6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6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6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6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6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6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6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6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6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6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6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6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6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6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6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6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6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6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6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6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6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6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6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6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6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6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6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6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6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6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6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6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6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6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6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6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6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6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6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6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6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6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6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6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6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6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6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6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6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6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6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6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6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6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6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6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6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6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6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6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6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6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6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6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6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6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6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6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6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6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6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6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6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6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6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6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6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6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6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6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6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6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6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6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6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6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6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6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6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6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6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6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6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6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6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6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6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6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6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6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6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6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6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6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6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6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6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6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6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6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6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6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6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6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6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6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6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6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6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6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6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6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6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6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6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6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6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6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6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6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6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6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6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6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6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6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6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6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6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6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6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6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6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6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6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6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6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6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6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6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6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6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6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6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6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6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6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6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6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6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6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6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6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6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6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6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6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6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6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6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6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6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6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6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6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6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6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6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6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6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6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6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6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6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6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6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6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6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6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6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6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6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6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6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6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6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6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6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6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6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6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6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6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6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6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6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6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6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6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6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6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6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6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6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6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6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6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6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6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6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6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6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6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6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6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6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6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6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6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6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6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6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6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6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6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6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6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6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6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6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6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6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6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6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6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6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6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6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6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6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6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6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6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6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6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6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6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6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6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6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6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6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6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6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6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6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6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6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6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6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6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6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6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6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6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6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6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6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6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6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6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6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6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6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6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6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6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6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6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6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6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6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6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6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6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6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6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6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6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6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6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6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6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6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6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6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6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6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6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6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6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6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6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6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6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6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6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6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6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6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6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6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6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6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6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6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6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6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6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6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6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6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6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6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6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6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6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6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6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6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6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6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6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6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6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6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6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6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6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6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6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6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6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6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6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6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6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6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6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6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6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6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6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6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6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6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6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6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6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6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6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6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6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6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6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6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6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6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6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6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6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6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6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6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6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6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6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6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6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6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6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6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6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6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6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6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6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6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6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6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6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6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6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6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6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6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6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6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6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6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6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6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6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6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6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6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6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6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6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6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6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6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6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6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6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6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6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6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6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6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6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6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6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6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6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6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6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6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6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6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6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6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6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6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6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6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6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6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6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6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6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6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6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6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6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6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6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6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6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6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6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6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6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6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6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6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6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6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6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6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6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6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6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6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6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6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6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6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6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6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6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6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6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6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6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6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6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6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6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6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6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6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6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6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6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6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6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6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6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6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6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6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6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6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6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6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6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6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6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6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6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6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6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6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6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6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6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6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6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6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6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6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6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6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6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6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6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6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6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6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6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6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6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6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6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6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6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6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6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6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6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6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6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6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>
      <c r="A1001" s="6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</row>
    <row r="1002">
      <c r="A1002" s="6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</row>
    <row r="1003">
      <c r="A1003" s="6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</row>
    <row r="1004">
      <c r="A1004" s="6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</row>
    <row r="1005">
      <c r="A1005" s="6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</row>
    <row r="1006">
      <c r="A1006" s="6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</row>
    <row r="1007">
      <c r="A1007" s="6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</row>
    <row r="1008">
      <c r="A1008" s="6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</row>
    <row r="1009">
      <c r="A1009" s="6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</row>
    <row r="1010">
      <c r="A1010" s="6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</row>
    <row r="1011">
      <c r="A1011" s="6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</row>
    <row r="1012">
      <c r="A1012" s="6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</row>
    <row r="1013">
      <c r="A1013" s="6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</row>
    <row r="1014">
      <c r="A1014" s="6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</row>
    <row r="1015">
      <c r="A1015" s="6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</row>
    <row r="1016">
      <c r="A1016" s="6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</row>
    <row r="1017">
      <c r="A1017" s="6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</row>
    <row r="1018">
      <c r="A1018" s="6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</row>
    <row r="1019">
      <c r="A1019" s="6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</row>
    <row r="1020">
      <c r="A1020" s="6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</row>
    <row r="1021">
      <c r="A1021" s="6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</row>
    <row r="1022">
      <c r="A1022" s="6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</row>
    <row r="1023">
      <c r="A1023" s="6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</row>
    <row r="1024">
      <c r="A1024" s="6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</row>
    <row r="1025">
      <c r="A1025" s="6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</row>
    <row r="1026">
      <c r="A1026" s="6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</row>
    <row r="1027">
      <c r="A1027" s="6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</row>
    <row r="1028">
      <c r="A1028" s="6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</row>
    <row r="1029">
      <c r="A1029" s="6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</row>
    <row r="1030">
      <c r="A1030" s="6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</row>
    <row r="1031">
      <c r="A1031" s="6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</row>
    <row r="1032">
      <c r="A1032" s="6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</row>
    <row r="1033">
      <c r="A1033" s="6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</row>
    <row r="1034">
      <c r="A1034" s="6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</row>
    <row r="1035">
      <c r="A1035" s="6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</row>
    <row r="1036">
      <c r="A1036" s="6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</row>
    <row r="1037">
      <c r="A1037" s="6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</row>
    <row r="1038">
      <c r="A1038" s="6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</row>
    <row r="1039">
      <c r="A1039" s="6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</row>
    <row r="1040">
      <c r="A1040" s="6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</row>
    <row r="1041">
      <c r="A1041" s="6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</row>
    <row r="1042">
      <c r="A1042" s="6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</row>
    <row r="1043">
      <c r="A1043" s="6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</row>
    <row r="1044">
      <c r="A1044" s="6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</row>
    <row r="1045">
      <c r="A1045" s="6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</row>
    <row r="1046">
      <c r="A1046" s="6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</row>
    <row r="1047">
      <c r="A1047" s="6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</row>
    <row r="1048">
      <c r="A1048" s="6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</row>
    <row r="1049">
      <c r="A1049" s="6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</row>
    <row r="1050">
      <c r="A1050" s="6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</row>
    <row r="1051">
      <c r="A1051" s="6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</row>
    <row r="1052">
      <c r="A1052" s="6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</row>
    <row r="1053">
      <c r="A1053" s="6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</row>
    <row r="1054">
      <c r="A1054" s="6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</row>
    <row r="1055">
      <c r="A1055" s="6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</row>
    <row r="1056">
      <c r="A1056" s="6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</row>
    <row r="1057">
      <c r="A1057" s="6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</row>
    <row r="1058">
      <c r="A1058" s="6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</row>
    <row r="1059">
      <c r="A1059" s="6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</row>
    <row r="1060">
      <c r="A1060" s="6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</row>
    <row r="1061">
      <c r="A1061" s="6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</row>
    <row r="1062">
      <c r="A1062" s="6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</row>
    <row r="1063">
      <c r="A1063" s="6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</row>
    <row r="1064">
      <c r="A1064" s="6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</row>
    <row r="1065">
      <c r="A1065" s="6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</row>
    <row r="1066">
      <c r="A1066" s="6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</row>
    <row r="1067">
      <c r="A1067" s="6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</row>
    <row r="1068">
      <c r="A1068" s="6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</row>
    <row r="1069">
      <c r="A1069" s="6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</row>
    <row r="1070">
      <c r="A1070" s="6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</row>
    <row r="1071">
      <c r="A1071" s="6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</row>
    <row r="1072">
      <c r="A1072" s="6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</row>
    <row r="1073">
      <c r="A1073" s="6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</row>
    <row r="1074">
      <c r="A1074" s="6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</row>
    <row r="1075">
      <c r="A1075" s="6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</row>
    <row r="1076">
      <c r="A1076" s="6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</row>
    <row r="1077">
      <c r="A1077" s="6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</row>
    <row r="1078">
      <c r="A1078" s="6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</row>
    <row r="1079">
      <c r="A1079" s="6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</row>
    <row r="1080">
      <c r="A1080" s="6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</row>
    <row r="1081">
      <c r="A1081" s="6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</row>
    <row r="1082">
      <c r="A1082" s="6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</row>
    <row r="1083">
      <c r="A1083" s="6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</row>
    <row r="1084">
      <c r="A1084" s="6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</row>
    <row r="1085">
      <c r="A1085" s="6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</row>
    <row r="1086">
      <c r="A1086" s="6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</row>
    <row r="1087">
      <c r="A1087" s="6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</row>
    <row r="1088">
      <c r="A1088" s="6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</row>
    <row r="1089">
      <c r="A1089" s="6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</row>
    <row r="1090">
      <c r="A1090" s="6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</row>
    <row r="1091">
      <c r="A1091" s="6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</row>
    <row r="1092">
      <c r="A1092" s="6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</row>
    <row r="1093">
      <c r="A1093" s="6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</row>
    <row r="1094">
      <c r="A1094" s="6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</row>
    <row r="1095">
      <c r="A1095" s="6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</row>
    <row r="1096">
      <c r="A1096" s="6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</row>
    <row r="1097">
      <c r="A1097" s="6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</row>
    <row r="1098">
      <c r="A1098" s="6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</row>
    <row r="1099">
      <c r="A1099" s="6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</row>
    <row r="1100">
      <c r="A1100" s="6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</row>
    <row r="1101">
      <c r="A1101" s="6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</row>
    <row r="1102">
      <c r="A1102" s="6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</row>
    <row r="1103">
      <c r="A1103" s="6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</row>
    <row r="1104">
      <c r="A1104" s="6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</row>
    <row r="1105">
      <c r="A1105" s="6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</row>
    <row r="1106">
      <c r="A1106" s="6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</row>
    <row r="1107">
      <c r="A1107" s="6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</row>
    <row r="1108">
      <c r="A1108" s="6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</row>
    <row r="1109">
      <c r="A1109" s="6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</row>
    <row r="1110">
      <c r="A1110" s="6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</row>
    <row r="1111">
      <c r="A1111" s="6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</row>
    <row r="1112">
      <c r="A1112" s="6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</row>
    <row r="1113">
      <c r="A1113" s="6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</row>
    <row r="1114">
      <c r="A1114" s="6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</row>
    <row r="1115">
      <c r="A1115" s="6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</row>
    <row r="1116">
      <c r="A1116" s="6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</row>
    <row r="1117">
      <c r="A1117" s="6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</row>
    <row r="1118">
      <c r="A1118" s="6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</row>
    <row r="1119">
      <c r="A1119" s="6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</row>
    <row r="1120">
      <c r="A1120" s="6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</row>
    <row r="1121">
      <c r="A1121" s="6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</row>
    <row r="1122">
      <c r="A1122" s="6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</row>
    <row r="1123">
      <c r="A1123" s="6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</row>
    <row r="1124">
      <c r="A1124" s="6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</row>
    <row r="1125">
      <c r="A1125" s="6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</row>
    <row r="1126">
      <c r="A1126" s="6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</row>
    <row r="1127">
      <c r="A1127" s="6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</row>
    <row r="1128">
      <c r="A1128" s="6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</row>
    <row r="1129">
      <c r="A1129" s="6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</row>
    <row r="1130">
      <c r="A1130" s="6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</row>
    <row r="1131">
      <c r="A1131" s="6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</row>
    <row r="1132">
      <c r="A1132" s="6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</row>
    <row r="1133">
      <c r="A1133" s="6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</row>
    <row r="1134">
      <c r="A1134" s="6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</row>
    <row r="1135">
      <c r="A1135" s="6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</row>
    <row r="1136">
      <c r="A1136" s="6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</row>
    <row r="1137">
      <c r="A1137" s="6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</row>
    <row r="1138">
      <c r="A1138" s="6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</row>
    <row r="1139">
      <c r="A1139" s="6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</row>
    <row r="1140">
      <c r="A1140" s="6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</row>
    <row r="1141">
      <c r="A1141" s="6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</row>
    <row r="1142">
      <c r="A1142" s="6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</row>
    <row r="1143">
      <c r="A1143" s="6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</row>
    <row r="1144">
      <c r="A1144" s="6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</row>
    <row r="1145">
      <c r="A1145" s="6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</row>
    <row r="1146">
      <c r="A1146" s="6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</row>
    <row r="1147">
      <c r="A1147" s="6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</row>
    <row r="1148">
      <c r="A1148" s="6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</row>
    <row r="1149">
      <c r="A1149" s="6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</row>
    <row r="1150">
      <c r="A1150" s="6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</row>
    <row r="1151">
      <c r="A1151" s="6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</row>
    <row r="1152">
      <c r="A1152" s="6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</row>
    <row r="1153">
      <c r="A1153" s="6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</row>
    <row r="1154">
      <c r="A1154" s="6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</row>
    <row r="1155">
      <c r="A1155" s="6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</row>
    <row r="1156">
      <c r="A1156" s="6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</row>
    <row r="1157">
      <c r="A1157" s="6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</row>
    <row r="1158">
      <c r="A1158" s="6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</row>
    <row r="1159">
      <c r="A1159" s="6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</row>
    <row r="1160">
      <c r="A1160" s="6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</row>
    <row r="1161">
      <c r="A1161" s="6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</row>
    <row r="1162">
      <c r="A1162" s="6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</row>
    <row r="1163">
      <c r="A1163" s="6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</row>
    <row r="1164">
      <c r="A1164" s="6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</row>
    <row r="1165">
      <c r="A1165" s="6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</row>
    <row r="1166">
      <c r="A1166" s="6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</row>
    <row r="1167">
      <c r="A1167" s="6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</row>
    <row r="1168">
      <c r="A1168" s="6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</row>
    <row r="1169">
      <c r="A1169" s="6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</row>
    <row r="1170">
      <c r="A1170" s="6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</row>
    <row r="1171">
      <c r="A1171" s="6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</row>
    <row r="1172">
      <c r="A1172" s="6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</row>
    <row r="1173">
      <c r="A1173" s="6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</row>
    <row r="1174">
      <c r="A1174" s="6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</row>
    <row r="1175">
      <c r="A1175" s="6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</row>
    <row r="1176">
      <c r="A1176" s="6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</row>
    <row r="1177">
      <c r="A1177" s="6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</row>
    <row r="1178">
      <c r="A1178" s="6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</row>
    <row r="1179">
      <c r="A1179" s="6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</row>
    <row r="1180">
      <c r="A1180" s="6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</row>
    <row r="1181">
      <c r="A1181" s="6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</row>
    <row r="1182">
      <c r="A1182" s="6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</row>
    <row r="1183">
      <c r="A1183" s="6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</row>
    <row r="1184">
      <c r="A1184" s="6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</row>
    <row r="1185">
      <c r="A1185" s="6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</row>
    <row r="1186">
      <c r="A1186" s="6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</row>
    <row r="1187">
      <c r="A1187" s="6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</row>
    <row r="1188">
      <c r="A1188" s="6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</row>
    <row r="1189">
      <c r="A1189" s="6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</row>
    <row r="1190">
      <c r="A1190" s="6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</row>
    <row r="1191">
      <c r="A1191" s="6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</row>
    <row r="1192">
      <c r="A1192" s="6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</row>
    <row r="1193">
      <c r="A1193" s="6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</row>
    <row r="1194">
      <c r="A1194" s="6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</row>
    <row r="1195">
      <c r="A1195" s="6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</row>
    <row r="1196">
      <c r="A1196" s="6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</row>
    <row r="1197">
      <c r="A1197" s="6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</row>
    <row r="1198">
      <c r="A1198" s="6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</row>
    <row r="1199">
      <c r="A1199" s="6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</row>
    <row r="1200">
      <c r="A1200" s="6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</row>
    <row r="1201">
      <c r="A1201" s="6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</row>
    <row r="1202">
      <c r="A1202" s="6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</row>
    <row r="1203">
      <c r="A1203" s="6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</row>
    <row r="1204">
      <c r="A1204" s="6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</row>
    <row r="1205">
      <c r="A1205" s="6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</row>
    <row r="1206">
      <c r="A1206" s="6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</row>
    <row r="1207">
      <c r="A1207" s="6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</row>
    <row r="1208">
      <c r="A1208" s="6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</row>
    <row r="1209">
      <c r="A1209" s="6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</row>
    <row r="1210">
      <c r="A1210" s="6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</row>
    <row r="1211">
      <c r="A1211" s="6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</row>
    <row r="1212">
      <c r="A1212" s="6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</row>
    <row r="1213">
      <c r="A1213" s="6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</row>
    <row r="1214">
      <c r="A1214" s="6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</row>
    <row r="1215">
      <c r="A1215" s="6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</row>
    <row r="1216">
      <c r="A1216" s="6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</row>
    <row r="1217">
      <c r="A1217" s="6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</row>
    <row r="1218">
      <c r="A1218" s="6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</row>
    <row r="1219">
      <c r="A1219" s="6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</row>
    <row r="1220">
      <c r="A1220" s="6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</row>
    <row r="1221">
      <c r="A1221" s="6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</row>
    <row r="1222">
      <c r="A1222" s="6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</row>
    <row r="1223">
      <c r="A1223" s="6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</row>
    <row r="1224">
      <c r="A1224" s="6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</row>
    <row r="1225">
      <c r="A1225" s="6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</row>
    <row r="1226">
      <c r="A1226" s="6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</row>
    <row r="1227">
      <c r="A1227" s="6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</row>
    <row r="1228">
      <c r="A1228" s="6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</row>
    <row r="1229">
      <c r="A1229" s="6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</row>
    <row r="1230">
      <c r="A1230" s="6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</row>
    <row r="1231">
      <c r="A1231" s="6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</row>
    <row r="1232">
      <c r="A1232" s="6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</row>
    <row r="1233">
      <c r="A1233" s="6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</row>
    <row r="1234">
      <c r="A1234" s="6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</row>
    <row r="1235">
      <c r="A1235" s="6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</row>
    <row r="1236">
      <c r="A1236" s="6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</row>
    <row r="1237">
      <c r="A1237" s="6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</row>
    <row r="1238">
      <c r="A1238" s="6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</row>
    <row r="1239">
      <c r="A1239" s="6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</row>
    <row r="1240">
      <c r="A1240" s="6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</row>
    <row r="1241">
      <c r="A1241" s="6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</row>
    <row r="1242">
      <c r="A1242" s="6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</row>
    <row r="1243">
      <c r="A1243" s="6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</row>
    <row r="1244">
      <c r="A1244" s="6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</row>
    <row r="1245">
      <c r="A1245" s="6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</row>
    <row r="1246">
      <c r="A1246" s="6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</row>
    <row r="1247">
      <c r="A1247" s="6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</row>
    <row r="1248">
      <c r="A1248" s="6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</row>
    <row r="1249">
      <c r="A1249" s="6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</row>
    <row r="1250">
      <c r="A1250" s="6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</row>
    <row r="1251">
      <c r="A1251" s="6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</row>
    <row r="1252">
      <c r="A1252" s="6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</row>
    <row r="1253">
      <c r="A1253" s="6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</row>
    <row r="1254">
      <c r="A1254" s="6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</row>
    <row r="1255">
      <c r="A1255" s="6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</row>
    <row r="1256">
      <c r="A1256" s="6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</row>
    <row r="1257">
      <c r="A1257" s="6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</row>
    <row r="1258">
      <c r="A1258" s="6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</row>
    <row r="1259">
      <c r="A1259" s="6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</row>
    <row r="1260">
      <c r="A1260" s="6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</row>
    <row r="1261">
      <c r="A1261" s="6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</row>
    <row r="1262">
      <c r="A1262" s="6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</row>
    <row r="1263">
      <c r="A1263" s="6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</row>
    <row r="1264">
      <c r="A1264" s="6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</row>
    <row r="1265">
      <c r="A1265" s="6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</row>
    <row r="1266">
      <c r="A1266" s="6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</row>
    <row r="1267">
      <c r="A1267" s="6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</row>
    <row r="1268">
      <c r="A1268" s="6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</row>
    <row r="1269">
      <c r="A1269" s="6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</row>
    <row r="1270">
      <c r="A1270" s="6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</row>
    <row r="1271">
      <c r="A1271" s="6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</row>
    <row r="1272">
      <c r="A1272" s="6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</row>
    <row r="1273">
      <c r="A1273" s="6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</row>
    <row r="1274">
      <c r="A1274" s="6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</row>
    <row r="1275">
      <c r="A1275" s="6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</row>
    <row r="1276">
      <c r="A1276" s="6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</row>
    <row r="1277">
      <c r="A1277" s="6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</row>
    <row r="1278">
      <c r="A1278" s="6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</row>
    <row r="1279">
      <c r="A1279" s="6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</row>
    <row r="1280">
      <c r="A1280" s="6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</row>
    <row r="1281">
      <c r="A1281" s="6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</row>
    <row r="1282">
      <c r="A1282" s="6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</row>
    <row r="1283">
      <c r="A1283" s="6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</row>
    <row r="1284">
      <c r="A1284" s="6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</row>
    <row r="1285">
      <c r="A1285" s="6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</row>
    <row r="1286">
      <c r="A1286" s="6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</row>
    <row r="1287">
      <c r="A1287" s="6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</row>
    <row r="1288">
      <c r="A1288" s="6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</row>
    <row r="1289">
      <c r="A1289" s="6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</row>
    <row r="1290">
      <c r="A1290" s="6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</row>
    <row r="1291">
      <c r="A1291" s="6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</row>
    <row r="1292">
      <c r="A1292" s="6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</row>
    <row r="1293">
      <c r="A1293" s="6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</row>
    <row r="1294">
      <c r="A1294" s="6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</row>
    <row r="1295">
      <c r="A1295" s="6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</row>
    <row r="1296">
      <c r="A1296" s="6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</row>
    <row r="1297">
      <c r="A1297" s="6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</row>
    <row r="1298">
      <c r="A1298" s="6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</row>
    <row r="1299">
      <c r="A1299" s="6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</row>
    <row r="1300">
      <c r="A1300" s="6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</row>
    <row r="1301">
      <c r="A1301" s="6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</row>
    <row r="1302">
      <c r="A1302" s="6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</row>
    <row r="1303">
      <c r="A1303" s="6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</row>
    <row r="1304">
      <c r="A1304" s="6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</row>
    <row r="1305">
      <c r="A1305" s="6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</row>
    <row r="1306">
      <c r="A1306" s="6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</row>
    <row r="1307">
      <c r="A1307" s="6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</row>
    <row r="1308">
      <c r="A1308" s="6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</row>
    <row r="1309">
      <c r="A1309" s="6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</row>
    <row r="1310">
      <c r="A1310" s="6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</row>
    <row r="1311">
      <c r="A1311" s="6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</row>
    <row r="1312">
      <c r="A1312" s="6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</row>
    <row r="1313">
      <c r="A1313" s="6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</row>
    <row r="1314">
      <c r="A1314" s="6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</row>
    <row r="1315">
      <c r="A1315" s="6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</row>
    <row r="1316">
      <c r="A1316" s="6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</row>
    <row r="1317">
      <c r="A1317" s="6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</row>
    <row r="1318">
      <c r="A1318" s="6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</row>
    <row r="1319">
      <c r="A1319" s="6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</row>
    <row r="1320">
      <c r="A1320" s="6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</row>
    <row r="1321">
      <c r="A1321" s="6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</row>
    <row r="1322">
      <c r="A1322" s="6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</row>
    <row r="1323">
      <c r="A1323" s="6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</row>
    <row r="1324">
      <c r="A1324" s="6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</row>
    <row r="1325">
      <c r="A1325" s="6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</row>
    <row r="1326">
      <c r="A1326" s="6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</row>
    <row r="1327">
      <c r="A1327" s="6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</row>
    <row r="1328">
      <c r="A1328" s="6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</row>
    <row r="1329">
      <c r="A1329" s="6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</row>
    <row r="1330">
      <c r="A1330" s="6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</row>
    <row r="1331">
      <c r="A1331" s="6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</row>
    <row r="1332">
      <c r="A1332" s="6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</row>
    <row r="1333">
      <c r="A1333" s="6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</row>
    <row r="1334">
      <c r="A1334" s="6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</row>
    <row r="1335">
      <c r="A1335" s="6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</row>
    <row r="1336">
      <c r="A1336" s="6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</row>
    <row r="1337">
      <c r="A1337" s="6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</row>
    <row r="1338">
      <c r="A1338" s="6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</row>
    <row r="1339">
      <c r="A1339" s="6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</row>
    <row r="1340">
      <c r="A1340" s="6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</row>
    <row r="1341">
      <c r="A1341" s="6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</row>
    <row r="1342">
      <c r="A1342" s="6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</row>
    <row r="1343">
      <c r="A1343" s="6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</row>
    <row r="1344">
      <c r="A1344" s="6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</row>
    <row r="1345">
      <c r="A1345" s="6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</row>
    <row r="1346">
      <c r="A1346" s="6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</row>
    <row r="1347">
      <c r="A1347" s="6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</row>
    <row r="1348">
      <c r="A1348" s="6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</row>
    <row r="1349">
      <c r="A1349" s="6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</row>
    <row r="1350">
      <c r="A1350" s="6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</row>
    <row r="1351">
      <c r="A1351" s="6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</row>
    <row r="1352">
      <c r="A1352" s="6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</row>
    <row r="1353">
      <c r="A1353" s="6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</row>
    <row r="1354">
      <c r="A1354" s="6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</row>
    <row r="1355">
      <c r="A1355" s="6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</row>
    <row r="1356">
      <c r="A1356" s="6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</row>
    <row r="1357">
      <c r="A1357" s="6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</row>
    <row r="1358">
      <c r="A1358" s="6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</row>
    <row r="1359">
      <c r="A1359" s="6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</row>
    <row r="1360">
      <c r="A1360" s="6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</row>
    <row r="1361">
      <c r="A1361" s="6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</row>
    <row r="1362">
      <c r="A1362" s="6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</row>
    <row r="1363">
      <c r="A1363" s="6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</row>
    <row r="1364">
      <c r="A1364" s="6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</row>
    <row r="1365">
      <c r="A1365" s="6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</row>
    <row r="1366">
      <c r="A1366" s="6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</row>
    <row r="1367">
      <c r="A1367" s="6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</row>
    <row r="1368">
      <c r="A1368" s="6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</row>
    <row r="1369">
      <c r="A1369" s="6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</row>
    <row r="1370">
      <c r="A1370" s="6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</row>
    <row r="1371">
      <c r="A1371" s="6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</row>
    <row r="1372">
      <c r="A1372" s="6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</row>
    <row r="1373">
      <c r="A1373" s="6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</row>
    <row r="1374">
      <c r="A1374" s="6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</row>
    <row r="1375">
      <c r="A1375" s="6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</row>
    <row r="1376">
      <c r="A1376" s="6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</row>
    <row r="1377">
      <c r="A1377" s="6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</row>
    <row r="1378">
      <c r="A1378" s="6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</row>
    <row r="1379">
      <c r="A1379" s="6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</row>
    <row r="1380">
      <c r="A1380" s="6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</row>
    <row r="1381">
      <c r="A1381" s="6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</row>
    <row r="1382">
      <c r="A1382" s="6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</row>
    <row r="1383">
      <c r="A1383" s="6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</row>
    <row r="1384">
      <c r="A1384" s="6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</row>
    <row r="1385">
      <c r="A1385" s="6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</row>
    <row r="1386">
      <c r="A1386" s="6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</row>
    <row r="1387">
      <c r="A1387" s="6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</row>
    <row r="1388">
      <c r="A1388" s="6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</row>
    <row r="1389">
      <c r="A1389" s="6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</row>
    <row r="1390">
      <c r="A1390" s="6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</row>
    <row r="1391">
      <c r="A1391" s="6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</row>
    <row r="1392">
      <c r="A1392" s="6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</row>
    <row r="1393">
      <c r="A1393" s="6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</row>
    <row r="1394">
      <c r="A1394" s="6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</row>
    <row r="1395">
      <c r="A1395" s="6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</row>
    <row r="1396">
      <c r="A1396" s="6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</row>
    <row r="1397">
      <c r="A1397" s="6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</row>
    <row r="1398">
      <c r="A1398" s="6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</row>
    <row r="1399">
      <c r="A1399" s="6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</row>
    <row r="1400">
      <c r="A1400" s="6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</row>
    <row r="1401">
      <c r="A1401" s="6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</row>
    <row r="1402">
      <c r="A1402" s="6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</row>
    <row r="1403">
      <c r="A1403" s="6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</row>
    <row r="1404">
      <c r="A1404" s="6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</row>
    <row r="1405">
      <c r="A1405" s="6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</row>
    <row r="1406">
      <c r="A1406" s="6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</row>
    <row r="1407">
      <c r="A1407" s="6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</row>
    <row r="1408">
      <c r="A1408" s="6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</row>
    <row r="1409">
      <c r="A1409" s="6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</row>
    <row r="1410">
      <c r="A1410" s="6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</row>
    <row r="1411">
      <c r="A1411" s="6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</row>
    <row r="1412">
      <c r="A1412" s="6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</row>
    <row r="1413">
      <c r="A1413" s="6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</row>
    <row r="1414">
      <c r="A1414" s="6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</row>
    <row r="1415">
      <c r="A1415" s="6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</row>
    <row r="1416">
      <c r="A1416" s="6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</row>
    <row r="1417">
      <c r="A1417" s="6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</row>
    <row r="1418">
      <c r="A1418" s="6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</row>
    <row r="1419">
      <c r="A1419" s="6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</row>
    <row r="1420">
      <c r="A1420" s="6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</row>
    <row r="1421">
      <c r="A1421" s="6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</row>
    <row r="1422">
      <c r="A1422" s="6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</row>
    <row r="1423">
      <c r="A1423" s="6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</row>
    <row r="1424">
      <c r="A1424" s="6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</row>
    <row r="1425">
      <c r="A1425" s="6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</row>
    <row r="1426">
      <c r="A1426" s="6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</row>
    <row r="1427">
      <c r="A1427" s="6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</row>
    <row r="1428">
      <c r="A1428" s="6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</row>
    <row r="1429">
      <c r="A1429" s="6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</row>
    <row r="1430">
      <c r="A1430" s="6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</row>
    <row r="1431">
      <c r="A1431" s="6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</row>
    <row r="1432">
      <c r="A1432" s="6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</row>
    <row r="1433">
      <c r="A1433" s="6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</row>
    <row r="1434">
      <c r="A1434" s="6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</row>
    <row r="1435">
      <c r="A1435" s="6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</row>
    <row r="1436">
      <c r="A1436" s="6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</row>
    <row r="1437">
      <c r="A1437" s="6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</row>
    <row r="1438">
      <c r="A1438" s="6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</row>
    <row r="1439">
      <c r="A1439" s="6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</row>
    <row r="1440">
      <c r="A1440" s="6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</row>
    <row r="1441">
      <c r="A1441" s="6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</row>
    <row r="1442">
      <c r="A1442" s="6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</row>
    <row r="1443">
      <c r="A1443" s="6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</row>
    <row r="1444">
      <c r="A1444" s="6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</row>
    <row r="1445">
      <c r="A1445" s="6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</row>
    <row r="1446">
      <c r="A1446" s="6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</row>
    <row r="1447">
      <c r="A1447" s="6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</row>
    <row r="1448">
      <c r="A1448" s="6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</row>
    <row r="1449">
      <c r="A1449" s="6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</row>
    <row r="1450">
      <c r="A1450" s="6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</row>
    <row r="1451">
      <c r="A1451" s="6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</row>
    <row r="1452">
      <c r="A1452" s="6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</row>
    <row r="1453">
      <c r="A1453" s="6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</row>
    <row r="1454">
      <c r="A1454" s="6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</row>
    <row r="1455">
      <c r="A1455" s="6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</row>
    <row r="1456">
      <c r="A1456" s="6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</row>
    <row r="1457">
      <c r="A1457" s="6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</row>
    <row r="1458">
      <c r="A1458" s="6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</row>
    <row r="1459">
      <c r="A1459" s="6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</row>
    <row r="1460">
      <c r="A1460" s="6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</row>
    <row r="1461">
      <c r="A1461" s="6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</row>
    <row r="1462">
      <c r="A1462" s="6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</row>
    <row r="1463">
      <c r="A1463" s="6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</row>
    <row r="1464">
      <c r="A1464" s="6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</row>
    <row r="1465">
      <c r="A1465" s="6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</row>
    <row r="1466">
      <c r="A1466" s="6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</row>
    <row r="1467">
      <c r="A1467" s="6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</row>
    <row r="1468">
      <c r="A1468" s="6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</row>
    <row r="1469">
      <c r="A1469" s="6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</row>
    <row r="1470">
      <c r="A1470" s="6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</row>
    <row r="1471">
      <c r="A1471" s="6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</row>
    <row r="1472">
      <c r="A1472" s="6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</row>
    <row r="1473">
      <c r="A1473" s="6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</row>
    <row r="1474">
      <c r="A1474" s="6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</row>
    <row r="1475">
      <c r="A1475" s="6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</row>
    <row r="1476">
      <c r="A1476" s="6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</row>
    <row r="1477">
      <c r="A1477" s="6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</row>
    <row r="1478">
      <c r="A1478" s="6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</row>
    <row r="1479">
      <c r="A1479" s="6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</row>
    <row r="1480">
      <c r="A1480" s="6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</row>
    <row r="1481">
      <c r="A1481" s="6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</row>
    <row r="1482">
      <c r="A1482" s="6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</row>
    <row r="1483">
      <c r="A1483" s="6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</row>
    <row r="1484">
      <c r="A1484" s="6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</row>
    <row r="1485">
      <c r="A1485" s="6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</row>
    <row r="1486">
      <c r="A1486" s="6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</row>
    <row r="1487">
      <c r="A1487" s="6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</row>
    <row r="1488">
      <c r="A1488" s="6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</row>
    <row r="1489">
      <c r="A1489" s="6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</row>
    <row r="1490">
      <c r="A1490" s="6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</row>
    <row r="1491">
      <c r="A1491" s="6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</row>
    <row r="1492">
      <c r="A1492" s="6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</row>
    <row r="1493">
      <c r="A1493" s="6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</row>
    <row r="1494">
      <c r="A1494" s="6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</row>
    <row r="1495">
      <c r="A1495" s="6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</row>
    <row r="1496">
      <c r="A1496" s="6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</row>
    <row r="1497">
      <c r="A1497" s="6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</row>
    <row r="1498">
      <c r="A1498" s="6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</row>
    <row r="1499">
      <c r="A1499" s="6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</row>
    <row r="1500">
      <c r="A1500" s="6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</row>
    <row r="1501">
      <c r="A1501" s="6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</row>
    <row r="1502">
      <c r="A1502" s="6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</row>
    <row r="1503">
      <c r="A1503" s="6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</row>
    <row r="1504">
      <c r="A1504" s="6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</row>
    <row r="1505">
      <c r="A1505" s="6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</row>
    <row r="1506">
      <c r="A1506" s="6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</row>
    <row r="1507">
      <c r="A1507" s="6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</row>
    <row r="1508">
      <c r="A1508" s="6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</row>
    <row r="1509">
      <c r="A1509" s="6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</row>
    <row r="1510">
      <c r="A1510" s="6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</row>
    <row r="1511">
      <c r="A1511" s="6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</row>
    <row r="1512">
      <c r="A1512" s="6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</row>
    <row r="1513">
      <c r="A1513" s="6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</row>
    <row r="1514">
      <c r="A1514" s="6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</row>
    <row r="1515">
      <c r="A1515" s="6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</row>
    <row r="1516">
      <c r="A1516" s="6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</row>
    <row r="1517">
      <c r="A1517" s="6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</row>
    <row r="1518">
      <c r="A1518" s="6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</row>
    <row r="1519">
      <c r="A1519" s="6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</row>
    <row r="1520">
      <c r="A1520" s="6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</row>
    <row r="1521">
      <c r="A1521" s="6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</row>
    <row r="1522">
      <c r="A1522" s="6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</row>
    <row r="1523">
      <c r="A1523" s="6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</row>
    <row r="1524">
      <c r="A1524" s="6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</row>
    <row r="1525">
      <c r="A1525" s="6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</row>
    <row r="1526">
      <c r="A1526" s="6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</row>
    <row r="1527">
      <c r="A1527" s="6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</row>
    <row r="1528">
      <c r="A1528" s="6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</row>
    <row r="1529">
      <c r="A1529" s="6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</row>
    <row r="1530">
      <c r="A1530" s="6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</row>
    <row r="1531">
      <c r="A1531" s="6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</row>
    <row r="1532">
      <c r="A1532" s="6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</row>
    <row r="1533">
      <c r="A1533" s="6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</row>
    <row r="1534">
      <c r="A1534" s="6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</row>
    <row r="1535">
      <c r="A1535" s="6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</row>
    <row r="1536">
      <c r="A1536" s="6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</row>
    <row r="1537">
      <c r="A1537" s="6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</row>
    <row r="1538">
      <c r="A1538" s="6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</row>
    <row r="1539">
      <c r="A1539" s="6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</row>
    <row r="1540">
      <c r="A1540" s="6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</row>
    <row r="1541">
      <c r="A1541" s="6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</row>
    <row r="1542">
      <c r="A1542" s="6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</row>
    <row r="1543">
      <c r="A1543" s="6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</row>
    <row r="1544">
      <c r="A1544" s="6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</row>
    <row r="1545">
      <c r="A1545" s="6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</row>
    <row r="1546">
      <c r="A1546" s="6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</row>
    <row r="1547">
      <c r="A1547" s="6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</row>
    <row r="1548">
      <c r="A1548" s="6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</row>
    <row r="1549">
      <c r="A1549" s="6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</row>
    <row r="1550">
      <c r="A1550" s="6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</row>
    <row r="1551">
      <c r="A1551" s="6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</row>
    <row r="1552">
      <c r="A1552" s="6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</row>
    <row r="1553">
      <c r="A1553" s="6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</row>
    <row r="1554">
      <c r="A1554" s="6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</row>
    <row r="1555">
      <c r="A1555" s="6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</row>
    <row r="1556">
      <c r="A1556" s="6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</row>
    <row r="1557">
      <c r="A1557" s="6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</row>
    <row r="1558">
      <c r="A1558" s="6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</row>
    <row r="1559">
      <c r="A1559" s="6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</row>
    <row r="1560">
      <c r="A1560" s="6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</row>
    <row r="1561">
      <c r="A1561" s="6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</row>
    <row r="1562">
      <c r="A1562" s="6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</row>
    <row r="1563">
      <c r="A1563" s="6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</row>
    <row r="1564">
      <c r="A1564" s="6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</row>
    <row r="1565">
      <c r="A1565" s="6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</row>
    <row r="1566">
      <c r="A1566" s="6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</row>
    <row r="1567">
      <c r="A1567" s="6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</row>
    <row r="1568">
      <c r="A1568" s="6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</row>
    <row r="1569">
      <c r="A1569" s="6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</row>
    <row r="1570">
      <c r="A1570" s="6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</row>
    <row r="1571">
      <c r="A1571" s="6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</row>
    <row r="1572">
      <c r="A1572" s="6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</row>
    <row r="1573">
      <c r="A1573" s="6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</row>
    <row r="1574">
      <c r="A1574" s="6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</row>
    <row r="1575">
      <c r="A1575" s="6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</row>
    <row r="1576">
      <c r="A1576" s="6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</row>
    <row r="1577">
      <c r="A1577" s="6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</row>
    <row r="1578">
      <c r="A1578" s="6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</row>
    <row r="1579">
      <c r="A1579" s="6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</row>
    <row r="1580">
      <c r="A1580" s="6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</row>
    <row r="1581">
      <c r="A1581" s="6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</row>
    <row r="1582">
      <c r="A1582" s="6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</row>
    <row r="1583">
      <c r="A1583" s="6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</row>
    <row r="1584">
      <c r="A1584" s="6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</row>
    <row r="1585">
      <c r="A1585" s="6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</row>
    <row r="1586">
      <c r="A1586" s="6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</row>
    <row r="1587">
      <c r="A1587" s="6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</row>
    <row r="1588">
      <c r="A1588" s="6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</row>
    <row r="1589">
      <c r="A1589" s="6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</row>
    <row r="1590">
      <c r="A1590" s="6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</row>
    <row r="1591">
      <c r="A1591" s="6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</row>
    <row r="1592">
      <c r="A1592" s="6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</row>
    <row r="1593">
      <c r="A1593" s="6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</row>
    <row r="1594">
      <c r="A1594" s="6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</row>
    <row r="1595">
      <c r="A1595" s="6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</row>
    <row r="1596">
      <c r="A1596" s="6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</row>
    <row r="1597">
      <c r="A1597" s="6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</row>
    <row r="1598">
      <c r="A1598" s="6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</row>
    <row r="1599">
      <c r="A1599" s="6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</row>
    <row r="1600">
      <c r="A1600" s="6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</row>
    <row r="1601">
      <c r="A1601" s="6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</row>
    <row r="1602">
      <c r="A1602" s="6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</row>
    <row r="1603">
      <c r="A1603" s="6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</row>
    <row r="1604">
      <c r="A1604" s="6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</row>
    <row r="1605">
      <c r="A1605" s="6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</row>
    <row r="1606">
      <c r="A1606" s="6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</row>
    <row r="1607">
      <c r="A1607" s="6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</row>
    <row r="1608">
      <c r="A1608" s="6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</row>
    <row r="1609">
      <c r="A1609" s="6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</row>
    <row r="1610">
      <c r="A1610" s="6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</row>
    <row r="1611">
      <c r="A1611" s="6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</row>
    <row r="1612">
      <c r="A1612" s="6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</row>
    <row r="1613">
      <c r="A1613" s="6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</row>
    <row r="1614">
      <c r="A1614" s="6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</row>
    <row r="1615">
      <c r="A1615" s="6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</row>
    <row r="1616">
      <c r="A1616" s="6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</row>
    <row r="1617">
      <c r="A1617" s="6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</row>
    <row r="1618">
      <c r="A1618" s="6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</row>
    <row r="1619">
      <c r="A1619" s="6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</row>
    <row r="1620">
      <c r="A1620" s="6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</row>
    <row r="1621">
      <c r="A1621" s="6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</row>
    <row r="1622">
      <c r="A1622" s="6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</row>
    <row r="1623">
      <c r="A1623" s="6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</row>
    <row r="1624">
      <c r="A1624" s="6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</row>
    <row r="1625">
      <c r="A1625" s="6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</row>
    <row r="1626">
      <c r="A1626" s="6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</row>
    <row r="1627">
      <c r="A1627" s="6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</row>
    <row r="1628">
      <c r="A1628" s="6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</row>
    <row r="1629">
      <c r="A1629" s="6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</row>
    <row r="1630">
      <c r="A1630" s="6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</row>
    <row r="1631">
      <c r="A1631" s="6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</row>
    <row r="1632">
      <c r="A1632" s="6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</row>
    <row r="1633">
      <c r="A1633" s="6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</row>
    <row r="1634">
      <c r="A1634" s="6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</row>
    <row r="1635">
      <c r="A1635" s="6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</row>
    <row r="1636">
      <c r="A1636" s="6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</row>
    <row r="1637">
      <c r="A1637" s="6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</row>
    <row r="1638">
      <c r="A1638" s="6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</row>
    <row r="1639">
      <c r="A1639" s="6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</row>
    <row r="1640">
      <c r="A1640" s="6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</row>
    <row r="1641">
      <c r="A1641" s="6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</row>
    <row r="1642">
      <c r="A1642" s="6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</row>
    <row r="1643">
      <c r="A1643" s="6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</row>
    <row r="1644">
      <c r="A1644" s="6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</row>
    <row r="1645">
      <c r="A1645" s="6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</row>
    <row r="1646">
      <c r="A1646" s="6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</row>
    <row r="1647">
      <c r="A1647" s="6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</row>
    <row r="1648">
      <c r="A1648" s="6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</row>
    <row r="1649">
      <c r="A1649" s="6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</row>
    <row r="1650">
      <c r="A1650" s="6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</row>
    <row r="1651">
      <c r="A1651" s="6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</row>
    <row r="1652">
      <c r="A1652" s="6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</row>
    <row r="1653">
      <c r="A1653" s="6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</row>
    <row r="1654">
      <c r="A1654" s="6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</row>
    <row r="1655">
      <c r="A1655" s="6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</row>
    <row r="1656">
      <c r="A1656" s="6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</row>
    <row r="1657">
      <c r="A1657" s="6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</row>
    <row r="1658">
      <c r="A1658" s="6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</row>
    <row r="1659">
      <c r="A1659" s="6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</row>
    <row r="1660">
      <c r="A1660" s="6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</row>
    <row r="1661">
      <c r="A1661" s="6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</row>
    <row r="1662">
      <c r="A1662" s="6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</row>
    <row r="1663">
      <c r="A1663" s="6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</row>
    <row r="1664">
      <c r="A1664" s="6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</row>
    <row r="1665">
      <c r="A1665" s="6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</row>
    <row r="1666">
      <c r="A1666" s="6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</row>
    <row r="1667">
      <c r="A1667" s="6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</row>
    <row r="1668">
      <c r="A1668" s="6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</row>
    <row r="1669">
      <c r="A1669" s="6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</row>
    <row r="1670">
      <c r="A1670" s="6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</row>
    <row r="1671">
      <c r="A1671" s="6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</row>
    <row r="1672">
      <c r="A1672" s="6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</row>
    <row r="1673">
      <c r="A1673" s="6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</row>
    <row r="1674">
      <c r="A1674" s="6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</row>
    <row r="1675">
      <c r="A1675" s="6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</row>
    <row r="1676">
      <c r="A1676" s="6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</row>
    <row r="1677">
      <c r="A1677" s="6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</row>
    <row r="1678">
      <c r="A1678" s="6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</row>
    <row r="1679">
      <c r="A1679" s="6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</row>
    <row r="1680">
      <c r="A1680" s="6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</row>
    <row r="1681">
      <c r="A1681" s="6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</row>
    <row r="1682">
      <c r="A1682" s="6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</row>
    <row r="1683">
      <c r="A1683" s="6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</row>
    <row r="1684">
      <c r="A1684" s="6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</row>
    <row r="1685">
      <c r="A1685" s="6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</row>
    <row r="1686">
      <c r="A1686" s="6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</row>
    <row r="1687">
      <c r="A1687" s="6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</row>
    <row r="1688">
      <c r="A1688" s="6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</row>
    <row r="1689">
      <c r="A1689" s="6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</row>
    <row r="1690">
      <c r="A1690" s="6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</row>
    <row r="1691">
      <c r="A1691" s="6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</row>
    <row r="1692">
      <c r="A1692" s="6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</row>
    <row r="1693">
      <c r="A1693" s="6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</row>
    <row r="1694">
      <c r="A1694" s="6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</row>
    <row r="1695">
      <c r="A1695" s="6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</row>
    <row r="1696">
      <c r="A1696" s="6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</row>
    <row r="1697">
      <c r="A1697" s="6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</row>
    <row r="1698">
      <c r="A1698" s="6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</row>
    <row r="1699">
      <c r="A1699" s="6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</row>
    <row r="1700">
      <c r="A1700" s="6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</row>
    <row r="1701">
      <c r="A1701" s="6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</row>
    <row r="1702">
      <c r="A1702" s="6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</row>
    <row r="1703">
      <c r="A1703" s="6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</row>
    <row r="1704">
      <c r="A1704" s="6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</row>
    <row r="1705">
      <c r="A1705" s="6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</row>
    <row r="1706">
      <c r="A1706" s="6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</row>
    <row r="1707">
      <c r="A1707" s="6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</row>
    <row r="1708">
      <c r="A1708" s="6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</row>
    <row r="1709">
      <c r="A1709" s="6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</row>
    <row r="1710">
      <c r="A1710" s="6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</row>
    <row r="1711">
      <c r="A1711" s="6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</row>
    <row r="1712">
      <c r="A1712" s="6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</row>
    <row r="1713">
      <c r="A1713" s="6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</row>
    <row r="1714">
      <c r="A1714" s="6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</row>
    <row r="1715">
      <c r="A1715" s="6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</row>
    <row r="1716">
      <c r="A1716" s="6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</row>
    <row r="1717">
      <c r="A1717" s="6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</row>
    <row r="1718">
      <c r="A1718" s="6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</row>
    <row r="1719">
      <c r="A1719" s="6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</row>
    <row r="1720">
      <c r="A1720" s="6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</row>
    <row r="1721">
      <c r="A1721" s="6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</row>
    <row r="1722">
      <c r="A1722" s="6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</row>
    <row r="1723">
      <c r="A1723" s="6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</row>
    <row r="1724">
      <c r="A1724" s="6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</row>
    <row r="1725">
      <c r="A1725" s="6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</row>
    <row r="1726">
      <c r="A1726" s="6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</row>
    <row r="1727">
      <c r="A1727" s="6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</row>
    <row r="1728">
      <c r="A1728" s="6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</row>
    <row r="1729">
      <c r="A1729" s="6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</row>
    <row r="1730">
      <c r="A1730" s="6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</row>
    <row r="1731">
      <c r="A1731" s="6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</row>
    <row r="1732">
      <c r="A1732" s="6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</row>
    <row r="1733">
      <c r="A1733" s="6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</row>
    <row r="1734">
      <c r="A1734" s="6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</row>
    <row r="1735">
      <c r="A1735" s="6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</row>
    <row r="1736">
      <c r="A1736" s="6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</row>
    <row r="1737">
      <c r="A1737" s="6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</row>
    <row r="1738">
      <c r="A1738" s="6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</row>
    <row r="1739">
      <c r="A1739" s="6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</row>
    <row r="1740">
      <c r="A1740" s="6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</row>
    <row r="1741">
      <c r="A1741" s="6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</row>
    <row r="1742">
      <c r="A1742" s="6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</row>
    <row r="1743">
      <c r="A1743" s="6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</row>
    <row r="1744">
      <c r="A1744" s="6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</row>
    <row r="1745">
      <c r="A1745" s="6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</row>
    <row r="1746">
      <c r="A1746" s="6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</row>
    <row r="1747">
      <c r="A1747" s="6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</row>
    <row r="1748">
      <c r="A1748" s="6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</row>
    <row r="1749">
      <c r="A1749" s="6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</row>
    <row r="1750">
      <c r="A1750" s="6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</row>
    <row r="1751">
      <c r="A1751" s="6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</row>
    <row r="1752">
      <c r="A1752" s="6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</row>
    <row r="1753">
      <c r="A1753" s="6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</row>
    <row r="1754">
      <c r="A1754" s="6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</row>
    <row r="1755">
      <c r="A1755" s="6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</row>
    <row r="1756">
      <c r="A1756" s="6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</row>
    <row r="1757">
      <c r="A1757" s="6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</row>
    <row r="1758">
      <c r="A1758" s="6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</row>
    <row r="1759">
      <c r="A1759" s="6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</row>
    <row r="1760">
      <c r="A1760" s="6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</row>
    <row r="1761">
      <c r="A1761" s="6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</row>
    <row r="1762">
      <c r="A1762" s="6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</row>
    <row r="1763">
      <c r="A1763" s="6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</row>
    <row r="1764">
      <c r="A1764" s="6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</row>
    <row r="1765">
      <c r="A1765" s="6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</row>
    <row r="1766">
      <c r="A1766" s="6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</row>
    <row r="1767">
      <c r="A1767" s="6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</row>
    <row r="1768">
      <c r="A1768" s="6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</row>
    <row r="1769">
      <c r="A1769" s="6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</row>
    <row r="1770">
      <c r="A1770" s="6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</row>
    <row r="1771">
      <c r="A1771" s="6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</row>
    <row r="1772">
      <c r="A1772" s="6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</row>
    <row r="1773">
      <c r="A1773" s="6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</row>
    <row r="1774">
      <c r="A1774" s="6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</row>
    <row r="1775">
      <c r="A1775" s="6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</row>
    <row r="1776">
      <c r="A1776" s="6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</row>
    <row r="1777">
      <c r="A1777" s="6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</row>
    <row r="1778">
      <c r="A1778" s="6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</row>
    <row r="1779">
      <c r="A1779" s="6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</row>
    <row r="1780">
      <c r="A1780" s="6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</row>
    <row r="1781">
      <c r="A1781" s="6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</row>
    <row r="1782">
      <c r="A1782" s="6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</row>
    <row r="1783">
      <c r="A1783" s="6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</row>
    <row r="1784">
      <c r="A1784" s="6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</row>
    <row r="1785">
      <c r="A1785" s="6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</row>
    <row r="1786">
      <c r="A1786" s="6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</row>
    <row r="1787">
      <c r="A1787" s="6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</row>
    <row r="1788">
      <c r="A1788" s="6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</row>
    <row r="1789">
      <c r="A1789" s="6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</row>
    <row r="1790">
      <c r="A1790" s="6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</row>
    <row r="1791">
      <c r="A1791" s="6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</row>
    <row r="1792">
      <c r="A1792" s="6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</row>
    <row r="1793">
      <c r="A1793" s="6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</row>
    <row r="1794">
      <c r="A1794" s="6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</row>
    <row r="1795">
      <c r="A1795" s="6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</row>
    <row r="1796">
      <c r="A1796" s="6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</row>
    <row r="1797">
      <c r="A1797" s="6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</row>
    <row r="1798">
      <c r="A1798" s="6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</row>
    <row r="1799">
      <c r="A1799" s="6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</row>
    <row r="1800">
      <c r="A1800" s="6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</row>
    <row r="1801">
      <c r="A1801" s="6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</row>
    <row r="1802">
      <c r="A1802" s="6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</row>
    <row r="1803">
      <c r="A1803" s="6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</row>
    <row r="1804">
      <c r="A1804" s="6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</row>
    <row r="1805">
      <c r="A1805" s="6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</row>
    <row r="1806">
      <c r="A1806" s="6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</row>
    <row r="1807">
      <c r="A1807" s="6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</row>
    <row r="1808">
      <c r="A1808" s="6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</row>
    <row r="1809">
      <c r="A1809" s="6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</row>
    <row r="1810">
      <c r="A1810" s="6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</row>
    <row r="1811">
      <c r="A1811" s="6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</row>
    <row r="1812">
      <c r="A1812" s="6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</row>
    <row r="1813">
      <c r="A1813" s="6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</row>
    <row r="1814">
      <c r="A1814" s="6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</row>
    <row r="1815">
      <c r="A1815" s="6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</row>
    <row r="1816">
      <c r="A1816" s="6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</row>
    <row r="1817">
      <c r="A1817" s="6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</row>
    <row r="1818">
      <c r="A1818" s="6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</row>
    <row r="1819">
      <c r="A1819" s="6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</row>
    <row r="1820">
      <c r="A1820" s="6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</row>
    <row r="1821">
      <c r="A1821" s="6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</row>
    <row r="1822">
      <c r="A1822" s="6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</row>
    <row r="1823">
      <c r="A1823" s="6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</row>
    <row r="1824">
      <c r="A1824" s="6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</row>
    <row r="1825">
      <c r="A1825" s="6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</row>
    <row r="1826">
      <c r="A1826" s="6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</row>
    <row r="1827">
      <c r="A1827" s="6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</row>
    <row r="1828">
      <c r="A1828" s="6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</row>
    <row r="1829">
      <c r="A1829" s="6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</row>
    <row r="1830">
      <c r="A1830" s="6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</row>
    <row r="1831">
      <c r="A1831" s="6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</row>
    <row r="1832">
      <c r="A1832" s="6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</row>
    <row r="1833">
      <c r="A1833" s="6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</row>
    <row r="1834">
      <c r="A1834" s="6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</row>
    <row r="1835">
      <c r="A1835" s="6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</row>
    <row r="1836">
      <c r="A1836" s="6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</row>
    <row r="1837">
      <c r="A1837" s="6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</row>
    <row r="1838">
      <c r="A1838" s="6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</row>
    <row r="1839">
      <c r="A1839" s="6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</row>
    <row r="1840">
      <c r="A1840" s="6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</row>
    <row r="1841">
      <c r="A1841" s="6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</row>
    <row r="1842">
      <c r="A1842" s="6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</row>
    <row r="1843">
      <c r="A1843" s="6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</row>
    <row r="1844">
      <c r="A1844" s="6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</row>
    <row r="1845">
      <c r="A1845" s="6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</row>
    <row r="1846">
      <c r="A1846" s="6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</row>
    <row r="1847">
      <c r="A1847" s="6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</row>
    <row r="1848">
      <c r="A1848" s="6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</row>
    <row r="1849">
      <c r="A1849" s="6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</row>
    <row r="1850">
      <c r="A1850" s="6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</row>
    <row r="1851">
      <c r="A1851" s="6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</row>
    <row r="1852">
      <c r="A1852" s="6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</row>
    <row r="1853">
      <c r="A1853" s="6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</row>
    <row r="1854">
      <c r="A1854" s="6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</row>
    <row r="1855">
      <c r="A1855" s="6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</row>
    <row r="1856">
      <c r="A1856" s="6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</row>
    <row r="1857">
      <c r="A1857" s="6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</row>
    <row r="1858">
      <c r="A1858" s="6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</row>
    <row r="1859">
      <c r="A1859" s="6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</row>
    <row r="1860">
      <c r="A1860" s="6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</row>
    <row r="1861">
      <c r="A1861" s="6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</row>
    <row r="1862">
      <c r="A1862" s="6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</row>
    <row r="1863">
      <c r="A1863" s="6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</row>
    <row r="1864">
      <c r="A1864" s="6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</row>
    <row r="1865">
      <c r="A1865" s="6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</row>
    <row r="1866">
      <c r="A1866" s="6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</row>
    <row r="1867">
      <c r="A1867" s="6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</row>
    <row r="1868">
      <c r="A1868" s="6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</row>
    <row r="1869">
      <c r="A1869" s="6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</row>
    <row r="1870">
      <c r="A1870" s="6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</row>
    <row r="1871">
      <c r="A1871" s="6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</row>
    <row r="1872">
      <c r="A1872" s="6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</row>
    <row r="1873">
      <c r="A1873" s="6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</row>
    <row r="1874">
      <c r="A1874" s="6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</row>
    <row r="1875">
      <c r="A1875" s="6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</row>
    <row r="1876">
      <c r="A1876" s="6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</row>
    <row r="1877">
      <c r="A1877" s="6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</row>
    <row r="1878">
      <c r="A1878" s="6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</row>
    <row r="1879">
      <c r="A1879" s="6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</row>
    <row r="1880">
      <c r="A1880" s="6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</row>
    <row r="1881">
      <c r="A1881" s="6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</row>
    <row r="1882">
      <c r="A1882" s="6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</row>
    <row r="1883">
      <c r="A1883" s="6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</row>
    <row r="1884">
      <c r="A1884" s="6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</row>
    <row r="1885">
      <c r="A1885" s="6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</row>
    <row r="1886">
      <c r="A1886" s="6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</row>
    <row r="1887">
      <c r="A1887" s="6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</row>
    <row r="1888">
      <c r="A1888" s="6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</row>
    <row r="1889">
      <c r="A1889" s="6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</row>
    <row r="1890">
      <c r="A1890" s="6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</row>
    <row r="1891">
      <c r="A1891" s="6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</row>
    <row r="1892">
      <c r="A1892" s="6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</row>
    <row r="1893">
      <c r="A1893" s="6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</row>
    <row r="1894">
      <c r="A1894" s="6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</row>
    <row r="1895">
      <c r="A1895" s="6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</row>
    <row r="1896">
      <c r="A1896" s="6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</row>
    <row r="1897">
      <c r="A1897" s="6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</row>
    <row r="1898">
      <c r="A1898" s="6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</row>
    <row r="1899">
      <c r="A1899" s="6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</row>
    <row r="1900">
      <c r="A1900" s="6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</row>
    <row r="1901">
      <c r="A1901" s="6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</row>
    <row r="1902">
      <c r="A1902" s="6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</row>
    <row r="1903">
      <c r="A1903" s="6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</row>
    <row r="1904">
      <c r="A1904" s="6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</row>
    <row r="1905">
      <c r="A1905" s="6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</row>
    <row r="1906">
      <c r="A1906" s="6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</row>
    <row r="1907">
      <c r="A1907" s="6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</row>
    <row r="1908">
      <c r="A1908" s="6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</row>
    <row r="1909">
      <c r="A1909" s="6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</row>
    <row r="1910">
      <c r="A1910" s="6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</row>
    <row r="1911">
      <c r="A1911" s="6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</row>
    <row r="1912">
      <c r="A1912" s="6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</row>
    <row r="1913">
      <c r="A1913" s="6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</row>
    <row r="1914">
      <c r="A1914" s="6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</row>
    <row r="1915">
      <c r="A1915" s="6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</row>
    <row r="1916">
      <c r="A1916" s="6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</row>
    <row r="1917">
      <c r="A1917" s="6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</row>
    <row r="1918">
      <c r="A1918" s="6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</row>
    <row r="1919">
      <c r="A1919" s="6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</row>
    <row r="1920">
      <c r="A1920" s="6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</row>
    <row r="1921">
      <c r="A1921" s="6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</row>
    <row r="1922">
      <c r="A1922" s="6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</row>
    <row r="1923">
      <c r="A1923" s="6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</row>
    <row r="1924">
      <c r="A1924" s="6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</row>
    <row r="1925">
      <c r="A1925" s="6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</row>
    <row r="1926">
      <c r="A1926" s="6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</row>
    <row r="1927">
      <c r="A1927" s="6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</row>
    <row r="1928">
      <c r="A1928" s="6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</row>
    <row r="1929">
      <c r="A1929" s="6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</row>
    <row r="1930">
      <c r="A1930" s="6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</row>
    <row r="1931">
      <c r="A1931" s="6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</row>
    <row r="1932">
      <c r="A1932" s="6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</row>
    <row r="1933">
      <c r="A1933" s="6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</row>
    <row r="1934">
      <c r="A1934" s="6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</row>
    <row r="1935">
      <c r="A1935" s="6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</row>
    <row r="1936">
      <c r="A1936" s="6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</row>
    <row r="1937">
      <c r="A1937" s="6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</row>
    <row r="1938">
      <c r="A1938" s="6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</row>
    <row r="1939">
      <c r="A1939" s="6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</row>
    <row r="1940">
      <c r="A1940" s="6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</row>
    <row r="1941">
      <c r="A1941" s="6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</row>
    <row r="1942">
      <c r="A1942" s="6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</row>
    <row r="1943">
      <c r="A1943" s="6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</row>
    <row r="1944">
      <c r="A1944" s="6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</row>
    <row r="1945">
      <c r="A1945" s="6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</row>
    <row r="1946">
      <c r="A1946" s="6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</row>
    <row r="1947">
      <c r="A1947" s="6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</row>
    <row r="1948">
      <c r="A1948" s="6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</row>
    <row r="1949">
      <c r="A1949" s="6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</row>
    <row r="1950">
      <c r="A1950" s="6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</row>
    <row r="1951">
      <c r="A1951" s="6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</row>
    <row r="1952">
      <c r="A1952" s="6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</row>
    <row r="1953">
      <c r="A1953" s="6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</row>
    <row r="1954">
      <c r="A1954" s="6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</row>
    <row r="1955">
      <c r="A1955" s="6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</row>
    <row r="1956">
      <c r="A1956" s="6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</row>
    <row r="1957">
      <c r="A1957" s="6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</row>
    <row r="1958">
      <c r="A1958" s="6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</row>
    <row r="1959">
      <c r="A1959" s="6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</row>
    <row r="1960">
      <c r="A1960" s="6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</row>
    <row r="1961">
      <c r="A1961" s="6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</row>
    <row r="1962">
      <c r="A1962" s="6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</row>
    <row r="1963">
      <c r="A1963" s="6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</row>
    <row r="1964">
      <c r="A1964" s="6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</row>
    <row r="1965">
      <c r="A1965" s="6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</row>
    <row r="1966">
      <c r="A1966" s="6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</row>
    <row r="1967">
      <c r="A1967" s="6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</row>
    <row r="1968">
      <c r="A1968" s="6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</row>
    <row r="1969">
      <c r="A1969" s="6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</row>
    <row r="1970">
      <c r="A1970" s="6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</row>
    <row r="1971">
      <c r="A1971" s="6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</row>
    <row r="1972">
      <c r="A1972" s="6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</row>
    <row r="1973">
      <c r="A1973" s="6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</row>
    <row r="1974">
      <c r="A1974" s="6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</row>
    <row r="1975">
      <c r="A1975" s="6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</row>
    <row r="1976">
      <c r="A1976" s="6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</row>
    <row r="1977">
      <c r="A1977" s="6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</row>
    <row r="1978">
      <c r="A1978" s="6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</row>
    <row r="1979">
      <c r="A1979" s="6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</row>
    <row r="1980">
      <c r="A1980" s="6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</row>
    <row r="1981">
      <c r="A1981" s="6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</row>
    <row r="1982">
      <c r="A1982" s="6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</row>
    <row r="1983">
      <c r="A1983" s="6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</row>
    <row r="1984">
      <c r="A1984" s="6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</row>
    <row r="1985">
      <c r="A1985" s="6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</row>
    <row r="1986">
      <c r="A1986" s="6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</row>
    <row r="1987">
      <c r="A1987" s="6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</row>
    <row r="1988">
      <c r="A1988" s="6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</row>
    <row r="1989">
      <c r="A1989" s="6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</row>
    <row r="1990">
      <c r="A1990" s="6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</row>
    <row r="1991">
      <c r="A1991" s="6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</row>
    <row r="1992">
      <c r="A1992" s="6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</row>
    <row r="1993">
      <c r="A1993" s="6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</row>
    <row r="1994">
      <c r="A1994" s="6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</row>
    <row r="1995">
      <c r="A1995" s="6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</row>
    <row r="1996">
      <c r="A1996" s="6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</row>
    <row r="1997">
      <c r="A1997" s="6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</row>
    <row r="1998">
      <c r="A1998" s="6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</row>
    <row r="1999">
      <c r="A1999" s="6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</row>
    <row r="2000">
      <c r="A2000" s="6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</row>
    <row r="2001">
      <c r="A2001" s="6"/>
      <c r="B2001" s="7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</row>
    <row r="2002">
      <c r="A2002" s="6"/>
      <c r="B2002" s="7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</row>
    <row r="2003">
      <c r="A2003" s="6"/>
      <c r="B2003" s="7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</row>
    <row r="2004">
      <c r="A2004" s="6"/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</row>
    <row r="2005">
      <c r="A2005" s="6"/>
      <c r="B2005" s="7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</row>
    <row r="2006">
      <c r="A2006" s="6"/>
      <c r="B2006" s="7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</row>
    <row r="2007">
      <c r="A2007" s="6"/>
      <c r="B2007" s="7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  <c r="AE2007" s="6"/>
    </row>
    <row r="2008">
      <c r="A2008" s="6"/>
      <c r="B2008" s="7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</row>
    <row r="2009">
      <c r="A2009" s="6"/>
      <c r="B2009" s="7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</row>
    <row r="2010">
      <c r="A2010" s="6"/>
      <c r="B2010" s="7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</row>
    <row r="2011">
      <c r="A2011" s="6"/>
      <c r="B2011" s="7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</row>
    <row r="2012">
      <c r="A2012" s="6"/>
      <c r="B2012" s="7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</row>
    <row r="2013">
      <c r="A2013" s="6"/>
      <c r="B2013" s="7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</row>
    <row r="2014">
      <c r="A2014" s="6"/>
      <c r="B2014" s="7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</row>
    <row r="2015">
      <c r="A2015" s="6"/>
      <c r="B2015" s="7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</row>
    <row r="2016">
      <c r="A2016" s="6"/>
      <c r="B2016" s="7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</row>
    <row r="2017">
      <c r="A2017" s="6"/>
      <c r="B2017" s="7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  <c r="AE2017" s="6"/>
    </row>
    <row r="2018">
      <c r="A2018" s="6"/>
      <c r="B2018" s="7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</row>
    <row r="2019">
      <c r="A2019" s="6"/>
      <c r="B2019" s="7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</row>
    <row r="2020">
      <c r="A2020" s="6"/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</row>
    <row r="2021">
      <c r="A2021" s="6"/>
      <c r="B2021" s="7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  <c r="AE2021" s="6"/>
    </row>
    <row r="2022">
      <c r="A2022" s="6"/>
      <c r="B2022" s="7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</row>
    <row r="2023">
      <c r="A2023" s="6"/>
      <c r="B2023" s="7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</row>
    <row r="2024">
      <c r="A2024" s="6"/>
      <c r="B2024" s="7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</row>
    <row r="2025">
      <c r="A2025" s="6"/>
      <c r="B2025" s="7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  <c r="AE2025" s="6"/>
    </row>
    <row r="2026">
      <c r="A2026" s="6"/>
      <c r="B2026" s="7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</row>
    <row r="2027">
      <c r="A2027" s="6"/>
      <c r="B2027" s="7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</row>
    <row r="2028">
      <c r="A2028" s="6"/>
      <c r="B2028" s="7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</row>
    <row r="2029">
      <c r="A2029" s="6"/>
      <c r="B2029" s="7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</row>
    <row r="2030">
      <c r="A2030" s="6"/>
      <c r="B2030" s="7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</row>
    <row r="2031">
      <c r="A2031" s="6"/>
      <c r="B2031" s="7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  <c r="AE2031" s="6"/>
    </row>
    <row r="2032">
      <c r="A2032" s="6"/>
      <c r="B2032" s="7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</row>
    <row r="2033">
      <c r="A2033" s="6"/>
      <c r="B2033" s="7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</row>
    <row r="2034">
      <c r="A2034" s="6"/>
      <c r="B2034" s="7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</row>
    <row r="2035">
      <c r="A2035" s="6"/>
      <c r="B2035" s="7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  <c r="AE2035" s="6"/>
    </row>
    <row r="2036">
      <c r="A2036" s="6"/>
      <c r="B2036" s="7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</row>
    <row r="2037">
      <c r="A2037" s="6"/>
      <c r="B2037" s="7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</row>
    <row r="2038">
      <c r="A2038" s="6"/>
      <c r="B2038" s="7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</row>
    <row r="2039">
      <c r="A2039" s="6"/>
      <c r="B2039" s="7"/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</row>
    <row r="2040">
      <c r="A2040" s="6"/>
      <c r="B2040" s="7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</row>
    <row r="2041">
      <c r="A2041" s="6"/>
      <c r="B2041" s="7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</row>
    <row r="2042">
      <c r="A2042" s="6"/>
      <c r="B2042" s="7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</row>
    <row r="2043">
      <c r="A2043" s="6"/>
      <c r="B2043" s="7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  <c r="AE2043" s="6"/>
    </row>
    <row r="2044">
      <c r="A2044" s="6"/>
      <c r="B2044" s="7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</row>
    <row r="2045">
      <c r="A2045" s="6"/>
      <c r="B2045" s="7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/>
    </row>
    <row r="2046">
      <c r="A2046" s="6"/>
      <c r="B2046" s="7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6"/>
    </row>
    <row r="2047">
      <c r="A2047" s="6"/>
      <c r="B2047" s="7"/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/>
    </row>
    <row r="2048">
      <c r="A2048" s="6"/>
      <c r="B2048" s="7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</row>
    <row r="2049">
      <c r="A2049" s="6"/>
      <c r="B2049" s="7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  <c r="AE2049" s="6"/>
    </row>
    <row r="2050">
      <c r="A2050" s="6"/>
      <c r="B2050" s="7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/>
    </row>
    <row r="2051">
      <c r="A2051" s="6"/>
      <c r="B2051" s="7"/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</row>
    <row r="2052">
      <c r="A2052" s="6"/>
      <c r="B2052" s="7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</row>
    <row r="2053">
      <c r="A2053" s="6"/>
      <c r="B2053" s="7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/>
    </row>
    <row r="2054">
      <c r="A2054" s="6"/>
      <c r="B2054" s="7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/>
    </row>
    <row r="2055">
      <c r="A2055" s="6"/>
      <c r="B2055" s="7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  <c r="AC2055" s="6"/>
      <c r="AD2055" s="6"/>
      <c r="AE2055" s="6"/>
    </row>
    <row r="2056">
      <c r="A2056" s="6"/>
      <c r="B2056" s="7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  <c r="AE2056" s="6"/>
    </row>
    <row r="2057">
      <c r="A2057" s="6"/>
      <c r="B2057" s="7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  <c r="AE2057" s="6"/>
    </row>
    <row r="2058">
      <c r="A2058" s="6"/>
      <c r="B2058" s="7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/>
    </row>
    <row r="2059">
      <c r="A2059" s="6"/>
      <c r="B2059" s="7"/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6"/>
    </row>
    <row r="2060">
      <c r="A2060" s="6"/>
      <c r="B2060" s="7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  <c r="AE2060" s="6"/>
    </row>
    <row r="2061">
      <c r="A2061" s="6"/>
      <c r="B2061" s="7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  <c r="AE2061" s="6"/>
    </row>
    <row r="2062">
      <c r="A2062" s="6"/>
      <c r="B2062" s="7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6"/>
    </row>
    <row r="2063">
      <c r="A2063" s="6"/>
      <c r="B2063" s="7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/>
    </row>
    <row r="2064">
      <c r="A2064" s="6"/>
      <c r="B2064" s="7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</row>
    <row r="2065">
      <c r="A2065" s="6"/>
      <c r="B2065" s="7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6"/>
    </row>
    <row r="2066">
      <c r="A2066" s="6"/>
      <c r="B2066" s="7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</row>
    <row r="2067">
      <c r="A2067" s="6"/>
      <c r="B2067" s="7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  <c r="AE2067" s="6"/>
    </row>
    <row r="2068">
      <c r="A2068" s="6"/>
      <c r="B2068" s="7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  <c r="AE2068" s="6"/>
    </row>
    <row r="2069">
      <c r="A2069" s="6"/>
      <c r="B2069" s="7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6"/>
    </row>
    <row r="2070">
      <c r="A2070" s="6"/>
      <c r="B2070" s="7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</row>
    <row r="2071">
      <c r="A2071" s="6"/>
      <c r="B2071" s="7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  <c r="AE2071" s="6"/>
    </row>
    <row r="2072">
      <c r="A2072" s="6"/>
      <c r="B2072" s="7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6"/>
    </row>
    <row r="2073">
      <c r="A2073" s="6"/>
      <c r="B2073" s="7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</row>
    <row r="2074">
      <c r="A2074" s="6"/>
      <c r="B2074" s="7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/>
    </row>
    <row r="2075">
      <c r="A2075" s="6"/>
      <c r="B2075" s="7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  <c r="AE2075" s="6"/>
    </row>
    <row r="2076">
      <c r="A2076" s="6"/>
      <c r="B2076" s="7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</row>
    <row r="2077">
      <c r="A2077" s="6"/>
      <c r="B2077" s="7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</row>
    <row r="2078">
      <c r="A2078" s="6"/>
      <c r="B2078" s="7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  <c r="AC2078" s="6"/>
      <c r="AD2078" s="6"/>
      <c r="AE2078" s="6"/>
    </row>
    <row r="2079">
      <c r="A2079" s="6"/>
      <c r="B2079" s="7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  <c r="AC2079" s="6"/>
      <c r="AD2079" s="6"/>
      <c r="AE2079" s="6"/>
    </row>
    <row r="2080">
      <c r="A2080" s="6"/>
      <c r="B2080" s="7"/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  <c r="AE2080" s="6"/>
    </row>
    <row r="2081">
      <c r="A2081" s="6"/>
      <c r="B2081" s="7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  <c r="AE2081" s="6"/>
    </row>
    <row r="2082">
      <c r="A2082" s="6"/>
      <c r="B2082" s="7"/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  <c r="AE2082" s="6"/>
    </row>
    <row r="2083">
      <c r="A2083" s="6"/>
      <c r="B2083" s="7"/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/>
    </row>
    <row r="2084">
      <c r="A2084" s="6"/>
      <c r="B2084" s="7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  <c r="AC2084" s="6"/>
      <c r="AD2084" s="6"/>
      <c r="AE2084" s="6"/>
    </row>
    <row r="2085">
      <c r="A2085" s="6"/>
      <c r="B2085" s="7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  <c r="AE2085" s="6"/>
    </row>
    <row r="2086">
      <c r="A2086" s="6"/>
      <c r="B2086" s="7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  <c r="AC2086" s="6"/>
      <c r="AD2086" s="6"/>
      <c r="AE2086" s="6"/>
    </row>
    <row r="2087">
      <c r="A2087" s="6"/>
      <c r="B2087" s="7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</row>
    <row r="2088">
      <c r="A2088" s="6"/>
      <c r="B2088" s="7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</row>
    <row r="2089">
      <c r="A2089" s="6"/>
      <c r="B2089" s="7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</row>
    <row r="2090">
      <c r="A2090" s="6"/>
      <c r="B2090" s="7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</row>
    <row r="2091">
      <c r="A2091" s="6"/>
      <c r="B2091" s="7"/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</row>
    <row r="2092">
      <c r="A2092" s="6"/>
      <c r="B2092" s="7"/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</row>
    <row r="2093">
      <c r="A2093" s="6"/>
      <c r="B2093" s="7"/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  <c r="AE2093" s="6"/>
    </row>
    <row r="2094">
      <c r="A2094" s="6"/>
      <c r="B2094" s="7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  <c r="AC2094" s="6"/>
      <c r="AD2094" s="6"/>
      <c r="AE2094" s="6"/>
    </row>
    <row r="2095">
      <c r="A2095" s="6"/>
      <c r="B2095" s="7"/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/>
      <c r="AD2095" s="6"/>
      <c r="AE2095" s="6"/>
    </row>
    <row r="2096">
      <c r="A2096" s="6"/>
      <c r="B2096" s="7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  <c r="AC2096" s="6"/>
      <c r="AD2096" s="6"/>
      <c r="AE2096" s="6"/>
    </row>
    <row r="2097">
      <c r="A2097" s="6"/>
      <c r="B2097" s="7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  <c r="AC2097" s="6"/>
      <c r="AD2097" s="6"/>
      <c r="AE2097" s="6"/>
    </row>
    <row r="2098">
      <c r="A2098" s="6"/>
      <c r="B2098" s="7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  <c r="AC2098" s="6"/>
      <c r="AD2098" s="6"/>
      <c r="AE2098" s="6"/>
    </row>
    <row r="2099">
      <c r="A2099" s="6"/>
      <c r="B2099" s="7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  <c r="AE2099" s="6"/>
    </row>
    <row r="2100">
      <c r="A2100" s="6"/>
      <c r="B2100" s="7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</row>
    <row r="2101">
      <c r="A2101" s="6"/>
      <c r="B2101" s="7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</row>
    <row r="2102">
      <c r="A2102" s="6"/>
      <c r="B2102" s="7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  <c r="AC2102" s="6"/>
      <c r="AD2102" s="6"/>
      <c r="AE2102" s="6"/>
    </row>
    <row r="2103">
      <c r="A2103" s="6"/>
      <c r="B2103" s="7"/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  <c r="AE2103" s="6"/>
    </row>
    <row r="2104">
      <c r="A2104" s="6"/>
      <c r="B2104" s="7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  <c r="AC2104" s="6"/>
      <c r="AD2104" s="6"/>
      <c r="AE2104" s="6"/>
    </row>
    <row r="2105">
      <c r="A2105" s="6"/>
      <c r="B2105" s="7"/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  <c r="AC2105" s="6"/>
      <c r="AD2105" s="6"/>
      <c r="AE2105" s="6"/>
    </row>
    <row r="2106">
      <c r="A2106" s="6"/>
      <c r="B2106" s="7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/>
      <c r="AE2106" s="6"/>
    </row>
    <row r="2107">
      <c r="A2107" s="6"/>
      <c r="B2107" s="7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  <c r="AE2107" s="6"/>
    </row>
    <row r="2108">
      <c r="A2108" s="6"/>
      <c r="B2108" s="7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  <c r="AC2108" s="6"/>
      <c r="AD2108" s="6"/>
      <c r="AE2108" s="6"/>
    </row>
    <row r="2109">
      <c r="A2109" s="6"/>
      <c r="B2109" s="7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  <c r="AE2109" s="6"/>
    </row>
    <row r="2110">
      <c r="A2110" s="6"/>
      <c r="B2110" s="7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  <c r="AC2110" s="6"/>
      <c r="AD2110" s="6"/>
      <c r="AE2110" s="6"/>
    </row>
    <row r="2111">
      <c r="A2111" s="6"/>
      <c r="B2111" s="7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</row>
    <row r="2112">
      <c r="A2112" s="6"/>
      <c r="B2112" s="7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/>
      <c r="AE2112" s="6"/>
    </row>
    <row r="2113">
      <c r="A2113" s="6"/>
      <c r="B2113" s="7"/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  <c r="AE2113" s="6"/>
    </row>
    <row r="2114">
      <c r="A2114" s="6"/>
      <c r="B2114" s="7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  <c r="AC2114" s="6"/>
      <c r="AD2114" s="6"/>
      <c r="AE2114" s="6"/>
    </row>
    <row r="2115">
      <c r="A2115" s="6"/>
      <c r="B2115" s="7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  <c r="AE2115" s="6"/>
    </row>
    <row r="2116">
      <c r="A2116" s="6"/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  <c r="AC2116" s="6"/>
      <c r="AD2116" s="6"/>
      <c r="AE2116" s="6"/>
    </row>
    <row r="2117">
      <c r="A2117" s="6"/>
      <c r="B2117" s="7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  <c r="AE2117" s="6"/>
    </row>
    <row r="2118">
      <c r="A2118" s="6"/>
      <c r="B2118" s="7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  <c r="AE2118" s="6"/>
    </row>
    <row r="2119">
      <c r="A2119" s="6"/>
      <c r="B2119" s="7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</row>
    <row r="2120">
      <c r="A2120" s="6"/>
      <c r="B2120" s="7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  <c r="AC2120" s="6"/>
      <c r="AD2120" s="6"/>
      <c r="AE2120" s="6"/>
    </row>
    <row r="2121">
      <c r="A2121" s="6"/>
      <c r="B2121" s="7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  <c r="AE2121" s="6"/>
    </row>
    <row r="2122">
      <c r="A2122" s="6"/>
      <c r="B2122" s="7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/>
      <c r="AE2122" s="6"/>
    </row>
    <row r="2123">
      <c r="A2123" s="6"/>
      <c r="B2123" s="7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</row>
    <row r="2124">
      <c r="A2124" s="6"/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  <c r="AC2124" s="6"/>
      <c r="AD2124" s="6"/>
      <c r="AE2124" s="6"/>
    </row>
    <row r="2125">
      <c r="A2125" s="6"/>
      <c r="B2125" s="7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/>
      <c r="AE2125" s="6"/>
    </row>
    <row r="2126">
      <c r="A2126" s="6"/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  <c r="AC2126" s="6"/>
      <c r="AD2126" s="6"/>
      <c r="AE2126" s="6"/>
    </row>
    <row r="2127">
      <c r="A2127" s="6"/>
      <c r="B2127" s="7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/>
      <c r="AE2127" s="6"/>
    </row>
    <row r="2128">
      <c r="A2128" s="6"/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</row>
    <row r="2129">
      <c r="A2129" s="6"/>
      <c r="B2129" s="7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  <c r="AE2129" s="6"/>
    </row>
    <row r="2130">
      <c r="A2130" s="6"/>
      <c r="B2130" s="7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/>
      <c r="AE2130" s="6"/>
    </row>
    <row r="2131">
      <c r="A2131" s="6"/>
      <c r="B2131" s="7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  <c r="AC2131" s="6"/>
      <c r="AD2131" s="6"/>
      <c r="AE2131" s="6"/>
    </row>
    <row r="2132">
      <c r="A2132" s="6"/>
      <c r="B2132" s="7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  <c r="AC2132" s="6"/>
      <c r="AD2132" s="6"/>
      <c r="AE2132" s="6"/>
    </row>
    <row r="2133">
      <c r="A2133" s="6"/>
      <c r="B2133" s="7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/>
      <c r="AE2133" s="6"/>
    </row>
    <row r="2134">
      <c r="A2134" s="6"/>
      <c r="B2134" s="7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  <c r="AC2134" s="6"/>
      <c r="AD2134" s="6"/>
      <c r="AE2134" s="6"/>
    </row>
    <row r="2135">
      <c r="A2135" s="6"/>
      <c r="B2135" s="7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  <c r="AC2135" s="6"/>
      <c r="AD2135" s="6"/>
      <c r="AE2135" s="6"/>
    </row>
    <row r="2136">
      <c r="A2136" s="6"/>
      <c r="B2136" s="7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  <c r="AE2136" s="6"/>
    </row>
    <row r="2137">
      <c r="A2137" s="6"/>
      <c r="B2137" s="7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  <c r="AE2137" s="6"/>
    </row>
    <row r="2138">
      <c r="A2138" s="6"/>
      <c r="B2138" s="7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  <c r="AC2138" s="6"/>
      <c r="AD2138" s="6"/>
      <c r="AE2138" s="6"/>
    </row>
    <row r="2139">
      <c r="A2139" s="6"/>
      <c r="B2139" s="7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/>
      <c r="AE2139" s="6"/>
    </row>
    <row r="2140">
      <c r="A2140" s="6"/>
      <c r="B2140" s="7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  <c r="AE2140" s="6"/>
    </row>
    <row r="2141">
      <c r="A2141" s="6"/>
      <c r="B2141" s="7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  <c r="AC2141" s="6"/>
      <c r="AD2141" s="6"/>
      <c r="AE2141" s="6"/>
    </row>
    <row r="2142">
      <c r="A2142" s="6"/>
      <c r="B2142" s="7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  <c r="AE2142" s="6"/>
    </row>
    <row r="2143">
      <c r="A2143" s="6"/>
      <c r="B2143" s="7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/>
      <c r="AE2143" s="6"/>
    </row>
    <row r="2144">
      <c r="A2144" s="6"/>
      <c r="B2144" s="7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</row>
    <row r="2145">
      <c r="A2145" s="6"/>
      <c r="B2145" s="7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  <c r="AC2145" s="6"/>
      <c r="AD2145" s="6"/>
      <c r="AE2145" s="6"/>
    </row>
    <row r="2146">
      <c r="A2146" s="6"/>
      <c r="B2146" s="7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  <c r="AE2146" s="6"/>
    </row>
    <row r="2147">
      <c r="A2147" s="6"/>
      <c r="B2147" s="7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  <c r="AE2147" s="6"/>
    </row>
    <row r="2148">
      <c r="A2148" s="6"/>
      <c r="B2148" s="7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</row>
    <row r="2149">
      <c r="A2149" s="6"/>
      <c r="B2149" s="7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  <c r="AE2149" s="6"/>
    </row>
    <row r="2150">
      <c r="A2150" s="6"/>
      <c r="B2150" s="7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  <c r="AC2150" s="6"/>
      <c r="AD2150" s="6"/>
      <c r="AE2150" s="6"/>
    </row>
    <row r="2151">
      <c r="A2151" s="6"/>
      <c r="B2151" s="7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  <c r="AC2151" s="6"/>
      <c r="AD2151" s="6"/>
      <c r="AE2151" s="6"/>
    </row>
    <row r="2152">
      <c r="A2152" s="6"/>
      <c r="B2152" s="7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  <c r="AC2152" s="6"/>
      <c r="AD2152" s="6"/>
      <c r="AE2152" s="6"/>
    </row>
    <row r="2153">
      <c r="A2153" s="6"/>
      <c r="B2153" s="7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  <c r="AC2153" s="6"/>
      <c r="AD2153" s="6"/>
      <c r="AE2153" s="6"/>
    </row>
    <row r="2154">
      <c r="A2154" s="6"/>
      <c r="B2154" s="7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</row>
    <row r="2155">
      <c r="A2155" s="6"/>
      <c r="B2155" s="7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  <c r="AE2155" s="6"/>
    </row>
    <row r="2156">
      <c r="A2156" s="6"/>
      <c r="B2156" s="7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  <c r="AC2156" s="6"/>
      <c r="AD2156" s="6"/>
      <c r="AE2156" s="6"/>
    </row>
    <row r="2157">
      <c r="A2157" s="6"/>
      <c r="B2157" s="7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/>
    </row>
    <row r="2158">
      <c r="A2158" s="6"/>
      <c r="B2158" s="7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  <c r="AC2158" s="6"/>
      <c r="AD2158" s="6"/>
      <c r="AE2158" s="6"/>
    </row>
    <row r="2159">
      <c r="A2159" s="6"/>
      <c r="B2159" s="7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/>
      <c r="AE2159" s="6"/>
    </row>
    <row r="2160">
      <c r="A2160" s="6"/>
      <c r="B2160" s="7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  <c r="AE2160" s="6"/>
    </row>
    <row r="2161">
      <c r="A2161" s="6"/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/>
      <c r="AE2161" s="6"/>
    </row>
    <row r="2162">
      <c r="A2162" s="6"/>
      <c r="B2162" s="7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  <c r="AE2162" s="6"/>
    </row>
    <row r="2163">
      <c r="A2163" s="6"/>
      <c r="B2163" s="7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  <c r="AE2163" s="6"/>
    </row>
    <row r="2164">
      <c r="A2164" s="6"/>
      <c r="B2164" s="7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  <c r="AE2164" s="6"/>
    </row>
    <row r="2165">
      <c r="A2165" s="6"/>
      <c r="B2165" s="7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/>
      <c r="AE2165" s="6"/>
    </row>
    <row r="2166">
      <c r="A2166" s="6"/>
      <c r="B2166" s="7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  <c r="AC2166" s="6"/>
      <c r="AD2166" s="6"/>
      <c r="AE2166" s="6"/>
    </row>
  </sheetData>
  <autoFilter ref="$A$1:$AE$143"/>
  <drawing r:id="rId1"/>
</worksheet>
</file>